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Default Extension="wmf" ContentType="image/x-w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defaultThemeVersion="124226"/>
  <bookViews>
    <workbookView xWindow="2220" yWindow="435" windowWidth="10845" windowHeight="5055" tabRatio="548"/>
  </bookViews>
  <sheets>
    <sheet name="Summary Table" sheetId="1" r:id="rId1"/>
    <sheet name="Automation" sheetId="7" r:id="rId2"/>
    <sheet name="Yield, Bubble Pinch" sheetId="11" r:id="rId3"/>
    <sheet name="Fract-Band" sheetId="12" r:id="rId4"/>
    <sheet name="SPTT Entry" sheetId="15" r:id="rId5"/>
    <sheet name="Template" sheetId="16" r:id="rId6"/>
  </sheets>
  <definedNames>
    <definedName name="solver_adj" localSheetId="1">Automation!$M$4:$M$6</definedName>
    <definedName name="solver_cvg" localSheetId="1">0.0001</definedName>
    <definedName name="solver_cvg" localSheetId="0">0.0001</definedName>
    <definedName name="solver_drv" localSheetId="1">1</definedName>
    <definedName name="solver_drv" localSheetId="0">1</definedName>
    <definedName name="solver_eng" localSheetId="1">1</definedName>
    <definedName name="solver_est" localSheetId="1">1</definedName>
    <definedName name="solver_est" localSheetId="0">1</definedName>
    <definedName name="solver_itr" localSheetId="1">100</definedName>
    <definedName name="solver_itr" localSheetId="0">100</definedName>
    <definedName name="solver_lhs1" localSheetId="1">Automation!$M$5</definedName>
    <definedName name="solver_lhs1" localSheetId="0">'Summary Table'!$L$6</definedName>
    <definedName name="solver_lhs10" localSheetId="1">Automation!$M$5</definedName>
    <definedName name="solver_lhs11" localSheetId="1">Automation!$M$4</definedName>
    <definedName name="solver_lhs12" localSheetId="1">Automation!$M$6</definedName>
    <definedName name="solver_lhs13" localSheetId="1">Automation!$M$5</definedName>
    <definedName name="solver_lhs14" localSheetId="1">Automation!$M$5</definedName>
    <definedName name="solver_lhs15" localSheetId="1">Automation!$M$4</definedName>
    <definedName name="solver_lhs16" localSheetId="1">Automation!$M$6</definedName>
    <definedName name="solver_lhs17" localSheetId="1">Automation!$M$5</definedName>
    <definedName name="solver_lhs18" localSheetId="1">Automation!$M$5</definedName>
    <definedName name="solver_lhs19" localSheetId="1">Automation!$M$4</definedName>
    <definedName name="solver_lhs2" localSheetId="1">Automation!$M$5</definedName>
    <definedName name="solver_lhs2" localSheetId="0">'Summary Table'!$L$6</definedName>
    <definedName name="solver_lhs20" localSheetId="1">Automation!$M$6</definedName>
    <definedName name="solver_lhs21" localSheetId="1">Automation!$M$5</definedName>
    <definedName name="solver_lhs22" localSheetId="1">Automation!$M$5</definedName>
    <definedName name="solver_lhs23" localSheetId="1">Automation!$M$4</definedName>
    <definedName name="solver_lhs24" localSheetId="1">Automation!$M$6</definedName>
    <definedName name="solver_lhs25" localSheetId="1">Automation!$M$5</definedName>
    <definedName name="solver_lhs26" localSheetId="1">Automation!$M$5</definedName>
    <definedName name="solver_lhs27" localSheetId="1">Automation!$M$4</definedName>
    <definedName name="solver_lhs28" localSheetId="1">Automation!$M$6</definedName>
    <definedName name="solver_lhs3" localSheetId="1">Automation!$M$4</definedName>
    <definedName name="solver_lhs4" localSheetId="1">Automation!$M$6</definedName>
    <definedName name="solver_lhs4" localSheetId="0">'Summary Table'!$L$7</definedName>
    <definedName name="solver_lhs5" localSheetId="1">Automation!$M$5</definedName>
    <definedName name="solver_lhs6" localSheetId="1">Automation!$M$5</definedName>
    <definedName name="solver_lhs7" localSheetId="1">Automation!$M$4</definedName>
    <definedName name="solver_lhs8" localSheetId="1">Automation!$M$6</definedName>
    <definedName name="solver_lhs9" localSheetId="1">Automation!$M$5</definedName>
    <definedName name="solver_lin" localSheetId="1">2</definedName>
    <definedName name="solver_lin" localSheetId="0">2</definedName>
    <definedName name="solver_neg" localSheetId="1">2</definedName>
    <definedName name="solver_neg" localSheetId="0">2</definedName>
    <definedName name="solver_num" localSheetId="1">4</definedName>
    <definedName name="solver_num" localSheetId="0">0</definedName>
    <definedName name="solver_nwt" localSheetId="1">1</definedName>
    <definedName name="solver_nwt" localSheetId="0">1</definedName>
    <definedName name="solver_opt" localSheetId="1">Automation!$M$3</definedName>
    <definedName name="solver_pre" localSheetId="1">0.000001</definedName>
    <definedName name="solver_pre" localSheetId="0">0.000001</definedName>
    <definedName name="solver_rel1" localSheetId="1">1</definedName>
    <definedName name="solver_rel1" localSheetId="0">1</definedName>
    <definedName name="solver_rel10" localSheetId="1">3</definedName>
    <definedName name="solver_rel11" localSheetId="1">3</definedName>
    <definedName name="solver_rel12" localSheetId="1">3</definedName>
    <definedName name="solver_rel13" localSheetId="1">1</definedName>
    <definedName name="solver_rel14" localSheetId="1">3</definedName>
    <definedName name="solver_rel15" localSheetId="1">3</definedName>
    <definedName name="solver_rel16" localSheetId="1">3</definedName>
    <definedName name="solver_rel17" localSheetId="1">1</definedName>
    <definedName name="solver_rel18" localSheetId="1">3</definedName>
    <definedName name="solver_rel19" localSheetId="1">3</definedName>
    <definedName name="solver_rel2" localSheetId="1">3</definedName>
    <definedName name="solver_rel2" localSheetId="0">3</definedName>
    <definedName name="solver_rel20" localSheetId="1">3</definedName>
    <definedName name="solver_rel21" localSheetId="1">1</definedName>
    <definedName name="solver_rel22" localSheetId="1">3</definedName>
    <definedName name="solver_rel23" localSheetId="1">3</definedName>
    <definedName name="solver_rel24" localSheetId="1">3</definedName>
    <definedName name="solver_rel25" localSheetId="1">1</definedName>
    <definedName name="solver_rel26" localSheetId="1">3</definedName>
    <definedName name="solver_rel27" localSheetId="1">3</definedName>
    <definedName name="solver_rel28" localSheetId="1">3</definedName>
    <definedName name="solver_rel3" localSheetId="1">3</definedName>
    <definedName name="solver_rel3" localSheetId="0">3</definedName>
    <definedName name="solver_rel4" localSheetId="1">3</definedName>
    <definedName name="solver_rel4" localSheetId="0">3</definedName>
    <definedName name="solver_rel5" localSheetId="1">1</definedName>
    <definedName name="solver_rel6" localSheetId="1">3</definedName>
    <definedName name="solver_rel7" localSheetId="1">3</definedName>
    <definedName name="solver_rel8" localSheetId="1">3</definedName>
    <definedName name="solver_rel9" localSheetId="1">1</definedName>
    <definedName name="solver_rhs1" localSheetId="1">Automation!$M$4</definedName>
    <definedName name="solver_rhs10" localSheetId="1">0</definedName>
    <definedName name="solver_rhs11" localSheetId="1">0</definedName>
    <definedName name="solver_rhs12" localSheetId="1">0</definedName>
    <definedName name="solver_rhs13" localSheetId="1">Automation!$M$4</definedName>
    <definedName name="solver_rhs14" localSheetId="1">0</definedName>
    <definedName name="solver_rhs15" localSheetId="1">0</definedName>
    <definedName name="solver_rhs16" localSheetId="1">0</definedName>
    <definedName name="solver_rhs17" localSheetId="1">Automation!$M$4</definedName>
    <definedName name="solver_rhs18" localSheetId="1">0</definedName>
    <definedName name="solver_rhs19" localSheetId="1">0</definedName>
    <definedName name="solver_rhs2" localSheetId="1">0</definedName>
    <definedName name="solver_rhs2" localSheetId="0">0</definedName>
    <definedName name="solver_rhs20" localSheetId="1">0</definedName>
    <definedName name="solver_rhs21" localSheetId="1">Automation!$M$4</definedName>
    <definedName name="solver_rhs22" localSheetId="1">0</definedName>
    <definedName name="solver_rhs23" localSheetId="1">0</definedName>
    <definedName name="solver_rhs24" localSheetId="1">0</definedName>
    <definedName name="solver_rhs25" localSheetId="1">Automation!$M$4</definedName>
    <definedName name="solver_rhs26" localSheetId="1">0</definedName>
    <definedName name="solver_rhs27" localSheetId="1">0</definedName>
    <definedName name="solver_rhs28" localSheetId="1">0</definedName>
    <definedName name="solver_rhs3" localSheetId="1">0</definedName>
    <definedName name="solver_rhs3" localSheetId="0">0</definedName>
    <definedName name="solver_rhs4" localSheetId="1">0</definedName>
    <definedName name="solver_rhs4" localSheetId="0">0</definedName>
    <definedName name="solver_rhs5" localSheetId="1">Automation!$M$4</definedName>
    <definedName name="solver_rhs6" localSheetId="1">0</definedName>
    <definedName name="solver_rhs7" localSheetId="1">0</definedName>
    <definedName name="solver_rhs8" localSheetId="1">0</definedName>
    <definedName name="solver_rhs9" localSheetId="1">Automation!$M$4</definedName>
    <definedName name="solver_scl" localSheetId="1">2</definedName>
    <definedName name="solver_scl" localSheetId="0">2</definedName>
    <definedName name="solver_sho" localSheetId="1">2</definedName>
    <definedName name="solver_sho" localSheetId="0">2</definedName>
    <definedName name="solver_tim" localSheetId="1">100</definedName>
    <definedName name="solver_tim" localSheetId="0">100</definedName>
    <definedName name="solver_tol" localSheetId="1">0.05</definedName>
    <definedName name="solver_tol" localSheetId="0">0.05</definedName>
    <definedName name="solver_typ" localSheetId="1">2</definedName>
    <definedName name="solver_typ" localSheetId="0">1</definedName>
    <definedName name="solver_val" localSheetId="1">0</definedName>
    <definedName name="solver_val" localSheetId="0">0</definedName>
    <definedName name="solver_ver" localSheetId="1">3</definedName>
  </definedNames>
  <calcPr calcId="125725"/>
</workbook>
</file>

<file path=xl/calcChain.xml><?xml version="1.0" encoding="utf-8"?>
<calcChain xmlns="http://schemas.openxmlformats.org/spreadsheetml/2006/main">
  <c r="E287" i="12"/>
  <c r="F287"/>
  <c r="E288"/>
  <c r="F288"/>
  <c r="E289"/>
  <c r="F289"/>
  <c r="E290"/>
  <c r="F290"/>
  <c r="E291"/>
  <c r="F291"/>
  <c r="E292"/>
  <c r="F292"/>
  <c r="E293"/>
  <c r="F293"/>
  <c r="E294"/>
  <c r="F294"/>
  <c r="E295"/>
  <c r="F295"/>
  <c r="E296"/>
  <c r="F296"/>
  <c r="E297"/>
  <c r="F297"/>
  <c r="E298"/>
  <c r="F298"/>
  <c r="E299"/>
  <c r="F299"/>
  <c r="E300"/>
  <c r="F300"/>
  <c r="E301"/>
  <c r="F301"/>
  <c r="E302"/>
  <c r="F302"/>
  <c r="E303"/>
  <c r="F303"/>
  <c r="E304"/>
  <c r="F304"/>
  <c r="E305"/>
  <c r="F305"/>
  <c r="E306"/>
  <c r="F306"/>
  <c r="E307"/>
  <c r="F307"/>
  <c r="E308"/>
  <c r="F308"/>
  <c r="E309"/>
  <c r="F309"/>
  <c r="E310"/>
  <c r="F310"/>
  <c r="E311"/>
  <c r="F311"/>
  <c r="E312"/>
  <c r="F312"/>
  <c r="E313"/>
  <c r="F313"/>
  <c r="E314"/>
  <c r="F314"/>
  <c r="E315"/>
  <c r="F315"/>
  <c r="E316"/>
  <c r="F316"/>
  <c r="E317"/>
  <c r="F317"/>
  <c r="E318"/>
  <c r="F318"/>
  <c r="E319"/>
  <c r="F319"/>
  <c r="E320"/>
  <c r="F320"/>
  <c r="E321"/>
  <c r="F321"/>
  <c r="E322"/>
  <c r="F322"/>
  <c r="E323"/>
  <c r="F323"/>
  <c r="E324"/>
  <c r="F324"/>
  <c r="E325"/>
  <c r="F325"/>
  <c r="E326"/>
  <c r="F326"/>
  <c r="E327"/>
  <c r="F327"/>
  <c r="E328"/>
  <c r="F328"/>
  <c r="E329"/>
  <c r="F329"/>
  <c r="E330"/>
  <c r="F330"/>
  <c r="E331"/>
  <c r="F331"/>
  <c r="E332"/>
  <c r="F332"/>
  <c r="E333"/>
  <c r="F333"/>
  <c r="E334"/>
  <c r="F334"/>
  <c r="E335"/>
  <c r="F335"/>
  <c r="E336"/>
  <c r="F336"/>
  <c r="E337"/>
  <c r="F337"/>
  <c r="E338"/>
  <c r="F338"/>
  <c r="E339"/>
  <c r="F339"/>
  <c r="E340"/>
  <c r="F340"/>
  <c r="E341"/>
  <c r="F341"/>
  <c r="E342"/>
  <c r="F342"/>
  <c r="E343"/>
  <c r="F343"/>
  <c r="E344"/>
  <c r="F344"/>
  <c r="E345"/>
  <c r="F345"/>
  <c r="E346"/>
  <c r="F346"/>
  <c r="E347"/>
  <c r="F347"/>
  <c r="E348"/>
  <c r="F348"/>
  <c r="E349"/>
  <c r="F349"/>
  <c r="E350"/>
  <c r="F350"/>
  <c r="E351"/>
  <c r="F351"/>
  <c r="E352"/>
  <c r="F352"/>
  <c r="E353"/>
  <c r="F353"/>
  <c r="E354"/>
  <c r="F354"/>
  <c r="E355"/>
  <c r="F355"/>
  <c r="E356"/>
  <c r="F356"/>
  <c r="E357"/>
  <c r="F357"/>
  <c r="E358"/>
  <c r="F358"/>
  <c r="E359"/>
  <c r="F359"/>
  <c r="E360"/>
  <c r="F360"/>
  <c r="E361"/>
  <c r="F361"/>
  <c r="E362"/>
  <c r="F362"/>
  <c r="E363"/>
  <c r="F363"/>
  <c r="E364"/>
  <c r="F364"/>
  <c r="E365"/>
  <c r="F365"/>
  <c r="E366"/>
  <c r="F366"/>
  <c r="E367"/>
  <c r="F367"/>
  <c r="E368"/>
  <c r="F368"/>
  <c r="E369"/>
  <c r="F369"/>
  <c r="E370"/>
  <c r="F370"/>
  <c r="E371"/>
  <c r="F371"/>
  <c r="E372"/>
  <c r="F372"/>
  <c r="E373"/>
  <c r="F373"/>
  <c r="E374"/>
  <c r="F374"/>
  <c r="E375"/>
  <c r="F375"/>
  <c r="E376"/>
  <c r="F376"/>
  <c r="E377"/>
  <c r="F377"/>
  <c r="E378"/>
  <c r="F378"/>
  <c r="E379"/>
  <c r="F379"/>
  <c r="E380"/>
  <c r="F380"/>
  <c r="E381"/>
  <c r="F381"/>
  <c r="E382"/>
  <c r="F382"/>
  <c r="E383"/>
  <c r="F383"/>
  <c r="E384"/>
  <c r="F384"/>
  <c r="E385"/>
  <c r="F385"/>
  <c r="E386"/>
  <c r="F386"/>
  <c r="E387"/>
  <c r="F387"/>
  <c r="E388"/>
  <c r="F388"/>
  <c r="E389"/>
  <c r="F389"/>
  <c r="E390"/>
  <c r="F390"/>
  <c r="E391"/>
  <c r="F391"/>
  <c r="E392"/>
  <c r="F392"/>
  <c r="E393"/>
  <c r="F393"/>
  <c r="E394"/>
  <c r="F394"/>
  <c r="E395"/>
  <c r="F395"/>
  <c r="E396"/>
  <c r="F396"/>
  <c r="E397"/>
  <c r="F397"/>
  <c r="E398"/>
  <c r="F398"/>
  <c r="E399"/>
  <c r="F399"/>
  <c r="E400"/>
  <c r="F400"/>
  <c r="E401"/>
  <c r="F401"/>
  <c r="E402"/>
  <c r="F402"/>
  <c r="E403"/>
  <c r="F403"/>
  <c r="E404"/>
  <c r="F404"/>
  <c r="E405"/>
  <c r="F405"/>
  <c r="E406"/>
  <c r="F406" s="1"/>
  <c r="E407"/>
  <c r="F407"/>
  <c r="E408"/>
  <c r="F408" s="1"/>
  <c r="E409"/>
  <c r="F409"/>
  <c r="E410"/>
  <c r="F410" s="1"/>
  <c r="E411"/>
  <c r="F411"/>
  <c r="E412"/>
  <c r="F412" s="1"/>
  <c r="E413"/>
  <c r="F413"/>
  <c r="E414"/>
  <c r="F414" s="1"/>
  <c r="E415"/>
  <c r="F415"/>
  <c r="E416"/>
  <c r="F416" s="1"/>
  <c r="E417"/>
  <c r="F417"/>
  <c r="E418"/>
  <c r="F418" s="1"/>
  <c r="E419"/>
  <c r="F419"/>
  <c r="E420"/>
  <c r="F420" s="1"/>
  <c r="E421"/>
  <c r="F421"/>
  <c r="F286"/>
  <c r="E286"/>
  <c r="E285"/>
  <c r="F285" s="1"/>
  <c r="F284"/>
  <c r="E284"/>
  <c r="E283"/>
  <c r="F283" s="1"/>
  <c r="F282"/>
  <c r="E282"/>
  <c r="E281"/>
  <c r="F281" s="1"/>
  <c r="E280"/>
  <c r="F280" s="1"/>
  <c r="E279"/>
  <c r="F279" s="1"/>
  <c r="F278"/>
  <c r="E278"/>
  <c r="E277"/>
  <c r="F277" s="1"/>
  <c r="F276"/>
  <c r="E276"/>
  <c r="E275"/>
  <c r="F275" s="1"/>
  <c r="F274"/>
  <c r="E274"/>
  <c r="E273"/>
  <c r="F273" s="1"/>
  <c r="E272"/>
  <c r="F272" s="1"/>
  <c r="E271"/>
  <c r="F271" s="1"/>
  <c r="F270"/>
  <c r="E270"/>
  <c r="E269"/>
  <c r="F269" s="1"/>
  <c r="F268"/>
  <c r="E268"/>
  <c r="E267"/>
  <c r="F267" s="1"/>
  <c r="F266"/>
  <c r="E266"/>
  <c r="E265"/>
  <c r="F265" s="1"/>
  <c r="E264"/>
  <c r="F264" s="1"/>
  <c r="E263"/>
  <c r="F263" s="1"/>
  <c r="F262"/>
  <c r="E262"/>
  <c r="E261"/>
  <c r="F261" s="1"/>
  <c r="F260"/>
  <c r="E260"/>
  <c r="E259"/>
  <c r="F259" s="1"/>
  <c r="F258"/>
  <c r="E258"/>
  <c r="E257"/>
  <c r="F257" s="1"/>
  <c r="E256"/>
  <c r="F256" s="1"/>
  <c r="E255"/>
  <c r="F255" s="1"/>
  <c r="F254"/>
  <c r="E254"/>
  <c r="E253"/>
  <c r="F253" s="1"/>
  <c r="F252"/>
  <c r="E252"/>
  <c r="E251"/>
  <c r="F251" s="1"/>
  <c r="F250"/>
  <c r="E250"/>
  <c r="E249"/>
  <c r="F249" s="1"/>
  <c r="E248"/>
  <c r="F248" s="1"/>
  <c r="E247"/>
  <c r="F247" s="1"/>
  <c r="F246"/>
  <c r="E246"/>
  <c r="E245"/>
  <c r="F245" s="1"/>
  <c r="F244"/>
  <c r="E244"/>
  <c r="E243"/>
  <c r="F243" s="1"/>
  <c r="F242"/>
  <c r="E242"/>
  <c r="E241"/>
  <c r="F241" s="1"/>
  <c r="E240"/>
  <c r="F240" s="1"/>
  <c r="E239"/>
  <c r="F239" s="1"/>
  <c r="F238"/>
  <c r="E238"/>
  <c r="E237"/>
  <c r="F237" s="1"/>
  <c r="F236"/>
  <c r="E236"/>
  <c r="E235"/>
  <c r="F235" s="1"/>
  <c r="F234"/>
  <c r="E234"/>
  <c r="E233"/>
  <c r="F233" s="1"/>
  <c r="E232"/>
  <c r="F232" s="1"/>
  <c r="E231"/>
  <c r="F231" s="1"/>
  <c r="F230"/>
  <c r="E230"/>
  <c r="E229"/>
  <c r="F229" s="1"/>
  <c r="F228"/>
  <c r="E228"/>
  <c r="E227"/>
  <c r="F227" s="1"/>
  <c r="F226"/>
  <c r="E226"/>
  <c r="E225"/>
  <c r="F225" s="1"/>
  <c r="E224"/>
  <c r="F224" s="1"/>
  <c r="E223"/>
  <c r="F223" s="1"/>
  <c r="F222"/>
  <c r="E222"/>
  <c r="E221"/>
  <c r="F221" s="1"/>
  <c r="F220"/>
  <c r="E220"/>
  <c r="E219"/>
  <c r="F219" s="1"/>
  <c r="F218"/>
  <c r="E218"/>
  <c r="E217"/>
  <c r="F217" s="1"/>
  <c r="E216"/>
  <c r="F216" s="1"/>
  <c r="E215"/>
  <c r="F215" s="1"/>
  <c r="F214"/>
  <c r="E214"/>
  <c r="E213"/>
  <c r="F213" s="1"/>
  <c r="F212"/>
  <c r="E212"/>
  <c r="E211"/>
  <c r="F211" s="1"/>
  <c r="F210"/>
  <c r="E210"/>
  <c r="E209"/>
  <c r="F209" s="1"/>
  <c r="E208"/>
  <c r="F208" s="1"/>
  <c r="E207"/>
  <c r="F207" s="1"/>
  <c r="F206"/>
  <c r="E206"/>
  <c r="E205"/>
  <c r="F205" s="1"/>
  <c r="F204"/>
  <c r="E204"/>
  <c r="E203"/>
  <c r="F203" s="1"/>
  <c r="F202"/>
  <c r="E202"/>
  <c r="E201"/>
  <c r="F201" s="1"/>
  <c r="E200"/>
  <c r="F200" s="1"/>
  <c r="E199"/>
  <c r="F199" s="1"/>
  <c r="F198"/>
  <c r="E198"/>
  <c r="E197"/>
  <c r="F197" s="1"/>
  <c r="F196"/>
  <c r="E196"/>
  <c r="E195"/>
  <c r="F195" s="1"/>
  <c r="F194"/>
  <c r="E194"/>
  <c r="E193"/>
  <c r="F193" s="1"/>
  <c r="E192"/>
  <c r="F192" s="1"/>
  <c r="E191"/>
  <c r="F191" s="1"/>
  <c r="F190"/>
  <c r="E190"/>
  <c r="E189"/>
  <c r="F189" s="1"/>
  <c r="F188"/>
  <c r="E188"/>
  <c r="E187"/>
  <c r="F187" s="1"/>
  <c r="F186"/>
  <c r="E186"/>
  <c r="E185"/>
  <c r="F185" s="1"/>
  <c r="E184"/>
  <c r="F184" s="1"/>
  <c r="E183"/>
  <c r="F183" s="1"/>
  <c r="F182"/>
  <c r="E182"/>
  <c r="E181"/>
  <c r="F181" s="1"/>
  <c r="F180"/>
  <c r="E180"/>
  <c r="E179"/>
  <c r="F179" s="1"/>
  <c r="F178"/>
  <c r="E178"/>
  <c r="E177"/>
  <c r="F177" s="1"/>
  <c r="E176"/>
  <c r="F176" s="1"/>
  <c r="E175"/>
  <c r="F175" s="1"/>
  <c r="F174"/>
  <c r="E174"/>
  <c r="E173"/>
  <c r="F173" s="1"/>
  <c r="F172"/>
  <c r="E172"/>
  <c r="E171"/>
  <c r="F171" s="1"/>
  <c r="F170"/>
  <c r="E170"/>
  <c r="E169"/>
  <c r="F169" s="1"/>
  <c r="E168"/>
  <c r="F168" s="1"/>
  <c r="E167"/>
  <c r="F167" s="1"/>
  <c r="F166"/>
  <c r="E166"/>
  <c r="E165"/>
  <c r="F165" s="1"/>
  <c r="F164"/>
  <c r="E164"/>
  <c r="E163"/>
  <c r="F163" s="1"/>
  <c r="F162"/>
  <c r="E162"/>
  <c r="E161"/>
  <c r="F161" s="1"/>
  <c r="E160"/>
  <c r="F160" s="1"/>
  <c r="E159"/>
  <c r="F159" s="1"/>
  <c r="F158"/>
  <c r="E158"/>
  <c r="E157"/>
  <c r="F157" s="1"/>
  <c r="F156"/>
  <c r="E156"/>
  <c r="E155"/>
  <c r="F155" s="1"/>
  <c r="F154"/>
  <c r="E154"/>
  <c r="E153"/>
  <c r="F153" s="1"/>
  <c r="E152"/>
  <c r="F152" s="1"/>
  <c r="E151"/>
  <c r="F151" s="1"/>
  <c r="F150"/>
  <c r="E150"/>
  <c r="E149"/>
  <c r="F149" s="1"/>
  <c r="F148"/>
  <c r="E148"/>
  <c r="E147"/>
  <c r="F147" s="1"/>
  <c r="F146"/>
  <c r="E146"/>
  <c r="E145"/>
  <c r="F145" s="1"/>
  <c r="E144"/>
  <c r="F144" s="1"/>
  <c r="E143"/>
  <c r="F143" s="1"/>
  <c r="F142"/>
  <c r="E142"/>
  <c r="E141"/>
  <c r="F141" s="1"/>
  <c r="F140"/>
  <c r="E140"/>
  <c r="E139"/>
  <c r="F139" s="1"/>
  <c r="F138"/>
  <c r="E138"/>
  <c r="E137"/>
  <c r="F137" s="1"/>
  <c r="E136"/>
  <c r="F136" s="1"/>
  <c r="E135"/>
  <c r="F135" s="1"/>
  <c r="F134"/>
  <c r="E134"/>
  <c r="E133"/>
  <c r="F133" s="1"/>
  <c r="F132"/>
  <c r="E132"/>
  <c r="E131"/>
  <c r="F131" s="1"/>
  <c r="F130"/>
  <c r="E130"/>
  <c r="E129"/>
  <c r="F129" s="1"/>
  <c r="E128"/>
  <c r="F128" s="1"/>
  <c r="E127"/>
  <c r="F127" s="1"/>
  <c r="F126"/>
  <c r="E126"/>
  <c r="E125"/>
  <c r="F125" s="1"/>
  <c r="F124"/>
  <c r="E124"/>
  <c r="E123"/>
  <c r="F123" s="1"/>
  <c r="F122"/>
  <c r="E122"/>
  <c r="E121"/>
  <c r="F121" s="1"/>
  <c r="E120"/>
  <c r="F120" s="1"/>
  <c r="E119"/>
  <c r="F119" s="1"/>
  <c r="F118"/>
  <c r="E118"/>
  <c r="E117"/>
  <c r="F117" s="1"/>
  <c r="F116"/>
  <c r="E116"/>
  <c r="E115"/>
  <c r="F115" s="1"/>
  <c r="F114"/>
  <c r="E114"/>
  <c r="E113"/>
  <c r="F113" s="1"/>
  <c r="E112"/>
  <c r="F112" s="1"/>
  <c r="E111"/>
  <c r="F111" s="1"/>
  <c r="F110"/>
  <c r="E110"/>
  <c r="E109"/>
  <c r="F109" s="1"/>
  <c r="F108"/>
  <c r="E108"/>
  <c r="E107"/>
  <c r="F107" s="1"/>
  <c r="F106"/>
  <c r="E106"/>
  <c r="E105"/>
  <c r="F105" s="1"/>
  <c r="E104"/>
  <c r="F104" s="1"/>
  <c r="E103"/>
  <c r="F103" s="1"/>
  <c r="F102"/>
  <c r="E102"/>
  <c r="E101"/>
  <c r="F101" s="1"/>
  <c r="F100"/>
  <c r="E100"/>
  <c r="E99"/>
  <c r="F99" s="1"/>
  <c r="F98"/>
  <c r="E98"/>
  <c r="E97"/>
  <c r="F97" s="1"/>
  <c r="E96"/>
  <c r="F96" s="1"/>
  <c r="E95"/>
  <c r="F95" s="1"/>
  <c r="F94"/>
  <c r="E94"/>
  <c r="E93"/>
  <c r="F93" s="1"/>
  <c r="F92"/>
  <c r="E92"/>
  <c r="E91"/>
  <c r="F91" s="1"/>
  <c r="F90"/>
  <c r="E90"/>
  <c r="E89"/>
  <c r="F89" s="1"/>
  <c r="E88"/>
  <c r="F88" s="1"/>
  <c r="E87"/>
  <c r="F87" s="1"/>
  <c r="F86"/>
  <c r="E86"/>
  <c r="E85"/>
  <c r="F85" s="1"/>
  <c r="F84"/>
  <c r="E84"/>
  <c r="E83"/>
  <c r="F83" s="1"/>
  <c r="F82"/>
  <c r="E82"/>
  <c r="E81"/>
  <c r="F81" s="1"/>
  <c r="E80"/>
  <c r="F80" s="1"/>
  <c r="E79"/>
  <c r="F79" s="1"/>
  <c r="F78"/>
  <c r="E78"/>
  <c r="E77"/>
  <c r="F77" s="1"/>
  <c r="F76"/>
  <c r="E76"/>
  <c r="E75"/>
  <c r="F75" s="1"/>
  <c r="F74"/>
  <c r="E74"/>
  <c r="E73"/>
  <c r="F73" s="1"/>
  <c r="E72"/>
  <c r="F72" s="1"/>
  <c r="E71"/>
  <c r="F71" s="1"/>
  <c r="F70"/>
  <c r="E70"/>
  <c r="E69"/>
  <c r="F69" s="1"/>
  <c r="F68"/>
  <c r="E68"/>
  <c r="E67"/>
  <c r="F67" s="1"/>
  <c r="F66"/>
  <c r="E66"/>
  <c r="E65"/>
  <c r="F65" s="1"/>
  <c r="E64"/>
  <c r="F64" s="1"/>
  <c r="E63"/>
  <c r="F63" s="1"/>
  <c r="F62"/>
  <c r="E62"/>
  <c r="E61"/>
  <c r="F61" s="1"/>
  <c r="F60"/>
  <c r="E60"/>
  <c r="E59"/>
  <c r="F59" s="1"/>
  <c r="F58"/>
  <c r="E58"/>
  <c r="E57"/>
  <c r="F57" s="1"/>
  <c r="E56"/>
  <c r="F56" s="1"/>
  <c r="E55"/>
  <c r="F55" s="1"/>
  <c r="F54"/>
  <c r="E54"/>
  <c r="E53"/>
  <c r="F53" s="1"/>
  <c r="F52"/>
  <c r="E52"/>
  <c r="E51"/>
  <c r="F51" s="1"/>
  <c r="F50"/>
  <c r="E50"/>
  <c r="E49"/>
  <c r="F49" s="1"/>
  <c r="E48"/>
  <c r="F48" s="1"/>
  <c r="E47"/>
  <c r="F47" s="1"/>
  <c r="F46"/>
  <c r="E46"/>
  <c r="E45"/>
  <c r="F45" s="1"/>
  <c r="F44"/>
  <c r="E44"/>
  <c r="E43"/>
  <c r="F43" s="1"/>
  <c r="F42"/>
  <c r="E42"/>
  <c r="E41"/>
  <c r="F41" s="1"/>
  <c r="E40"/>
  <c r="F40" s="1"/>
  <c r="E39"/>
  <c r="F39" s="1"/>
  <c r="F38"/>
  <c r="E38"/>
  <c r="E37"/>
  <c r="F37" s="1"/>
  <c r="F36"/>
  <c r="E36"/>
  <c r="E35"/>
  <c r="F35" s="1"/>
  <c r="F34"/>
  <c r="E34"/>
  <c r="E33"/>
  <c r="F33" s="1"/>
  <c r="E32"/>
  <c r="F32" s="1"/>
  <c r="E31"/>
  <c r="F31" s="1"/>
  <c r="F30"/>
  <c r="E30"/>
  <c r="E29"/>
  <c r="F29" s="1"/>
  <c r="F28"/>
  <c r="E28"/>
  <c r="E27"/>
  <c r="F27" s="1"/>
  <c r="F26"/>
  <c r="E26"/>
  <c r="E25"/>
  <c r="F25" s="1"/>
  <c r="E24"/>
  <c r="F24" s="1"/>
  <c r="E23"/>
  <c r="F23" s="1"/>
  <c r="F22"/>
  <c r="E22"/>
  <c r="E21"/>
  <c r="F21" s="1"/>
  <c r="F20"/>
  <c r="E20"/>
  <c r="E19"/>
  <c r="F19" s="1"/>
  <c r="F18"/>
  <c r="E18"/>
  <c r="E17"/>
  <c r="F17" s="1"/>
  <c r="E16"/>
  <c r="F16" s="1"/>
  <c r="E15"/>
  <c r="F15" s="1"/>
  <c r="F14"/>
  <c r="E14"/>
  <c r="E13"/>
  <c r="F13" s="1"/>
  <c r="F12"/>
  <c r="E12"/>
  <c r="E11"/>
  <c r="F11" s="1"/>
  <c r="F10"/>
  <c r="E10"/>
  <c r="E9"/>
  <c r="F9" s="1"/>
  <c r="E8"/>
  <c r="F8" s="1"/>
  <c r="E7"/>
  <c r="F7" s="1"/>
  <c r="E6"/>
  <c r="F6" s="1"/>
  <c r="I5"/>
  <c r="I6" s="1"/>
  <c r="F5"/>
  <c r="E5"/>
  <c r="I4"/>
  <c r="F4"/>
  <c r="E4"/>
  <c r="M40" i="11"/>
  <c r="K40"/>
  <c r="M39"/>
  <c r="M38"/>
  <c r="M37"/>
  <c r="M36"/>
  <c r="K36"/>
  <c r="M35"/>
  <c r="M34"/>
  <c r="M33"/>
  <c r="M32"/>
  <c r="K32"/>
  <c r="M31"/>
  <c r="M30"/>
  <c r="M29"/>
  <c r="M28"/>
  <c r="K28"/>
  <c r="M27"/>
  <c r="M26"/>
  <c r="H26"/>
  <c r="M25"/>
  <c r="H25"/>
  <c r="M24"/>
  <c r="M23"/>
  <c r="M22"/>
  <c r="M21"/>
  <c r="M20"/>
  <c r="M19"/>
  <c r="M18"/>
  <c r="M17"/>
  <c r="M16"/>
  <c r="M15"/>
  <c r="M14"/>
  <c r="K14"/>
  <c r="M13"/>
  <c r="M12"/>
  <c r="H12"/>
  <c r="M11"/>
  <c r="K11"/>
  <c r="H11"/>
  <c r="M10"/>
  <c r="H10"/>
  <c r="M9"/>
  <c r="H9"/>
  <c r="M8"/>
  <c r="H8"/>
  <c r="M7"/>
  <c r="K7"/>
  <c r="H7"/>
  <c r="H13" s="1"/>
  <c r="M6"/>
  <c r="H6"/>
  <c r="M5"/>
  <c r="K5"/>
  <c r="H5"/>
  <c r="K39" s="1"/>
  <c r="M4"/>
  <c r="K4"/>
  <c r="M3"/>
  <c r="AB148" i="7" a="1"/>
  <c r="AB148"/>
  <c r="AB147" a="1"/>
  <c r="AB147"/>
  <c r="AC146"/>
  <c r="AB146" a="1"/>
  <c r="AB146"/>
  <c r="AC145"/>
  <c r="AB145" a="1"/>
  <c r="AB145"/>
  <c r="AC144"/>
  <c r="AB144" a="1"/>
  <c r="AB144"/>
  <c r="AC143"/>
  <c r="AB143" a="1"/>
  <c r="AB143"/>
  <c r="AC142"/>
  <c r="AB142" a="1"/>
  <c r="AB142"/>
  <c r="AC141"/>
  <c r="AB141" a="1"/>
  <c r="AB141"/>
  <c r="AC140"/>
  <c r="AB140" a="1"/>
  <c r="AB140"/>
  <c r="AC139"/>
  <c r="AB139" a="1"/>
  <c r="AB139"/>
  <c r="AC138"/>
  <c r="AB138" a="1"/>
  <c r="AB138"/>
  <c r="AC137"/>
  <c r="AB137" a="1"/>
  <c r="AB137"/>
  <c r="AC136"/>
  <c r="AB136" a="1"/>
  <c r="AB136"/>
  <c r="AC135"/>
  <c r="AB135" a="1"/>
  <c r="AB135"/>
  <c r="AC134"/>
  <c r="AB134" a="1"/>
  <c r="AB134"/>
  <c r="AC133"/>
  <c r="AB133" a="1"/>
  <c r="AB133"/>
  <c r="AC132"/>
  <c r="AB132" a="1"/>
  <c r="AB132"/>
  <c r="AC131"/>
  <c r="AB131" a="1"/>
  <c r="AB131"/>
  <c r="AC130"/>
  <c r="AB130" a="1"/>
  <c r="AB130"/>
  <c r="AC129"/>
  <c r="AB129" a="1"/>
  <c r="AB129"/>
  <c r="AC128"/>
  <c r="AB128" a="1"/>
  <c r="AB128"/>
  <c r="AC127"/>
  <c r="AB127" a="1"/>
  <c r="AB127"/>
  <c r="AC126"/>
  <c r="AB126" a="1"/>
  <c r="AB126"/>
  <c r="AC125"/>
  <c r="AB125" a="1"/>
  <c r="AB125"/>
  <c r="AC124"/>
  <c r="AB124" a="1"/>
  <c r="AB124"/>
  <c r="AC123"/>
  <c r="AB123" a="1"/>
  <c r="AB123"/>
  <c r="AC122"/>
  <c r="AB122" a="1"/>
  <c r="AB122"/>
  <c r="AC121"/>
  <c r="AB121" a="1"/>
  <c r="AB121"/>
  <c r="AC120"/>
  <c r="AB120" a="1"/>
  <c r="AB120"/>
  <c r="AC119"/>
  <c r="AB119" a="1"/>
  <c r="AB119"/>
  <c r="AC118"/>
  <c r="AB118" a="1"/>
  <c r="AB118"/>
  <c r="AC117"/>
  <c r="AB117" a="1"/>
  <c r="AB117"/>
  <c r="AC116"/>
  <c r="AB116" a="1"/>
  <c r="AB116"/>
  <c r="AC115"/>
  <c r="AB115" a="1"/>
  <c r="AB115"/>
  <c r="AC114"/>
  <c r="AB114" a="1"/>
  <c r="AB114"/>
  <c r="AC113"/>
  <c r="AB113" a="1"/>
  <c r="AB113"/>
  <c r="AC112"/>
  <c r="AB112" a="1"/>
  <c r="AB112"/>
  <c r="AC111"/>
  <c r="AB111" a="1"/>
  <c r="AB111"/>
  <c r="AC110"/>
  <c r="AB110" a="1"/>
  <c r="AB110"/>
  <c r="AC109"/>
  <c r="AB109" a="1"/>
  <c r="AB109"/>
  <c r="AC108"/>
  <c r="AB108" a="1"/>
  <c r="AB108"/>
  <c r="AC107"/>
  <c r="AB107" a="1"/>
  <c r="AB107"/>
  <c r="AC106"/>
  <c r="AB106" a="1"/>
  <c r="AB106"/>
  <c r="AC105"/>
  <c r="AB105" a="1"/>
  <c r="AB105"/>
  <c r="AC104"/>
  <c r="AB104" a="1"/>
  <c r="AB104"/>
  <c r="AC103"/>
  <c r="AB103" a="1"/>
  <c r="AB103"/>
  <c r="AC102"/>
  <c r="AB102" a="1"/>
  <c r="AB102"/>
  <c r="AC101"/>
  <c r="AB101" a="1"/>
  <c r="AB101"/>
  <c r="AC100"/>
  <c r="AB100" a="1"/>
  <c r="AB100"/>
  <c r="AC99"/>
  <c r="AB99" a="1"/>
  <c r="AB99"/>
  <c r="AC98"/>
  <c r="AB98" a="1"/>
  <c r="AB98"/>
  <c r="AC97"/>
  <c r="AB97" a="1"/>
  <c r="AB97"/>
  <c r="AC96"/>
  <c r="AB96" a="1"/>
  <c r="AB96"/>
  <c r="AC95"/>
  <c r="AB95" a="1"/>
  <c r="AB95"/>
  <c r="AC94"/>
  <c r="AB94" a="1"/>
  <c r="AB94"/>
  <c r="AC93"/>
  <c r="AB93" a="1"/>
  <c r="AB93"/>
  <c r="AC92"/>
  <c r="AB92" a="1"/>
  <c r="AB92"/>
  <c r="AC91"/>
  <c r="AB91" a="1"/>
  <c r="AB91"/>
  <c r="AC90"/>
  <c r="AB90" a="1"/>
  <c r="AB90"/>
  <c r="AC89"/>
  <c r="AB89" a="1"/>
  <c r="AB89"/>
  <c r="AC88"/>
  <c r="AB88" a="1"/>
  <c r="AB88"/>
  <c r="AC87"/>
  <c r="AB87" a="1"/>
  <c r="AB87"/>
  <c r="AC86"/>
  <c r="AB86" a="1"/>
  <c r="AB86"/>
  <c r="AC85"/>
  <c r="AB85" a="1"/>
  <c r="AB85"/>
  <c r="AC84"/>
  <c r="AB84" a="1"/>
  <c r="AB84"/>
  <c r="AC83"/>
  <c r="AB83" a="1"/>
  <c r="AB83"/>
  <c r="AC82"/>
  <c r="AB82" a="1"/>
  <c r="AB82"/>
  <c r="AC81"/>
  <c r="AB81" a="1"/>
  <c r="AB81"/>
  <c r="AC80"/>
  <c r="AB80" a="1"/>
  <c r="AB80"/>
  <c r="AC79"/>
  <c r="AB79" a="1"/>
  <c r="AB79"/>
  <c r="AC78"/>
  <c r="AB78" a="1"/>
  <c r="AB78"/>
  <c r="AC77"/>
  <c r="AB77" a="1"/>
  <c r="AB77"/>
  <c r="AC76"/>
  <c r="AB76" a="1"/>
  <c r="AB76"/>
  <c r="AC75"/>
  <c r="AB75" a="1"/>
  <c r="AB75"/>
  <c r="AC74"/>
  <c r="AB74" a="1"/>
  <c r="AB74"/>
  <c r="AC73"/>
  <c r="AB73" a="1"/>
  <c r="AB73"/>
  <c r="AC72"/>
  <c r="AB72" a="1"/>
  <c r="AB72"/>
  <c r="AC71"/>
  <c r="AB71" a="1"/>
  <c r="AB71"/>
  <c r="AC70"/>
  <c r="AB70" a="1"/>
  <c r="AB70"/>
  <c r="AC69"/>
  <c r="AB69" a="1"/>
  <c r="AB69"/>
  <c r="AC68"/>
  <c r="AB68" a="1"/>
  <c r="AB68"/>
  <c r="AC67"/>
  <c r="AB67" a="1"/>
  <c r="AB67"/>
  <c r="AC66"/>
  <c r="AB66" a="1"/>
  <c r="AB66"/>
  <c r="AC65"/>
  <c r="AB65" a="1"/>
  <c r="AB65"/>
  <c r="AC64"/>
  <c r="AB64" a="1"/>
  <c r="AB64"/>
  <c r="AC63"/>
  <c r="AB63" a="1"/>
  <c r="AB63"/>
  <c r="AC62"/>
  <c r="AB62" a="1"/>
  <c r="AB62"/>
  <c r="AC61"/>
  <c r="AB61" a="1"/>
  <c r="AB61"/>
  <c r="AC60"/>
  <c r="AB60" a="1"/>
  <c r="AB60"/>
  <c r="AC59"/>
  <c r="AB59" a="1"/>
  <c r="AB59"/>
  <c r="AC58"/>
  <c r="AB58" a="1"/>
  <c r="AB58"/>
  <c r="AC57"/>
  <c r="AB57" a="1"/>
  <c r="AB57"/>
  <c r="AC56"/>
  <c r="AB56" a="1"/>
  <c r="AB56"/>
  <c r="AC55"/>
  <c r="AB55" a="1"/>
  <c r="AB55"/>
  <c r="AC54"/>
  <c r="AB54" a="1"/>
  <c r="AB54"/>
  <c r="AC53"/>
  <c r="AB53" a="1"/>
  <c r="AB53"/>
  <c r="AC52"/>
  <c r="AB52" a="1"/>
  <c r="AB52"/>
  <c r="AC51"/>
  <c r="AB51" a="1"/>
  <c r="AB51"/>
  <c r="AC50"/>
  <c r="AB50" a="1"/>
  <c r="AB50"/>
  <c r="AC49"/>
  <c r="AB49" a="1"/>
  <c r="AB49"/>
  <c r="AC48"/>
  <c r="AB48" a="1"/>
  <c r="AB48"/>
  <c r="AC47"/>
  <c r="AB47" a="1"/>
  <c r="AB47"/>
  <c r="AC46"/>
  <c r="AB46" a="1"/>
  <c r="AB46"/>
  <c r="AC45"/>
  <c r="AB45" a="1"/>
  <c r="AB45"/>
  <c r="AC44"/>
  <c r="AB44" a="1"/>
  <c r="AB44"/>
  <c r="AC43"/>
  <c r="AB43" a="1"/>
  <c r="AB43"/>
  <c r="AC42"/>
  <c r="AB42" a="1"/>
  <c r="AB42"/>
  <c r="AC41"/>
  <c r="AB41" a="1"/>
  <c r="AB41"/>
  <c r="AC40"/>
  <c r="AB40" a="1"/>
  <c r="AB40"/>
  <c r="AC39"/>
  <c r="AB39" a="1"/>
  <c r="AB39"/>
  <c r="AC38"/>
  <c r="AB38" a="1"/>
  <c r="AB38"/>
  <c r="AC37"/>
  <c r="AB37" a="1"/>
  <c r="AB37"/>
  <c r="AC36"/>
  <c r="AB36" a="1"/>
  <c r="AB36"/>
  <c r="AC35"/>
  <c r="AB35" a="1"/>
  <c r="AB35"/>
  <c r="AC34"/>
  <c r="AB34" a="1"/>
  <c r="AB34"/>
  <c r="AC33"/>
  <c r="AB33" a="1"/>
  <c r="AB33"/>
  <c r="AC32"/>
  <c r="AB32" a="1"/>
  <c r="AB32"/>
  <c r="AC31"/>
  <c r="AB31" a="1"/>
  <c r="AB31"/>
  <c r="AC30"/>
  <c r="AB30" a="1"/>
  <c r="AB30"/>
  <c r="AC29"/>
  <c r="AB29" a="1"/>
  <c r="AB29"/>
  <c r="AC28"/>
  <c r="AB28" a="1"/>
  <c r="AB28"/>
  <c r="AC27"/>
  <c r="AB27" a="1"/>
  <c r="AB27"/>
  <c r="AC26"/>
  <c r="AB26" a="1"/>
  <c r="AB26"/>
  <c r="AC25"/>
  <c r="AB25" a="1"/>
  <c r="AB25"/>
  <c r="AC24"/>
  <c r="AB24" a="1"/>
  <c r="AB24"/>
  <c r="AC23"/>
  <c r="AB23" a="1"/>
  <c r="AB23"/>
  <c r="AC22"/>
  <c r="AB22" a="1"/>
  <c r="AB22"/>
  <c r="AC21"/>
  <c r="AB21" a="1"/>
  <c r="AB21"/>
  <c r="AC20"/>
  <c r="AB20" a="1"/>
  <c r="AB20"/>
  <c r="AC19"/>
  <c r="AB19" a="1"/>
  <c r="AB19"/>
  <c r="AC18"/>
  <c r="AB18" a="1"/>
  <c r="AB18"/>
  <c r="AC17"/>
  <c r="AB17" a="1"/>
  <c r="AB17"/>
  <c r="AC16"/>
  <c r="AB16" a="1"/>
  <c r="AB16"/>
  <c r="AC15"/>
  <c r="AB15" a="1"/>
  <c r="AB15"/>
  <c r="AC14"/>
  <c r="AB14" a="1"/>
  <c r="AB14"/>
  <c r="AC13"/>
  <c r="AB13" a="1"/>
  <c r="AB13"/>
  <c r="AC12"/>
  <c r="AB12" a="1"/>
  <c r="AB12"/>
  <c r="AC11"/>
  <c r="AB11" a="1"/>
  <c r="AB11"/>
  <c r="AC10"/>
  <c r="AB10" a="1"/>
  <c r="AB10"/>
  <c r="AC9"/>
  <c r="AB9" a="1"/>
  <c r="AB9"/>
  <c r="AC8"/>
  <c r="AB8" a="1"/>
  <c r="AB8"/>
  <c r="AC7"/>
  <c r="AB7" a="1"/>
  <c r="AB7"/>
  <c r="F7"/>
  <c r="AC6"/>
  <c r="AB6" a="1"/>
  <c r="AB6"/>
  <c r="F6"/>
  <c r="AC5"/>
  <c r="AB5" a="1"/>
  <c r="AB5"/>
  <c r="F5"/>
  <c r="AC4"/>
  <c r="AC148" s="1"/>
  <c r="M2" s="1"/>
  <c r="AB4" a="1"/>
  <c r="AB4"/>
  <c r="AB3" s="1"/>
  <c r="F4"/>
  <c r="H24" i="11"/>
  <c r="F146" i="7" l="1"/>
  <c r="F142"/>
  <c r="F138"/>
  <c r="F134"/>
  <c r="F130"/>
  <c r="F126"/>
  <c r="F122"/>
  <c r="F118"/>
  <c r="F114"/>
  <c r="F110"/>
  <c r="F106"/>
  <c r="F102"/>
  <c r="F98"/>
  <c r="F94"/>
  <c r="F90"/>
  <c r="F86"/>
  <c r="F82"/>
  <c r="F78"/>
  <c r="F74"/>
  <c r="F70"/>
  <c r="F66"/>
  <c r="F62"/>
  <c r="F58"/>
  <c r="F145"/>
  <c r="F141"/>
  <c r="F137"/>
  <c r="F133"/>
  <c r="F129"/>
  <c r="F125"/>
  <c r="F121"/>
  <c r="F117"/>
  <c r="F113"/>
  <c r="F109"/>
  <c r="F105"/>
  <c r="F101"/>
  <c r="F97"/>
  <c r="F93"/>
  <c r="F89"/>
  <c r="F85"/>
  <c r="F81"/>
  <c r="F77"/>
  <c r="F73"/>
  <c r="F69"/>
  <c r="F65"/>
  <c r="F61"/>
  <c r="F57"/>
  <c r="F53"/>
  <c r="F54"/>
  <c r="F51"/>
  <c r="F47"/>
  <c r="F43"/>
  <c r="F39"/>
  <c r="F35"/>
  <c r="F31"/>
  <c r="F27"/>
  <c r="F23"/>
  <c r="F19"/>
  <c r="F15"/>
  <c r="F11"/>
  <c r="F50"/>
  <c r="F46"/>
  <c r="F38"/>
  <c r="F30"/>
  <c r="F22"/>
  <c r="F14"/>
  <c r="H5" s="1"/>
  <c r="I5" s="1"/>
  <c r="J5" s="1"/>
  <c r="F147"/>
  <c r="F143"/>
  <c r="F139"/>
  <c r="F135"/>
  <c r="F131"/>
  <c r="F127"/>
  <c r="F123"/>
  <c r="F119"/>
  <c r="F115"/>
  <c r="F111"/>
  <c r="F107"/>
  <c r="F103"/>
  <c r="F99"/>
  <c r="F95"/>
  <c r="F91"/>
  <c r="F87"/>
  <c r="F83"/>
  <c r="F79"/>
  <c r="F75"/>
  <c r="F71"/>
  <c r="F67"/>
  <c r="F63"/>
  <c r="F59"/>
  <c r="F55"/>
  <c r="F49"/>
  <c r="F45"/>
  <c r="F41"/>
  <c r="F37"/>
  <c r="F33"/>
  <c r="F29"/>
  <c r="F25"/>
  <c r="F21"/>
  <c r="F17"/>
  <c r="F13"/>
  <c r="F9"/>
  <c r="F144"/>
  <c r="F140"/>
  <c r="F136"/>
  <c r="F132"/>
  <c r="F128"/>
  <c r="F124"/>
  <c r="F120"/>
  <c r="F116"/>
  <c r="F112"/>
  <c r="F108"/>
  <c r="F104"/>
  <c r="F100"/>
  <c r="F96"/>
  <c r="F92"/>
  <c r="F88"/>
  <c r="F84"/>
  <c r="F80"/>
  <c r="F76"/>
  <c r="F72"/>
  <c r="F68"/>
  <c r="F64"/>
  <c r="F60"/>
  <c r="F56"/>
  <c r="F52"/>
  <c r="F48"/>
  <c r="F44"/>
  <c r="F40"/>
  <c r="F36"/>
  <c r="F32"/>
  <c r="F28"/>
  <c r="F24"/>
  <c r="F20"/>
  <c r="F16"/>
  <c r="F12"/>
  <c r="H6" s="1"/>
  <c r="I6" s="1"/>
  <c r="J6" s="1"/>
  <c r="F8"/>
  <c r="F42"/>
  <c r="F34"/>
  <c r="H34" s="1"/>
  <c r="I34" s="1"/>
  <c r="J34" s="1"/>
  <c r="F26"/>
  <c r="F18"/>
  <c r="F10"/>
  <c r="L39" i="11"/>
  <c r="L35"/>
  <c r="L31"/>
  <c r="L27"/>
  <c r="L13"/>
  <c r="L12"/>
  <c r="L11"/>
  <c r="L10"/>
  <c r="L9"/>
  <c r="L8"/>
  <c r="L7"/>
  <c r="L6"/>
  <c r="L5"/>
  <c r="L4"/>
  <c r="L38"/>
  <c r="L34"/>
  <c r="L30"/>
  <c r="L26"/>
  <c r="L25"/>
  <c r="L24"/>
  <c r="L23"/>
  <c r="L22"/>
  <c r="L21"/>
  <c r="L20"/>
  <c r="L19"/>
  <c r="L18"/>
  <c r="L3"/>
  <c r="K8"/>
  <c r="K12"/>
  <c r="L15"/>
  <c r="L17"/>
  <c r="L29"/>
  <c r="L33"/>
  <c r="L37"/>
  <c r="K9"/>
  <c r="K13"/>
  <c r="K27"/>
  <c r="K31"/>
  <c r="K35"/>
  <c r="K38"/>
  <c r="K34"/>
  <c r="K30"/>
  <c r="K26"/>
  <c r="K25"/>
  <c r="K24"/>
  <c r="K23"/>
  <c r="K22"/>
  <c r="K21"/>
  <c r="K20"/>
  <c r="K19"/>
  <c r="K18"/>
  <c r="K3"/>
  <c r="K37"/>
  <c r="K33"/>
  <c r="K29"/>
  <c r="K17"/>
  <c r="K16"/>
  <c r="K15"/>
  <c r="K6"/>
  <c r="K10"/>
  <c r="L14"/>
  <c r="L16"/>
  <c r="L28"/>
  <c r="L32"/>
  <c r="L36"/>
  <c r="L40"/>
  <c r="I3" i="12"/>
  <c r="H16" i="11"/>
  <c r="H23"/>
  <c r="H17"/>
  <c r="H20" l="1"/>
  <c r="H22"/>
  <c r="I7" i="12"/>
  <c r="H7" i="7"/>
  <c r="I7" s="1"/>
  <c r="J7" s="1"/>
  <c r="H16"/>
  <c r="I16" s="1"/>
  <c r="J16" s="1"/>
  <c r="H48"/>
  <c r="I48" s="1"/>
  <c r="J48" s="1"/>
  <c r="H80"/>
  <c r="I80" s="1"/>
  <c r="J80" s="1"/>
  <c r="H112"/>
  <c r="I112" s="1"/>
  <c r="J112" s="1"/>
  <c r="H144"/>
  <c r="I144" s="1"/>
  <c r="J144" s="1"/>
  <c r="H37"/>
  <c r="I37" s="1"/>
  <c r="J37" s="1"/>
  <c r="H71"/>
  <c r="I71" s="1"/>
  <c r="J71" s="1"/>
  <c r="H103"/>
  <c r="I103" s="1"/>
  <c r="J103" s="1"/>
  <c r="H135"/>
  <c r="I135" s="1"/>
  <c r="J135" s="1"/>
  <c r="H19"/>
  <c r="I19" s="1"/>
  <c r="J19" s="1"/>
  <c r="H51"/>
  <c r="I51" s="1"/>
  <c r="J51" s="1"/>
  <c r="H77"/>
  <c r="I77" s="1"/>
  <c r="J77" s="1"/>
  <c r="H109"/>
  <c r="I109" s="1"/>
  <c r="J109" s="1"/>
  <c r="H141"/>
  <c r="I141" s="1"/>
  <c r="J141" s="1"/>
  <c r="H82"/>
  <c r="I82" s="1"/>
  <c r="J82" s="1"/>
  <c r="H114"/>
  <c r="I114" s="1"/>
  <c r="J114" s="1"/>
  <c r="H130"/>
  <c r="I130" s="1"/>
  <c r="J130" s="1"/>
  <c r="H26"/>
  <c r="I26" s="1"/>
  <c r="J26" s="1"/>
  <c r="H44"/>
  <c r="I44" s="1"/>
  <c r="J44" s="1"/>
  <c r="H76"/>
  <c r="I76" s="1"/>
  <c r="J76" s="1"/>
  <c r="H108"/>
  <c r="I108" s="1"/>
  <c r="J108" s="1"/>
  <c r="H140"/>
  <c r="I140" s="1"/>
  <c r="J140" s="1"/>
  <c r="H33"/>
  <c r="I33" s="1"/>
  <c r="J33" s="1"/>
  <c r="H67"/>
  <c r="I67" s="1"/>
  <c r="J67" s="1"/>
  <c r="H99"/>
  <c r="I99" s="1"/>
  <c r="J99" s="1"/>
  <c r="H131"/>
  <c r="I131" s="1"/>
  <c r="J131" s="1"/>
  <c r="H47"/>
  <c r="I47" s="1"/>
  <c r="J47" s="1"/>
  <c r="H73"/>
  <c r="I73" s="1"/>
  <c r="J73" s="1"/>
  <c r="H105"/>
  <c r="I105" s="1"/>
  <c r="J105" s="1"/>
  <c r="H137"/>
  <c r="I137" s="1"/>
  <c r="J137" s="1"/>
  <c r="H78"/>
  <c r="I78" s="1"/>
  <c r="J78" s="1"/>
  <c r="H110"/>
  <c r="I110" s="1"/>
  <c r="J110" s="1"/>
  <c r="H142"/>
  <c r="I142" s="1"/>
  <c r="J142" s="1"/>
  <c r="H10"/>
  <c r="I10" s="1"/>
  <c r="J10" s="1"/>
  <c r="H42"/>
  <c r="I42" s="1"/>
  <c r="J42" s="1"/>
  <c r="H20"/>
  <c r="I20" s="1"/>
  <c r="J20" s="1"/>
  <c r="H36"/>
  <c r="I36" s="1"/>
  <c r="J36" s="1"/>
  <c r="H52"/>
  <c r="I52" s="1"/>
  <c r="J52" s="1"/>
  <c r="H68"/>
  <c r="I68" s="1"/>
  <c r="J68" s="1"/>
  <c r="H84"/>
  <c r="I84" s="1"/>
  <c r="J84" s="1"/>
  <c r="H100"/>
  <c r="I100" s="1"/>
  <c r="J100" s="1"/>
  <c r="H116"/>
  <c r="I116" s="1"/>
  <c r="J116" s="1"/>
  <c r="H132"/>
  <c r="I132" s="1"/>
  <c r="J132" s="1"/>
  <c r="H9"/>
  <c r="I9" s="1"/>
  <c r="J9" s="1"/>
  <c r="H25"/>
  <c r="I25" s="1"/>
  <c r="J25" s="1"/>
  <c r="H41"/>
  <c r="I41" s="1"/>
  <c r="J41" s="1"/>
  <c r="H59"/>
  <c r="I59" s="1"/>
  <c r="J59" s="1"/>
  <c r="H75"/>
  <c r="I75" s="1"/>
  <c r="J75" s="1"/>
  <c r="H91"/>
  <c r="I91" s="1"/>
  <c r="J91" s="1"/>
  <c r="H107"/>
  <c r="I107" s="1"/>
  <c r="J107" s="1"/>
  <c r="H123"/>
  <c r="I123" s="1"/>
  <c r="J123" s="1"/>
  <c r="H139"/>
  <c r="I139" s="1"/>
  <c r="J139" s="1"/>
  <c r="H22"/>
  <c r="I22" s="1"/>
  <c r="J22" s="1"/>
  <c r="H50"/>
  <c r="I50" s="1"/>
  <c r="J50" s="1"/>
  <c r="H23"/>
  <c r="I23" s="1"/>
  <c r="J23" s="1"/>
  <c r="H39"/>
  <c r="I39" s="1"/>
  <c r="J39" s="1"/>
  <c r="H54"/>
  <c r="I54" s="1"/>
  <c r="J54" s="1"/>
  <c r="H65"/>
  <c r="I65" s="1"/>
  <c r="J65" s="1"/>
  <c r="H81"/>
  <c r="I81" s="1"/>
  <c r="J81" s="1"/>
  <c r="H97"/>
  <c r="I97" s="1"/>
  <c r="J97" s="1"/>
  <c r="H113"/>
  <c r="I113" s="1"/>
  <c r="J113" s="1"/>
  <c r="H129"/>
  <c r="I129" s="1"/>
  <c r="J129" s="1"/>
  <c r="H145"/>
  <c r="I145" s="1"/>
  <c r="J145" s="1"/>
  <c r="H70"/>
  <c r="I70" s="1"/>
  <c r="J70" s="1"/>
  <c r="H86"/>
  <c r="I86" s="1"/>
  <c r="J86" s="1"/>
  <c r="H102"/>
  <c r="I102" s="1"/>
  <c r="J102" s="1"/>
  <c r="H118"/>
  <c r="I118" s="1"/>
  <c r="J118" s="1"/>
  <c r="H134"/>
  <c r="I134" s="1"/>
  <c r="J134" s="1"/>
  <c r="H32"/>
  <c r="I32" s="1"/>
  <c r="J32" s="1"/>
  <c r="H64"/>
  <c r="I64" s="1"/>
  <c r="J64" s="1"/>
  <c r="H96"/>
  <c r="I96" s="1"/>
  <c r="J96" s="1"/>
  <c r="H128"/>
  <c r="I128" s="1"/>
  <c r="J128" s="1"/>
  <c r="H21"/>
  <c r="I21" s="1"/>
  <c r="J21" s="1"/>
  <c r="H55"/>
  <c r="I55" s="1"/>
  <c r="J55" s="1"/>
  <c r="H87"/>
  <c r="I87" s="1"/>
  <c r="J87" s="1"/>
  <c r="H119"/>
  <c r="I119" s="1"/>
  <c r="J119" s="1"/>
  <c r="H14"/>
  <c r="I14" s="1"/>
  <c r="J14" s="1"/>
  <c r="H46"/>
  <c r="I46" s="1"/>
  <c r="J46" s="1"/>
  <c r="H35"/>
  <c r="I35" s="1"/>
  <c r="J35" s="1"/>
  <c r="H61"/>
  <c r="I61" s="1"/>
  <c r="J61" s="1"/>
  <c r="H93"/>
  <c r="I93" s="1"/>
  <c r="J93" s="1"/>
  <c r="H125"/>
  <c r="I125" s="1"/>
  <c r="J125" s="1"/>
  <c r="H66"/>
  <c r="I66" s="1"/>
  <c r="J66" s="1"/>
  <c r="H98"/>
  <c r="I98" s="1"/>
  <c r="J98" s="1"/>
  <c r="H146"/>
  <c r="I146" s="1"/>
  <c r="J146" s="1"/>
  <c r="H12"/>
  <c r="I12" s="1"/>
  <c r="J12" s="1"/>
  <c r="H28"/>
  <c r="I28" s="1"/>
  <c r="J28" s="1"/>
  <c r="H60"/>
  <c r="I60" s="1"/>
  <c r="J60" s="1"/>
  <c r="H92"/>
  <c r="I92" s="1"/>
  <c r="J92" s="1"/>
  <c r="H124"/>
  <c r="I124" s="1"/>
  <c r="J124" s="1"/>
  <c r="H17"/>
  <c r="I17" s="1"/>
  <c r="J17" s="1"/>
  <c r="H49"/>
  <c r="I49" s="1"/>
  <c r="J49" s="1"/>
  <c r="H83"/>
  <c r="I83" s="1"/>
  <c r="J83" s="1"/>
  <c r="H115"/>
  <c r="I115" s="1"/>
  <c r="J115" s="1"/>
  <c r="H147"/>
  <c r="I147" s="1"/>
  <c r="J147" s="1"/>
  <c r="H38"/>
  <c r="I38" s="1"/>
  <c r="J38" s="1"/>
  <c r="H15"/>
  <c r="I15" s="1"/>
  <c r="J15" s="1"/>
  <c r="H31"/>
  <c r="I31" s="1"/>
  <c r="J31" s="1"/>
  <c r="H57"/>
  <c r="I57" s="1"/>
  <c r="J57" s="1"/>
  <c r="H89"/>
  <c r="I89" s="1"/>
  <c r="J89" s="1"/>
  <c r="H121"/>
  <c r="I121" s="1"/>
  <c r="J121" s="1"/>
  <c r="H62"/>
  <c r="I62" s="1"/>
  <c r="J62" s="1"/>
  <c r="H94"/>
  <c r="I94" s="1"/>
  <c r="J94" s="1"/>
  <c r="H126"/>
  <c r="I126" s="1"/>
  <c r="J126" s="1"/>
  <c r="H4"/>
  <c r="I4" s="1"/>
  <c r="J4" s="1"/>
  <c r="H18"/>
  <c r="I18" s="1"/>
  <c r="J18" s="1"/>
  <c r="H8"/>
  <c r="I8" s="1"/>
  <c r="J8" s="1"/>
  <c r="H24"/>
  <c r="I24" s="1"/>
  <c r="J24" s="1"/>
  <c r="H40"/>
  <c r="I40" s="1"/>
  <c r="J40" s="1"/>
  <c r="H56"/>
  <c r="I56" s="1"/>
  <c r="J56" s="1"/>
  <c r="H72"/>
  <c r="I72" s="1"/>
  <c r="J72" s="1"/>
  <c r="H88"/>
  <c r="I88" s="1"/>
  <c r="J88" s="1"/>
  <c r="H104"/>
  <c r="I104" s="1"/>
  <c r="J104" s="1"/>
  <c r="H120"/>
  <c r="I120" s="1"/>
  <c r="J120" s="1"/>
  <c r="H136"/>
  <c r="I136" s="1"/>
  <c r="J136" s="1"/>
  <c r="H13"/>
  <c r="I13" s="1"/>
  <c r="J13" s="1"/>
  <c r="H29"/>
  <c r="I29" s="1"/>
  <c r="J29" s="1"/>
  <c r="H45"/>
  <c r="I45" s="1"/>
  <c r="J45" s="1"/>
  <c r="H63"/>
  <c r="I63" s="1"/>
  <c r="J63" s="1"/>
  <c r="H79"/>
  <c r="I79" s="1"/>
  <c r="J79" s="1"/>
  <c r="H95"/>
  <c r="I95" s="1"/>
  <c r="J95" s="1"/>
  <c r="H111"/>
  <c r="I111" s="1"/>
  <c r="J111" s="1"/>
  <c r="H127"/>
  <c r="I127" s="1"/>
  <c r="J127" s="1"/>
  <c r="H143"/>
  <c r="I143" s="1"/>
  <c r="J143" s="1"/>
  <c r="H30"/>
  <c r="I30" s="1"/>
  <c r="J30" s="1"/>
  <c r="H11"/>
  <c r="I11" s="1"/>
  <c r="J11" s="1"/>
  <c r="H27"/>
  <c r="I27" s="1"/>
  <c r="J27" s="1"/>
  <c r="H43"/>
  <c r="I43" s="1"/>
  <c r="J43" s="1"/>
  <c r="H53"/>
  <c r="I53" s="1"/>
  <c r="J53" s="1"/>
  <c r="H69"/>
  <c r="I69" s="1"/>
  <c r="J69" s="1"/>
  <c r="H85"/>
  <c r="I85" s="1"/>
  <c r="J85" s="1"/>
  <c r="H101"/>
  <c r="I101" s="1"/>
  <c r="J101" s="1"/>
  <c r="H117"/>
  <c r="I117" s="1"/>
  <c r="J117" s="1"/>
  <c r="H133"/>
  <c r="I133" s="1"/>
  <c r="J133" s="1"/>
  <c r="H58"/>
  <c r="I58" s="1"/>
  <c r="J58" s="1"/>
  <c r="H74"/>
  <c r="I74" s="1"/>
  <c r="J74" s="1"/>
  <c r="H90"/>
  <c r="I90" s="1"/>
  <c r="J90" s="1"/>
  <c r="H106"/>
  <c r="I106" s="1"/>
  <c r="J106" s="1"/>
  <c r="H122"/>
  <c r="I122" s="1"/>
  <c r="J122" s="1"/>
  <c r="H138"/>
  <c r="I138" s="1"/>
  <c r="J138" s="1"/>
  <c r="H21" i="11"/>
  <c r="H19"/>
  <c r="M3" i="7" l="1"/>
</calcChain>
</file>

<file path=xl/sharedStrings.xml><?xml version="1.0" encoding="utf-8"?>
<sst xmlns="http://schemas.openxmlformats.org/spreadsheetml/2006/main" count="154" uniqueCount="101">
  <si>
    <t xml:space="preserve">Request 343 - </t>
  </si>
  <si>
    <t>EXP-15-CG27-94</t>
  </si>
  <si>
    <t>approach value</t>
  </si>
  <si>
    <t>cohesion</t>
  </si>
  <si>
    <t>Test Code</t>
  </si>
  <si>
    <t>Test Date</t>
  </si>
  <si>
    <t>Product</t>
  </si>
  <si>
    <t>Sample</t>
  </si>
  <si>
    <t>Sample ID#</t>
  </si>
  <si>
    <t>N^2 Error</t>
  </si>
  <si>
    <r>
      <rPr>
        <sz val="11"/>
        <color theme="1"/>
        <rFont val="Calibri"/>
        <family val="2"/>
      </rPr>
      <t>N</t>
    </r>
    <r>
      <rPr>
        <vertAlign val="subscript"/>
        <sz val="11"/>
        <color theme="1"/>
        <rFont val="Calibri"/>
        <family val="2"/>
      </rPr>
      <t>0</t>
    </r>
  </si>
  <si>
    <t>Normal Force
Plateau (N)</t>
  </si>
  <si>
    <t>Time Constant</t>
  </si>
  <si>
    <t>t95</t>
  </si>
  <si>
    <t>Average</t>
  </si>
  <si>
    <t>Normal Force 1 (N)</t>
  </si>
  <si>
    <t>Time 1 (s)</t>
  </si>
  <si>
    <t>Yield Stress</t>
  </si>
  <si>
    <t>Yield Strain</t>
  </si>
  <si>
    <t>Bubble Pinch Stress</t>
  </si>
  <si>
    <t>Bubble Pinch Strain</t>
  </si>
  <si>
    <t>G' X/O Stress</t>
  </si>
  <si>
    <t>G' X/O Strain</t>
  </si>
  <si>
    <t>G' Plateau</t>
  </si>
  <si>
    <t>G" Plateau</t>
  </si>
  <si>
    <t>Fracture/Yield (categorical)</t>
  </si>
  <si>
    <t>F/Y Stress @ 5 s (Pa)</t>
  </si>
  <si>
    <t>F/Y Stress @ 60 s (Pa)</t>
  </si>
  <si>
    <t>F/Y Stress 60s-5s Delta (Pa)</t>
  </si>
  <si>
    <t>Fracture Peak Stress (Pa)</t>
  </si>
  <si>
    <t>Calc N</t>
  </si>
  <si>
    <t>Error</t>
  </si>
  <si>
    <t>Error Sq</t>
  </si>
  <si>
    <t>Shear Rate</t>
  </si>
  <si>
    <t>time</t>
  </si>
  <si>
    <t>shear rate</t>
  </si>
  <si>
    <t>normal force</t>
  </si>
  <si>
    <t>shear stress</t>
  </si>
  <si>
    <t>Adj N</t>
  </si>
  <si>
    <t>N</t>
  </si>
  <si>
    <t>N^2</t>
  </si>
  <si>
    <t>Pt D</t>
  </si>
  <si>
    <t>s</t>
  </si>
  <si>
    <t>1/s</t>
  </si>
  <si>
    <t>Pa</t>
  </si>
  <si>
    <t>N^2 sum</t>
  </si>
  <si>
    <t>N0</t>
  </si>
  <si>
    <t>Ninf</t>
  </si>
  <si>
    <t>time con</t>
  </si>
  <si>
    <t>osc. stress</t>
  </si>
  <si>
    <t>strain</t>
  </si>
  <si>
    <t>G'</t>
  </si>
  <si>
    <t>G''</t>
  </si>
  <si>
    <t>initial</t>
  </si>
  <si>
    <t>final</t>
  </si>
  <si>
    <t>Comparison</t>
  </si>
  <si>
    <t>Initial Slope</t>
  </si>
  <si>
    <t>Final Slope</t>
  </si>
  <si>
    <t>Initial b</t>
  </si>
  <si>
    <t>Final b</t>
  </si>
  <si>
    <t>Initial Y</t>
  </si>
  <si>
    <t>Final Y</t>
  </si>
  <si>
    <t>Initial X</t>
  </si>
  <si>
    <t>Final X</t>
  </si>
  <si>
    <t>Intersect X</t>
  </si>
  <si>
    <t>MidSlope</t>
  </si>
  <si>
    <t>Mid b</t>
  </si>
  <si>
    <t>YP stress</t>
  </si>
  <si>
    <t>YP strain</t>
  </si>
  <si>
    <t>BP stress</t>
  </si>
  <si>
    <t>BP strain</t>
  </si>
  <si>
    <t>G' X/O stress</t>
  </si>
  <si>
    <t>G' X/O strain</t>
  </si>
  <si>
    <t>G' plateau</t>
  </si>
  <si>
    <t>G" plateau</t>
  </si>
  <si>
    <t>adj. shear rate</t>
  </si>
  <si>
    <t>adj. shear stress</t>
  </si>
  <si>
    <t>Testing Analyst</t>
  </si>
  <si>
    <t>Comments/Other Test Description</t>
  </si>
  <si>
    <t>Test Type</t>
  </si>
  <si>
    <t>Date of Testing</t>
  </si>
  <si>
    <t>Related Container</t>
  </si>
  <si>
    <t>Result1</t>
  </si>
  <si>
    <t>Result2</t>
  </si>
  <si>
    <t>Result3</t>
  </si>
  <si>
    <t>Result4</t>
  </si>
  <si>
    <t>Dave Mallon &lt;-58200884&gt;</t>
  </si>
  <si>
    <t>t95 N-squared Error</t>
  </si>
  <si>
    <t>t95 N0</t>
  </si>
  <si>
    <t>t95 Plateau Normal Force (N)</t>
  </si>
  <si>
    <t>t95 Time Constant</t>
  </si>
  <si>
    <t>t95 Transition Time</t>
  </si>
  <si>
    <t>F/B Cohesion Peak Force (N)</t>
  </si>
  <si>
    <t>F/B Cohesion Peak Time (s)</t>
  </si>
  <si>
    <t>Cohesion Peak Force (N)</t>
  </si>
  <si>
    <t>Cohesion Peak Time (s)</t>
  </si>
  <si>
    <t>Fracture(1)/Banding(0)</t>
  </si>
  <si>
    <t>F/B Shear Stress @ 5s</t>
  </si>
  <si>
    <t>F/B Shear Stress @ 60s</t>
  </si>
  <si>
    <t>F/B Stress 60s-5s Delta (Pa)</t>
  </si>
  <si>
    <t>F/B Fracture Peak Stress</t>
  </si>
</sst>
</file>

<file path=xl/styles.xml><?xml version="1.0" encoding="utf-8"?>
<styleSheet xmlns="http://schemas.openxmlformats.org/spreadsheetml/2006/main">
  <numFmts count="5">
    <numFmt numFmtId="164" formatCode="0.0000"/>
    <numFmt numFmtId="165" formatCode="0.000"/>
    <numFmt numFmtId="166" formatCode="0.0"/>
    <numFmt numFmtId="167" formatCode="0.00000"/>
    <numFmt numFmtId="168" formatCode="0.0000000000"/>
  </numFmts>
  <fonts count="7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2" fontId="0" fillId="0" borderId="1" xfId="0" applyNumberFormat="1" applyFill="1" applyBorder="1" applyAlignment="1">
      <alignment horizontal="center" vertical="center"/>
    </xf>
    <xf numFmtId="2" fontId="0" fillId="0" borderId="0" xfId="0" applyNumberFormat="1" applyFill="1" applyAlignment="1" applyProtection="1">
      <alignment horizontal="center" vertical="center"/>
    </xf>
    <xf numFmtId="2" fontId="0" fillId="0" borderId="0" xfId="0" applyNumberFormat="1" applyFill="1" applyAlignment="1" applyProtection="1">
      <alignment horizontal="center" vertical="center" wrapText="1"/>
    </xf>
    <xf numFmtId="166" fontId="0" fillId="0" borderId="1" xfId="0" applyNumberFormat="1" applyFill="1" applyBorder="1" applyAlignment="1">
      <alignment horizontal="center" vertical="center" wrapText="1"/>
    </xf>
    <xf numFmtId="166" fontId="0" fillId="0" borderId="0" xfId="0" applyNumberFormat="1" applyFill="1" applyAlignment="1" applyProtection="1">
      <alignment horizontal="center" vertical="center" wrapText="1"/>
    </xf>
    <xf numFmtId="0" fontId="4" fillId="0" borderId="3" xfId="0" applyFont="1" applyFill="1" applyBorder="1" applyAlignment="1">
      <alignment vertical="center"/>
    </xf>
    <xf numFmtId="1" fontId="0" fillId="0" borderId="1" xfId="0" applyNumberFormat="1" applyFill="1" applyBorder="1" applyAlignment="1">
      <alignment horizontal="center" vertical="center" wrapText="1"/>
    </xf>
    <xf numFmtId="165" fontId="0" fillId="0" borderId="1" xfId="0" applyNumberFormat="1" applyFill="1" applyBorder="1" applyAlignment="1">
      <alignment horizontal="center" vertical="center" wrapText="1"/>
    </xf>
    <xf numFmtId="168" fontId="0" fillId="0" borderId="1" xfId="0" applyNumberFormat="1" applyFill="1" applyBorder="1" applyAlignment="1">
      <alignment horizontal="center" vertical="center" wrapText="1"/>
    </xf>
    <xf numFmtId="166" fontId="0" fillId="0" borderId="1" xfId="0" applyNumberForma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right"/>
    </xf>
    <xf numFmtId="2" fontId="0" fillId="0" borderId="1" xfId="0" applyNumberFormat="1" applyFill="1" applyBorder="1" applyAlignment="1">
      <alignment horizontal="center" wrapText="1"/>
    </xf>
    <xf numFmtId="166" fontId="0" fillId="0" borderId="1" xfId="0" applyNumberFormat="1" applyFill="1" applyBorder="1" applyAlignment="1">
      <alignment horizontal="center" vertical="center" wrapText="1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horizontal="center" wrapText="1"/>
    </xf>
    <xf numFmtId="0" fontId="0" fillId="0" borderId="0" xfId="0" applyNumberFormat="1" applyFill="1" applyAlignment="1" applyProtection="1">
      <alignment horizontal="center"/>
    </xf>
    <xf numFmtId="14" fontId="0" fillId="0" borderId="0" xfId="0" applyNumberForma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left" wrapText="1"/>
    </xf>
    <xf numFmtId="168" fontId="0" fillId="0" borderId="0" xfId="0" applyNumberFormat="1" applyFill="1" applyAlignment="1" applyProtection="1">
      <alignment horizontal="center" vertical="center" wrapText="1"/>
    </xf>
    <xf numFmtId="165" fontId="0" fillId="0" borderId="0" xfId="0" applyNumberFormat="1" applyFill="1" applyAlignment="1" applyProtection="1">
      <alignment horizontal="center" vertical="center" wrapText="1"/>
    </xf>
    <xf numFmtId="166" fontId="0" fillId="0" borderId="0" xfId="0" applyNumberFormat="1" applyFill="1" applyAlignment="1" applyProtection="1">
      <alignment horizontal="center" vertical="center" wrapText="1"/>
    </xf>
    <xf numFmtId="165" fontId="0" fillId="2" borderId="0" xfId="0" applyNumberFormat="1" applyFill="1" applyAlignment="1" applyProtection="1">
      <alignment horizontal="right"/>
    </xf>
    <xf numFmtId="0" fontId="4" fillId="0" borderId="4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8" fontId="0" fillId="0" borderId="0" xfId="0" applyNumberFormat="1" applyFill="1" applyAlignment="1" applyProtection="1">
      <alignment horizontal="center" wrapText="1"/>
    </xf>
    <xf numFmtId="165" fontId="0" fillId="0" borderId="0" xfId="0" applyNumberFormat="1" applyFill="1" applyAlignment="1" applyProtection="1">
      <alignment horizontal="center" vertical="center"/>
    </xf>
    <xf numFmtId="165" fontId="0" fillId="0" borderId="0" xfId="0" applyNumberFormat="1" applyFill="1" applyAlignment="1" applyProtection="1">
      <alignment horizontal="center"/>
    </xf>
    <xf numFmtId="168" fontId="0" fillId="0" borderId="0" xfId="0" applyNumberFormat="1" applyFill="1" applyAlignment="1" applyProtection="1">
      <alignment horizontal="right"/>
    </xf>
    <xf numFmtId="165" fontId="0" fillId="0" borderId="0" xfId="0" applyNumberFormat="1" applyFill="1" applyAlignment="1" applyProtection="1">
      <alignment horizontal="right"/>
    </xf>
    <xf numFmtId="1" fontId="0" fillId="0" borderId="0" xfId="0" applyNumberFormat="1" applyFill="1" applyAlignment="1" applyProtection="1">
      <alignment horizontal="right"/>
    </xf>
    <xf numFmtId="2" fontId="0" fillId="0" borderId="0" xfId="0" applyNumberFormat="1" applyFill="1" applyAlignment="1" applyProtection="1">
      <alignment horizontal="right"/>
    </xf>
    <xf numFmtId="0" fontId="2" fillId="0" borderId="0" xfId="0" applyNumberFormat="1" applyFont="1" applyFill="1" applyAlignment="1" applyProtection="1">
      <alignment horizontal="center"/>
    </xf>
    <xf numFmtId="0" fontId="0" fillId="0" borderId="0" xfId="0" applyNumberFormat="1" applyFill="1" applyAlignment="1" applyProtection="1">
      <alignment horizontal="center" vertical="center" wrapText="1"/>
    </xf>
    <xf numFmtId="166" fontId="0" fillId="0" borderId="0" xfId="0" applyNumberForma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165" fontId="0" fillId="0" borderId="0" xfId="0" applyNumberFormat="1" applyFill="1" applyAlignment="1" applyProtection="1"/>
    <xf numFmtId="0" fontId="0" fillId="0" borderId="1" xfId="0" applyNumberFormat="1" applyFill="1" applyBorder="1" applyAlignment="1" applyProtection="1">
      <alignment horizontal="center"/>
    </xf>
    <xf numFmtId="14" fontId="0" fillId="0" borderId="1" xfId="0" applyNumberFormat="1" applyFill="1" applyBorder="1" applyAlignment="1" applyProtection="1">
      <alignment horizontal="center" vertical="center"/>
    </xf>
    <xf numFmtId="0" fontId="0" fillId="0" borderId="1" xfId="0" applyNumberFormat="1" applyFill="1" applyBorder="1" applyAlignment="1" applyProtection="1"/>
    <xf numFmtId="0" fontId="0" fillId="0" borderId="1" xfId="0" applyNumberFormat="1" applyFill="1" applyBorder="1" applyAlignment="1" applyProtection="1">
      <alignment horizontal="left" wrapText="1"/>
    </xf>
    <xf numFmtId="2" fontId="0" fillId="2" borderId="1" xfId="0" applyNumberFormat="1" applyFill="1" applyBorder="1" applyAlignment="1" applyProtection="1">
      <alignment horizontal="right"/>
    </xf>
    <xf numFmtId="0" fontId="0" fillId="0" borderId="0" xfId="0" applyNumberFormat="1" applyFill="1" applyAlignment="1" applyProtection="1">
      <alignment horizontal="right"/>
    </xf>
    <xf numFmtId="164" fontId="0" fillId="0" borderId="0" xfId="0" applyNumberFormat="1" applyFill="1" applyAlignment="1" applyProtection="1">
      <alignment horizontal="center"/>
    </xf>
    <xf numFmtId="165" fontId="0" fillId="0" borderId="0" xfId="0" applyNumberFormat="1" applyFill="1" applyAlignment="1" applyProtection="1">
      <alignment horizontal="center" wrapText="1"/>
    </xf>
    <xf numFmtId="167" fontId="0" fillId="0" borderId="0" xfId="0" applyNumberFormat="1" applyFill="1" applyAlignment="1" applyProtection="1">
      <alignment horizontal="center"/>
    </xf>
    <xf numFmtId="164" fontId="0" fillId="0" borderId="0" xfId="0" applyNumberFormat="1" applyFill="1" applyAlignment="1" applyProtection="1">
      <alignment horizontal="center" wrapText="1"/>
    </xf>
    <xf numFmtId="11" fontId="0" fillId="0" borderId="0" xfId="0" applyNumberFormat="1" applyFill="1" applyAlignment="1" applyProtection="1"/>
    <xf numFmtId="164" fontId="0" fillId="0" borderId="0" xfId="0" applyNumberFormat="1" applyFill="1" applyAlignment="1" applyProtection="1"/>
    <xf numFmtId="0" fontId="1" fillId="0" borderId="0" xfId="0" applyNumberFormat="1" applyFont="1" applyFill="1" applyAlignment="1" applyProtection="1"/>
    <xf numFmtId="0" fontId="2" fillId="0" borderId="0" xfId="0" applyNumberFormat="1" applyFont="1" applyFill="1" applyAlignment="1" applyProtection="1"/>
    <xf numFmtId="164" fontId="0" fillId="0" borderId="0" xfId="0" applyNumberFormat="1" applyFill="1" applyAlignment="1" applyProtection="1">
      <alignment horizontal="center" vertical="center" wrapText="1"/>
    </xf>
    <xf numFmtId="164" fontId="0" fillId="0" borderId="0" xfId="0" applyNumberFormat="1" applyFill="1" applyAlignment="1" applyProtection="1">
      <alignment horizontal="center" vertical="center"/>
    </xf>
    <xf numFmtId="166" fontId="0" fillId="0" borderId="0" xfId="0" applyNumberFormat="1" applyFill="1" applyAlignment="1" applyProtection="1">
      <alignment horizontal="center" wrapText="1"/>
    </xf>
    <xf numFmtId="49" fontId="0" fillId="0" borderId="0" xfId="0" applyNumberFormat="1" applyFill="1" applyAlignment="1" applyProtection="1"/>
    <xf numFmtId="167" fontId="0" fillId="0" borderId="0" xfId="0" applyNumberFormat="1" applyFill="1" applyAlignment="1" applyProtection="1"/>
    <xf numFmtId="14" fontId="0" fillId="0" borderId="0" xfId="0" applyNumberFormat="1" applyFill="1" applyAlignment="1" applyProtection="1"/>
    <xf numFmtId="14" fontId="0" fillId="0" borderId="1" xfId="0" applyNumberFormat="1" applyFill="1" applyBorder="1" applyAlignment="1" applyProtection="1"/>
    <xf numFmtId="1" fontId="0" fillId="0" borderId="0" xfId="0" applyNumberFormat="1" applyFill="1" applyAlignment="1" applyProtection="1">
      <alignment horizontal="center"/>
    </xf>
    <xf numFmtId="1" fontId="0" fillId="2" borderId="0" xfId="0" applyNumberFormat="1" applyFill="1" applyAlignment="1" applyProtection="1">
      <alignment horizontal="center"/>
    </xf>
    <xf numFmtId="1" fontId="0" fillId="2" borderId="1" xfId="0" applyNumberFormat="1" applyFill="1" applyBorder="1" applyAlignment="1" applyProtection="1">
      <alignment horizontal="center"/>
    </xf>
    <xf numFmtId="2" fontId="0" fillId="0" borderId="0" xfId="0" applyNumberFormat="1" applyFill="1" applyAlignment="1" applyProtection="1"/>
    <xf numFmtId="0" fontId="4" fillId="0" borderId="2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x:extLst xmlns:x="http://schemas.openxmlformats.org/spreadsheetml/2006/main"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Actual</a:t>
            </a:r>
            <a:r>
              <a:rPr lang="en-US" baseline="0"/>
              <a:t> &amp; </a:t>
            </a:r>
            <a:r>
              <a:rPr lang="en-US"/>
              <a:t>Calculated</a:t>
            </a:r>
            <a:r>
              <a:rPr lang="en-US" baseline="0"/>
              <a:t> Normal vs. Time</a:t>
            </a:r>
            <a:endParaRPr lang="en-US"/>
          </a:p>
        </c:rich>
      </c:tx>
    </c:title>
    <c:plotArea>
      <c:layout/>
      <c:scatterChart>
        <c:scatterStyle val="smoothMarker"/>
        <c:ser>
          <c:idx val="0"/>
          <c:order val="0"/>
          <c:tx>
            <c:v>Calculated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0.28000000000000003</c:v>
                </c:pt>
                <c:pt idx="1">
                  <c:v>0.55200000000000005</c:v>
                </c:pt>
                <c:pt idx="2" formatCode="0.00E+00">
                  <c:v>0.76</c:v>
                </c:pt>
                <c:pt idx="3" formatCode="0.00E+00">
                  <c:v>0.94</c:v>
                </c:pt>
                <c:pt idx="4" formatCode="0.00E+00">
                  <c:v>1.1879999999999999</c:v>
                </c:pt>
                <c:pt idx="5" formatCode="0.00E+00">
                  <c:v>1.48</c:v>
                </c:pt>
                <c:pt idx="6" formatCode="0.00E+00">
                  <c:v>1.768</c:v>
                </c:pt>
                <c:pt idx="7" formatCode="0.00E+00">
                  <c:v>1.944</c:v>
                </c:pt>
                <c:pt idx="8" formatCode="0.00E+00">
                  <c:v>2.1040000000000001</c:v>
                </c:pt>
                <c:pt idx="9" formatCode="General">
                  <c:v>2.3919999999999999</c:v>
                </c:pt>
                <c:pt idx="10" formatCode="General">
                  <c:v>2.6360000000000001</c:v>
                </c:pt>
                <c:pt idx="11" formatCode="General">
                  <c:v>2.8239999999999998</c:v>
                </c:pt>
                <c:pt idx="12" formatCode="General">
                  <c:v>2.988</c:v>
                </c:pt>
                <c:pt idx="13" formatCode="General">
                  <c:v>3.1920000000000002</c:v>
                </c:pt>
                <c:pt idx="14" formatCode="General">
                  <c:v>3.48</c:v>
                </c:pt>
                <c:pt idx="15" formatCode="General">
                  <c:v>3.7360000000000002</c:v>
                </c:pt>
                <c:pt idx="16" formatCode="General">
                  <c:v>3.8959999999999999</c:v>
                </c:pt>
                <c:pt idx="17" formatCode="General">
                  <c:v>4.0759999999999996</c:v>
                </c:pt>
                <c:pt idx="18" formatCode="General">
                  <c:v>4.38</c:v>
                </c:pt>
                <c:pt idx="19" formatCode="General">
                  <c:v>4.6479999999999997</c:v>
                </c:pt>
                <c:pt idx="20" formatCode="General">
                  <c:v>4.8559999999999999</c:v>
                </c:pt>
                <c:pt idx="21" formatCode="General">
                  <c:v>5.016</c:v>
                </c:pt>
                <c:pt idx="22" formatCode="General">
                  <c:v>5.2839999999999998</c:v>
                </c:pt>
                <c:pt idx="23" formatCode="General">
                  <c:v>5.5919999999999996</c:v>
                </c:pt>
                <c:pt idx="24" formatCode="General">
                  <c:v>5.7880000000000003</c:v>
                </c:pt>
                <c:pt idx="25" formatCode="General">
                  <c:v>5.96</c:v>
                </c:pt>
                <c:pt idx="26" formatCode="General">
                  <c:v>6.1239999999999997</c:v>
                </c:pt>
                <c:pt idx="27" formatCode="General">
                  <c:v>6.44</c:v>
                </c:pt>
                <c:pt idx="28" formatCode="General">
                  <c:v>6.7</c:v>
                </c:pt>
                <c:pt idx="29" formatCode="General">
                  <c:v>6.9039999999999999</c:v>
                </c:pt>
                <c:pt idx="30" formatCode="General">
                  <c:v>7.0640000000000001</c:v>
                </c:pt>
                <c:pt idx="31" formatCode="General">
                  <c:v>7.3639999999999999</c:v>
                </c:pt>
                <c:pt idx="32" formatCode="General">
                  <c:v>7.6559999999999997</c:v>
                </c:pt>
                <c:pt idx="33" formatCode="General">
                  <c:v>7.82</c:v>
                </c:pt>
                <c:pt idx="34" formatCode="General">
                  <c:v>8.0039999999999996</c:v>
                </c:pt>
                <c:pt idx="35" formatCode="General">
                  <c:v>8.1999999999999993</c:v>
                </c:pt>
                <c:pt idx="36" formatCode="General">
                  <c:v>8.4879999999999995</c:v>
                </c:pt>
                <c:pt idx="37" formatCode="General">
                  <c:v>8.7439999999999998</c:v>
                </c:pt>
                <c:pt idx="38" formatCode="General">
                  <c:v>8.92</c:v>
                </c:pt>
                <c:pt idx="39" formatCode="General">
                  <c:v>9.0640000000000001</c:v>
                </c:pt>
                <c:pt idx="40" formatCode="General">
                  <c:v>9.3520000000000003</c:v>
                </c:pt>
                <c:pt idx="41" formatCode="General">
                  <c:v>9.6280000000000001</c:v>
                </c:pt>
                <c:pt idx="42" formatCode="General">
                  <c:v>9.9719999999999995</c:v>
                </c:pt>
                <c:pt idx="43" formatCode="General">
                  <c:v>10.151999999999999</c:v>
                </c:pt>
                <c:pt idx="44" formatCode="General">
                  <c:v>10.44</c:v>
                </c:pt>
                <c:pt idx="45" formatCode="General">
                  <c:v>10.708</c:v>
                </c:pt>
                <c:pt idx="46" formatCode="General">
                  <c:v>10.884</c:v>
                </c:pt>
                <c:pt idx="47" formatCode="General">
                  <c:v>11.06</c:v>
                </c:pt>
                <c:pt idx="48" formatCode="General">
                  <c:v>11.368</c:v>
                </c:pt>
                <c:pt idx="49" formatCode="General">
                  <c:v>11.624000000000001</c:v>
                </c:pt>
                <c:pt idx="50" formatCode="General">
                  <c:v>11.816000000000001</c:v>
                </c:pt>
                <c:pt idx="51" formatCode="General">
                  <c:v>11.972</c:v>
                </c:pt>
                <c:pt idx="52" formatCode="General">
                  <c:v>12.228</c:v>
                </c:pt>
                <c:pt idx="53" formatCode="General">
                  <c:v>12.548</c:v>
                </c:pt>
                <c:pt idx="54" formatCode="General">
                  <c:v>12.776</c:v>
                </c:pt>
                <c:pt idx="55" formatCode="General">
                  <c:v>12.936</c:v>
                </c:pt>
                <c:pt idx="56" formatCode="General">
                  <c:v>13.108000000000001</c:v>
                </c:pt>
                <c:pt idx="57" formatCode="General">
                  <c:v>13.412000000000001</c:v>
                </c:pt>
                <c:pt idx="58" formatCode="General">
                  <c:v>13.7</c:v>
                </c:pt>
                <c:pt idx="59" formatCode="General">
                  <c:v>13.907999999999999</c:v>
                </c:pt>
                <c:pt idx="60" formatCode="General">
                  <c:v>14.092000000000001</c:v>
                </c:pt>
                <c:pt idx="61" formatCode="General">
                  <c:v>14.42</c:v>
                </c:pt>
                <c:pt idx="62" formatCode="General">
                  <c:v>14.708</c:v>
                </c:pt>
                <c:pt idx="63" formatCode="General">
                  <c:v>14.916</c:v>
                </c:pt>
                <c:pt idx="64" formatCode="General">
                  <c:v>15.14</c:v>
                </c:pt>
                <c:pt idx="65" formatCode="General">
                  <c:v>15.428000000000001</c:v>
                </c:pt>
                <c:pt idx="66" formatCode="General">
                  <c:v>15.676</c:v>
                </c:pt>
                <c:pt idx="67" formatCode="General">
                  <c:v>15.864000000000001</c:v>
                </c:pt>
                <c:pt idx="68" formatCode="General">
                  <c:v>16.004000000000001</c:v>
                </c:pt>
                <c:pt idx="69" formatCode="General">
                  <c:v>16.244</c:v>
                </c:pt>
                <c:pt idx="70" formatCode="General">
                  <c:v>16.547999999999998</c:v>
                </c:pt>
                <c:pt idx="71" formatCode="General">
                  <c:v>16.763999999999999</c:v>
                </c:pt>
                <c:pt idx="72" formatCode="General">
                  <c:v>16.948</c:v>
                </c:pt>
                <c:pt idx="73" formatCode="General">
                  <c:v>17.164000000000001</c:v>
                </c:pt>
                <c:pt idx="74" formatCode="General">
                  <c:v>17.48</c:v>
                </c:pt>
                <c:pt idx="75" formatCode="General">
                  <c:v>17.763999999999999</c:v>
                </c:pt>
                <c:pt idx="76" formatCode="General">
                  <c:v>17.940000000000001</c:v>
                </c:pt>
                <c:pt idx="77" formatCode="General">
                  <c:v>18.100000000000001</c:v>
                </c:pt>
                <c:pt idx="78" formatCode="General">
                  <c:v>18.388000000000002</c:v>
                </c:pt>
                <c:pt idx="79" formatCode="General">
                  <c:v>18.66</c:v>
                </c:pt>
                <c:pt idx="80" formatCode="General">
                  <c:v>18.835999999999999</c:v>
                </c:pt>
                <c:pt idx="81" formatCode="General">
                  <c:v>19.012</c:v>
                </c:pt>
                <c:pt idx="82" formatCode="General">
                  <c:v>19.251999999999999</c:v>
                </c:pt>
                <c:pt idx="83" formatCode="General">
                  <c:v>19.507999999999999</c:v>
                </c:pt>
                <c:pt idx="84" formatCode="General">
                  <c:v>19.731999999999999</c:v>
                </c:pt>
                <c:pt idx="85" formatCode="General">
                  <c:v>19.88</c:v>
                </c:pt>
                <c:pt idx="86" formatCode="General">
                  <c:v>20.068000000000001</c:v>
                </c:pt>
                <c:pt idx="87" formatCode="General">
                  <c:v>20.372</c:v>
                </c:pt>
                <c:pt idx="88" formatCode="General">
                  <c:v>20.623999999999999</c:v>
                </c:pt>
                <c:pt idx="89" formatCode="General">
                  <c:v>20.867999999999999</c:v>
                </c:pt>
                <c:pt idx="90" formatCode="General">
                  <c:v>21.044</c:v>
                </c:pt>
                <c:pt idx="91" formatCode="General">
                  <c:v>21.364000000000001</c:v>
                </c:pt>
                <c:pt idx="92" formatCode="General">
                  <c:v>21.632000000000001</c:v>
                </c:pt>
                <c:pt idx="93" formatCode="General">
                  <c:v>21.844000000000001</c:v>
                </c:pt>
                <c:pt idx="94" formatCode="General">
                  <c:v>21.984000000000002</c:v>
                </c:pt>
                <c:pt idx="95" formatCode="General">
                  <c:v>22.228000000000002</c:v>
                </c:pt>
                <c:pt idx="96" formatCode="General">
                  <c:v>22.48</c:v>
                </c:pt>
                <c:pt idx="97" formatCode="General">
                  <c:v>22.704000000000001</c:v>
                </c:pt>
                <c:pt idx="98" formatCode="General">
                  <c:v>22.856000000000002</c:v>
                </c:pt>
                <c:pt idx="99" formatCode="General">
                  <c:v>23.056000000000001</c:v>
                </c:pt>
                <c:pt idx="100" formatCode="General">
                  <c:v>23.36</c:v>
                </c:pt>
                <c:pt idx="101" formatCode="General">
                  <c:v>23.62</c:v>
                </c:pt>
                <c:pt idx="102" formatCode="General">
                  <c:v>23.812000000000001</c:v>
                </c:pt>
                <c:pt idx="103" formatCode="General">
                  <c:v>23.992000000000001</c:v>
                </c:pt>
                <c:pt idx="104" formatCode="General">
                  <c:v>24.26</c:v>
                </c:pt>
                <c:pt idx="105" formatCode="General">
                  <c:v>24.544</c:v>
                </c:pt>
                <c:pt idx="106" formatCode="General">
                  <c:v>24.788</c:v>
                </c:pt>
                <c:pt idx="107" formatCode="General">
                  <c:v>24.952000000000002</c:v>
                </c:pt>
                <c:pt idx="108" formatCode="General">
                  <c:v>25.167999999999999</c:v>
                </c:pt>
                <c:pt idx="109" formatCode="General">
                  <c:v>25.475999999999999</c:v>
                </c:pt>
                <c:pt idx="110" formatCode="General">
                  <c:v>25.736000000000001</c:v>
                </c:pt>
                <c:pt idx="111" formatCode="General">
                  <c:v>25.908000000000001</c:v>
                </c:pt>
                <c:pt idx="112" formatCode="General">
                  <c:v>26.06</c:v>
                </c:pt>
                <c:pt idx="113" formatCode="General">
                  <c:v>26.32</c:v>
                </c:pt>
                <c:pt idx="114" formatCode="General">
                  <c:v>26.591999999999999</c:v>
                </c:pt>
                <c:pt idx="115" formatCode="General">
                  <c:v>26.8</c:v>
                </c:pt>
                <c:pt idx="116" formatCode="General">
                  <c:v>26.963999999999999</c:v>
                </c:pt>
                <c:pt idx="117" formatCode="General">
                  <c:v>27.22</c:v>
                </c:pt>
                <c:pt idx="118" formatCode="General">
                  <c:v>27.536000000000001</c:v>
                </c:pt>
                <c:pt idx="119" formatCode="General">
                  <c:v>27.788</c:v>
                </c:pt>
                <c:pt idx="120" formatCode="General">
                  <c:v>27.975999999999999</c:v>
                </c:pt>
                <c:pt idx="121" formatCode="General">
                  <c:v>28.228000000000002</c:v>
                </c:pt>
                <c:pt idx="122" formatCode="General">
                  <c:v>28.495999999999999</c:v>
                </c:pt>
                <c:pt idx="123" formatCode="General">
                  <c:v>28.724</c:v>
                </c:pt>
                <c:pt idx="124" formatCode="General">
                  <c:v>28.904</c:v>
                </c:pt>
                <c:pt idx="125" formatCode="General">
                  <c:v>29.056000000000001</c:v>
                </c:pt>
                <c:pt idx="126" formatCode="General">
                  <c:v>29.344000000000001</c:v>
                </c:pt>
                <c:pt idx="127" formatCode="General">
                  <c:v>29.652000000000001</c:v>
                </c:pt>
                <c:pt idx="128" formatCode="General">
                  <c:v>29.795999999999999</c:v>
                </c:pt>
                <c:pt idx="129" formatCode="General">
                  <c:v>29.94</c:v>
                </c:pt>
                <c:pt idx="130" formatCode="General">
                  <c:v>30.143999999999998</c:v>
                </c:pt>
                <c:pt idx="131" formatCode="General">
                  <c:v>30.448</c:v>
                </c:pt>
                <c:pt idx="132" formatCode="General">
                  <c:v>30.704000000000001</c:v>
                </c:pt>
                <c:pt idx="133" formatCode="General">
                  <c:v>30.884</c:v>
                </c:pt>
                <c:pt idx="134" formatCode="General">
                  <c:v>31.056000000000001</c:v>
                </c:pt>
                <c:pt idx="135" formatCode="General">
                  <c:v>31.344000000000001</c:v>
                </c:pt>
                <c:pt idx="136" formatCode="General">
                  <c:v>31.616</c:v>
                </c:pt>
                <c:pt idx="137" formatCode="General">
                  <c:v>31.884</c:v>
                </c:pt>
                <c:pt idx="138" formatCode="General">
                  <c:v>32.031999999999996</c:v>
                </c:pt>
                <c:pt idx="139" formatCode="General">
                  <c:v>32.32</c:v>
                </c:pt>
                <c:pt idx="140" formatCode="General">
                  <c:v>32.595999999999997</c:v>
                </c:pt>
                <c:pt idx="141" formatCode="General">
                  <c:v>32.799999999999997</c:v>
                </c:pt>
                <c:pt idx="142" formatCode="General">
                  <c:v>32.975999999999999</c:v>
                </c:pt>
                <c:pt idx="143" formatCode="General">
                  <c:v>33.188000000000002</c:v>
                </c:pt>
              </c:numCache>
            </c:numRef>
          </c:xVal>
          <c:yVal>
            <c:numRef>
              <c:f>Automation!$H$4:$H$147</c:f>
              <c:numCache>
                <c:formatCode>0.0000</c:formatCode>
                <c:ptCount val="1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1.5898720288912718</c:v>
                </c:pt>
                <c:pt idx="16">
                  <c:v>1.5186124343847607</c:v>
                </c:pt>
                <c:pt idx="17">
                  <c:v>1.4431668423209336</c:v>
                </c:pt>
                <c:pt idx="18">
                  <c:v>1.3262642557034905</c:v>
                </c:pt>
                <c:pt idx="19">
                  <c:v>1.233226084041485</c:v>
                </c:pt>
                <c:pt idx="20">
                  <c:v>1.1669136511387972</c:v>
                </c:pt>
                <c:pt idx="21">
                  <c:v>1.1191540351638283</c:v>
                </c:pt>
                <c:pt idx="22">
                  <c:v>1.0450268478375699</c:v>
                </c:pt>
                <c:pt idx="23">
                  <c:v>0.96815634546644436</c:v>
                </c:pt>
                <c:pt idx="24">
                  <c:v>0.9234639492764023</c:v>
                </c:pt>
                <c:pt idx="25">
                  <c:v>0.88674116249323198</c:v>
                </c:pt>
                <c:pt idx="26">
                  <c:v>0.85376672120568475</c:v>
                </c:pt>
                <c:pt idx="27">
                  <c:v>0.79542891796318038</c:v>
                </c:pt>
                <c:pt idx="28">
                  <c:v>0.75213021269407854</c:v>
                </c:pt>
                <c:pt idx="29">
                  <c:v>0.72086409847993771</c:v>
                </c:pt>
                <c:pt idx="30">
                  <c:v>0.69788742915609614</c:v>
                </c:pt>
                <c:pt idx="31">
                  <c:v>0.65819116845695991</c:v>
                </c:pt>
                <c:pt idx="32">
                  <c:v>0.62343178849520164</c:v>
                </c:pt>
                <c:pt idx="33">
                  <c:v>0.60544220712019126</c:v>
                </c:pt>
                <c:pt idx="34">
                  <c:v>0.58647459099046273</c:v>
                </c:pt>
                <c:pt idx="35">
                  <c:v>0.56759552220669818</c:v>
                </c:pt>
                <c:pt idx="36">
                  <c:v>0.54214654184160338</c:v>
                </c:pt>
                <c:pt idx="37">
                  <c:v>0.52162200646733581</c:v>
                </c:pt>
                <c:pt idx="38">
                  <c:v>0.50856177070130215</c:v>
                </c:pt>
                <c:pt idx="39">
                  <c:v>0.49847037779906689</c:v>
                </c:pt>
                <c:pt idx="40">
                  <c:v>0.47978036559362636</c:v>
                </c:pt>
                <c:pt idx="41">
                  <c:v>0.46358634851719049</c:v>
                </c:pt>
                <c:pt idx="42">
                  <c:v>0.44551457410449657</c:v>
                </c:pt>
                <c:pt idx="43">
                  <c:v>0.43690733839194174</c:v>
                </c:pt>
                <c:pt idx="44">
                  <c:v>0.42423688139654914</c:v>
                </c:pt>
                <c:pt idx="45">
                  <c:v>0.41356174088523012</c:v>
                </c:pt>
                <c:pt idx="46">
                  <c:v>0.40708717053714327</c:v>
                </c:pt>
                <c:pt idx="47">
                  <c:v>0.40100718883649034</c:v>
                </c:pt>
                <c:pt idx="48">
                  <c:v>0.39124519713357842</c:v>
                </c:pt>
                <c:pt idx="49">
                  <c:v>0.38391013164428145</c:v>
                </c:pt>
                <c:pt idx="50">
                  <c:v>0.37883271812992358</c:v>
                </c:pt>
                <c:pt idx="51">
                  <c:v>0.37495622862347222</c:v>
                </c:pt>
                <c:pt idx="52">
                  <c:v>0.36904489371813387</c:v>
                </c:pt>
                <c:pt idx="53">
                  <c:v>0.36237692154889523</c:v>
                </c:pt>
                <c:pt idx="54">
                  <c:v>0.35807019238378501</c:v>
                </c:pt>
                <c:pt idx="55">
                  <c:v>0.35525070507378054</c:v>
                </c:pt>
                <c:pt idx="56">
                  <c:v>0.35239422789855634</c:v>
                </c:pt>
                <c:pt idx="57">
                  <c:v>0.34775557130966472</c:v>
                </c:pt>
                <c:pt idx="58">
                  <c:v>0.34380226001067182</c:v>
                </c:pt>
                <c:pt idx="59">
                  <c:v>0.34118973892843307</c:v>
                </c:pt>
                <c:pt idx="60">
                  <c:v>0.33903506963964958</c:v>
                </c:pt>
                <c:pt idx="61">
                  <c:v>0.33552847796792573</c:v>
                </c:pt>
                <c:pt idx="62">
                  <c:v>0.33277071620868526</c:v>
                </c:pt>
                <c:pt idx="63">
                  <c:v>0.33094826657320109</c:v>
                </c:pt>
                <c:pt idx="64">
                  <c:v>0.32913132491619201</c:v>
                </c:pt>
                <c:pt idx="65">
                  <c:v>0.32699906859581418</c:v>
                </c:pt>
                <c:pt idx="66">
                  <c:v>0.32533080215443366</c:v>
                </c:pt>
                <c:pt idx="67">
                  <c:v>0.32416107213184642</c:v>
                </c:pt>
                <c:pt idx="68">
                  <c:v>0.32333963802164067</c:v>
                </c:pt>
                <c:pt idx="69">
                  <c:v>0.32202361725571915</c:v>
                </c:pt>
                <c:pt idx="70">
                  <c:v>0.32051074881281671</c:v>
                </c:pt>
                <c:pt idx="71">
                  <c:v>0.31953140929718771</c:v>
                </c:pt>
                <c:pt idx="72">
                  <c:v>0.31875474168704709</c:v>
                </c:pt>
                <c:pt idx="73">
                  <c:v>0.31790581909319027</c:v>
                </c:pt>
                <c:pt idx="74">
                  <c:v>0.31677615080070964</c:v>
                </c:pt>
                <c:pt idx="75">
                  <c:v>0.3158641631305068</c:v>
                </c:pt>
                <c:pt idx="76">
                  <c:v>0.31534371066072175</c:v>
                </c:pt>
                <c:pt idx="77">
                  <c:v>0.31489814820014495</c:v>
                </c:pt>
                <c:pt idx="78">
                  <c:v>0.31415759368464435</c:v>
                </c:pt>
                <c:pt idx="79">
                  <c:v>0.31352479272683986</c:v>
                </c:pt>
                <c:pt idx="80">
                  <c:v>0.31314691172570885</c:v>
                </c:pt>
                <c:pt idx="81">
                  <c:v>0.3127920604462604</c:v>
                </c:pt>
                <c:pt idx="82">
                  <c:v>0.31234276445485243</c:v>
                </c:pt>
                <c:pt idx="83">
                  <c:v>0.3119041335976025</c:v>
                </c:pt>
                <c:pt idx="84">
                  <c:v>0.31155189848427156</c:v>
                </c:pt>
                <c:pt idx="85">
                  <c:v>0.31133416725005603</c:v>
                </c:pt>
                <c:pt idx="86">
                  <c:v>0.31107368356186971</c:v>
                </c:pt>
                <c:pt idx="87">
                  <c:v>0.31068779848265837</c:v>
                </c:pt>
                <c:pt idx="88">
                  <c:v>0.31039820894442194</c:v>
                </c:pt>
                <c:pt idx="89">
                  <c:v>0.31014159362787641</c:v>
                </c:pt>
                <c:pt idx="90">
                  <c:v>0.30996989958351495</c:v>
                </c:pt>
                <c:pt idx="91">
                  <c:v>0.30968408980712336</c:v>
                </c:pt>
                <c:pt idx="92">
                  <c:v>0.30946862647503348</c:v>
                </c:pt>
                <c:pt idx="93">
                  <c:v>0.30931221333072578</c:v>
                </c:pt>
                <c:pt idx="94">
                  <c:v>0.30921522975257787</c:v>
                </c:pt>
                <c:pt idx="95">
                  <c:v>0.30905737380766496</c:v>
                </c:pt>
                <c:pt idx="96">
                  <c:v>0.30890816295725188</c:v>
                </c:pt>
                <c:pt idx="97">
                  <c:v>0.30878635145035105</c:v>
                </c:pt>
                <c:pt idx="98">
                  <c:v>0.3087090743672114</c:v>
                </c:pt>
                <c:pt idx="99">
                  <c:v>0.30861358226124835</c:v>
                </c:pt>
                <c:pt idx="100">
                  <c:v>0.30848089444480742</c:v>
                </c:pt>
                <c:pt idx="101">
                  <c:v>0.30837830148853129</c:v>
                </c:pt>
                <c:pt idx="102">
                  <c:v>0.30830842877525466</c:v>
                </c:pt>
                <c:pt idx="103">
                  <c:v>0.30824713614444743</c:v>
                </c:pt>
                <c:pt idx="104">
                  <c:v>0.30816287931745023</c:v>
                </c:pt>
                <c:pt idx="105">
                  <c:v>0.30808197269619164</c:v>
                </c:pt>
                <c:pt idx="106">
                  <c:v>0.30801872513962358</c:v>
                </c:pt>
                <c:pt idx="107">
                  <c:v>0.30797920948845192</c:v>
                </c:pt>
                <c:pt idx="108">
                  <c:v>0.30793057507063182</c:v>
                </c:pt>
                <c:pt idx="109">
                  <c:v>0.30786740675077606</c:v>
                </c:pt>
                <c:pt idx="110">
                  <c:v>0.30781923496894592</c:v>
                </c:pt>
                <c:pt idx="111">
                  <c:v>0.30778974021294569</c:v>
                </c:pt>
                <c:pt idx="112">
                  <c:v>0.30776514171539926</c:v>
                </c:pt>
                <c:pt idx="113">
                  <c:v>0.30772604164500539</c:v>
                </c:pt>
                <c:pt idx="114">
                  <c:v>0.30768884408179442</c:v>
                </c:pt>
                <c:pt idx="115">
                  <c:v>0.3076627405746768</c:v>
                </c:pt>
                <c:pt idx="116">
                  <c:v>0.3076434839015878</c:v>
                </c:pt>
                <c:pt idx="117">
                  <c:v>0.30761559172568198</c:v>
                </c:pt>
                <c:pt idx="118">
                  <c:v>0.30758450090654588</c:v>
                </c:pt>
                <c:pt idx="119">
                  <c:v>0.30756210362094194</c:v>
                </c:pt>
                <c:pt idx="120">
                  <c:v>0.30754665990495766</c:v>
                </c:pt>
                <c:pt idx="121">
                  <c:v>0.30752752070924227</c:v>
                </c:pt>
                <c:pt idx="122">
                  <c:v>0.30750897109933728</c:v>
                </c:pt>
                <c:pt idx="123">
                  <c:v>0.30749452972260638</c:v>
                </c:pt>
                <c:pt idx="124">
                  <c:v>0.30748393114024353</c:v>
                </c:pt>
                <c:pt idx="125">
                  <c:v>0.30747549700930943</c:v>
                </c:pt>
                <c:pt idx="126">
                  <c:v>0.30746071982836654</c:v>
                </c:pt>
                <c:pt idx="127">
                  <c:v>0.30744651163744052</c:v>
                </c:pt>
                <c:pt idx="128">
                  <c:v>0.30744038654668948</c:v>
                </c:pt>
                <c:pt idx="129">
                  <c:v>0.30743456860906537</c:v>
                </c:pt>
                <c:pt idx="130">
                  <c:v>0.30742682244651398</c:v>
                </c:pt>
                <c:pt idx="131">
                  <c:v>0.30741627770466096</c:v>
                </c:pt>
                <c:pt idx="132">
                  <c:v>0.30740824439282211</c:v>
                </c:pt>
                <c:pt idx="133">
                  <c:v>0.3074030201289002</c:v>
                </c:pt>
                <c:pt idx="134">
                  <c:v>0.30739833236355008</c:v>
                </c:pt>
                <c:pt idx="135">
                  <c:v>0.3073911002429206</c:v>
                </c:pt>
                <c:pt idx="136">
                  <c:v>0.3073849204239254</c:v>
                </c:pt>
                <c:pt idx="137">
                  <c:v>0.30737939147400972</c:v>
                </c:pt>
                <c:pt idx="138">
                  <c:v>0.30737655760099791</c:v>
                </c:pt>
                <c:pt idx="139">
                  <c:v>0.30737145458878512</c:v>
                </c:pt>
                <c:pt idx="140">
                  <c:v>0.30736703306856228</c:v>
                </c:pt>
                <c:pt idx="141">
                  <c:v>0.3073640340871675</c:v>
                </c:pt>
                <c:pt idx="142">
                  <c:v>0.30736161667483142</c:v>
                </c:pt>
                <c:pt idx="143">
                  <c:v>0.30735889958139762</c:v>
                </c:pt>
              </c:numCache>
            </c:numRef>
          </c:yVal>
          <c:smooth val="1"/>
        </c:ser>
        <c:ser>
          <c:idx val="1"/>
          <c:order val="1"/>
          <c:tx>
            <c:v>Actual</c:v>
          </c:tx>
          <c:marker>
            <c:symbol val="none"/>
          </c:marker>
          <c:xVal>
            <c:numRef>
              <c:f>Automation!$B$4:$B$147</c:f>
              <c:numCache>
                <c:formatCode>0.000</c:formatCode>
                <c:ptCount val="144"/>
                <c:pt idx="0" formatCode="0.0000">
                  <c:v>0.28000000000000003</c:v>
                </c:pt>
                <c:pt idx="1">
                  <c:v>0.55200000000000005</c:v>
                </c:pt>
                <c:pt idx="2" formatCode="0.00E+00">
                  <c:v>0.76</c:v>
                </c:pt>
                <c:pt idx="3" formatCode="0.00E+00">
                  <c:v>0.94</c:v>
                </c:pt>
                <c:pt idx="4" formatCode="0.00E+00">
                  <c:v>1.1879999999999999</c:v>
                </c:pt>
                <c:pt idx="5" formatCode="0.00E+00">
                  <c:v>1.48</c:v>
                </c:pt>
                <c:pt idx="6" formatCode="0.00E+00">
                  <c:v>1.768</c:v>
                </c:pt>
                <c:pt idx="7" formatCode="0.00E+00">
                  <c:v>1.944</c:v>
                </c:pt>
                <c:pt idx="8" formatCode="0.00E+00">
                  <c:v>2.1040000000000001</c:v>
                </c:pt>
                <c:pt idx="9" formatCode="General">
                  <c:v>2.3919999999999999</c:v>
                </c:pt>
                <c:pt idx="10" formatCode="General">
                  <c:v>2.6360000000000001</c:v>
                </c:pt>
                <c:pt idx="11" formatCode="General">
                  <c:v>2.8239999999999998</c:v>
                </c:pt>
                <c:pt idx="12" formatCode="General">
                  <c:v>2.988</c:v>
                </c:pt>
                <c:pt idx="13" formatCode="General">
                  <c:v>3.1920000000000002</c:v>
                </c:pt>
                <c:pt idx="14" formatCode="General">
                  <c:v>3.48</c:v>
                </c:pt>
                <c:pt idx="15" formatCode="General">
                  <c:v>3.7360000000000002</c:v>
                </c:pt>
                <c:pt idx="16" formatCode="General">
                  <c:v>3.8959999999999999</c:v>
                </c:pt>
                <c:pt idx="17" formatCode="General">
                  <c:v>4.0759999999999996</c:v>
                </c:pt>
                <c:pt idx="18" formatCode="General">
                  <c:v>4.38</c:v>
                </c:pt>
                <c:pt idx="19" formatCode="General">
                  <c:v>4.6479999999999997</c:v>
                </c:pt>
                <c:pt idx="20" formatCode="General">
                  <c:v>4.8559999999999999</c:v>
                </c:pt>
                <c:pt idx="21" formatCode="General">
                  <c:v>5.016</c:v>
                </c:pt>
                <c:pt idx="22" formatCode="General">
                  <c:v>5.2839999999999998</c:v>
                </c:pt>
                <c:pt idx="23" formatCode="General">
                  <c:v>5.5919999999999996</c:v>
                </c:pt>
                <c:pt idx="24" formatCode="General">
                  <c:v>5.7880000000000003</c:v>
                </c:pt>
                <c:pt idx="25" formatCode="General">
                  <c:v>5.96</c:v>
                </c:pt>
                <c:pt idx="26" formatCode="General">
                  <c:v>6.1239999999999997</c:v>
                </c:pt>
                <c:pt idx="27" formatCode="General">
                  <c:v>6.44</c:v>
                </c:pt>
                <c:pt idx="28" formatCode="General">
                  <c:v>6.7</c:v>
                </c:pt>
                <c:pt idx="29" formatCode="General">
                  <c:v>6.9039999999999999</c:v>
                </c:pt>
                <c:pt idx="30" formatCode="General">
                  <c:v>7.0640000000000001</c:v>
                </c:pt>
                <c:pt idx="31" formatCode="General">
                  <c:v>7.3639999999999999</c:v>
                </c:pt>
                <c:pt idx="32" formatCode="General">
                  <c:v>7.6559999999999997</c:v>
                </c:pt>
                <c:pt idx="33" formatCode="General">
                  <c:v>7.82</c:v>
                </c:pt>
                <c:pt idx="34" formatCode="General">
                  <c:v>8.0039999999999996</c:v>
                </c:pt>
                <c:pt idx="35" formatCode="General">
                  <c:v>8.1999999999999993</c:v>
                </c:pt>
                <c:pt idx="36" formatCode="General">
                  <c:v>8.4879999999999995</c:v>
                </c:pt>
                <c:pt idx="37" formatCode="General">
                  <c:v>8.7439999999999998</c:v>
                </c:pt>
                <c:pt idx="38" formatCode="General">
                  <c:v>8.92</c:v>
                </c:pt>
                <c:pt idx="39" formatCode="General">
                  <c:v>9.0640000000000001</c:v>
                </c:pt>
                <c:pt idx="40" formatCode="General">
                  <c:v>9.3520000000000003</c:v>
                </c:pt>
                <c:pt idx="41" formatCode="General">
                  <c:v>9.6280000000000001</c:v>
                </c:pt>
                <c:pt idx="42" formatCode="General">
                  <c:v>9.9719999999999995</c:v>
                </c:pt>
                <c:pt idx="43" formatCode="General">
                  <c:v>10.151999999999999</c:v>
                </c:pt>
                <c:pt idx="44" formatCode="General">
                  <c:v>10.44</c:v>
                </c:pt>
                <c:pt idx="45" formatCode="General">
                  <c:v>10.708</c:v>
                </c:pt>
                <c:pt idx="46" formatCode="General">
                  <c:v>10.884</c:v>
                </c:pt>
                <c:pt idx="47" formatCode="General">
                  <c:v>11.06</c:v>
                </c:pt>
                <c:pt idx="48" formatCode="General">
                  <c:v>11.368</c:v>
                </c:pt>
                <c:pt idx="49" formatCode="General">
                  <c:v>11.624000000000001</c:v>
                </c:pt>
                <c:pt idx="50" formatCode="General">
                  <c:v>11.816000000000001</c:v>
                </c:pt>
                <c:pt idx="51" formatCode="General">
                  <c:v>11.972</c:v>
                </c:pt>
                <c:pt idx="52" formatCode="General">
                  <c:v>12.228</c:v>
                </c:pt>
                <c:pt idx="53" formatCode="General">
                  <c:v>12.548</c:v>
                </c:pt>
                <c:pt idx="54" formatCode="General">
                  <c:v>12.776</c:v>
                </c:pt>
                <c:pt idx="55" formatCode="General">
                  <c:v>12.936</c:v>
                </c:pt>
                <c:pt idx="56" formatCode="General">
                  <c:v>13.108000000000001</c:v>
                </c:pt>
                <c:pt idx="57" formatCode="General">
                  <c:v>13.412000000000001</c:v>
                </c:pt>
                <c:pt idx="58" formatCode="General">
                  <c:v>13.7</c:v>
                </c:pt>
                <c:pt idx="59" formatCode="General">
                  <c:v>13.907999999999999</c:v>
                </c:pt>
                <c:pt idx="60" formatCode="General">
                  <c:v>14.092000000000001</c:v>
                </c:pt>
                <c:pt idx="61" formatCode="General">
                  <c:v>14.42</c:v>
                </c:pt>
                <c:pt idx="62" formatCode="General">
                  <c:v>14.708</c:v>
                </c:pt>
                <c:pt idx="63" formatCode="General">
                  <c:v>14.916</c:v>
                </c:pt>
                <c:pt idx="64" formatCode="General">
                  <c:v>15.14</c:v>
                </c:pt>
                <c:pt idx="65" formatCode="General">
                  <c:v>15.428000000000001</c:v>
                </c:pt>
                <c:pt idx="66" formatCode="General">
                  <c:v>15.676</c:v>
                </c:pt>
                <c:pt idx="67" formatCode="General">
                  <c:v>15.864000000000001</c:v>
                </c:pt>
                <c:pt idx="68" formatCode="General">
                  <c:v>16.004000000000001</c:v>
                </c:pt>
                <c:pt idx="69" formatCode="General">
                  <c:v>16.244</c:v>
                </c:pt>
                <c:pt idx="70" formatCode="General">
                  <c:v>16.547999999999998</c:v>
                </c:pt>
                <c:pt idx="71" formatCode="General">
                  <c:v>16.763999999999999</c:v>
                </c:pt>
                <c:pt idx="72" formatCode="General">
                  <c:v>16.948</c:v>
                </c:pt>
                <c:pt idx="73" formatCode="General">
                  <c:v>17.164000000000001</c:v>
                </c:pt>
                <c:pt idx="74" formatCode="General">
                  <c:v>17.48</c:v>
                </c:pt>
                <c:pt idx="75" formatCode="General">
                  <c:v>17.763999999999999</c:v>
                </c:pt>
                <c:pt idx="76" formatCode="General">
                  <c:v>17.940000000000001</c:v>
                </c:pt>
                <c:pt idx="77" formatCode="General">
                  <c:v>18.100000000000001</c:v>
                </c:pt>
                <c:pt idx="78" formatCode="General">
                  <c:v>18.388000000000002</c:v>
                </c:pt>
                <c:pt idx="79" formatCode="General">
                  <c:v>18.66</c:v>
                </c:pt>
                <c:pt idx="80" formatCode="General">
                  <c:v>18.835999999999999</c:v>
                </c:pt>
                <c:pt idx="81" formatCode="General">
                  <c:v>19.012</c:v>
                </c:pt>
                <c:pt idx="82" formatCode="General">
                  <c:v>19.251999999999999</c:v>
                </c:pt>
                <c:pt idx="83" formatCode="General">
                  <c:v>19.507999999999999</c:v>
                </c:pt>
                <c:pt idx="84" formatCode="General">
                  <c:v>19.731999999999999</c:v>
                </c:pt>
                <c:pt idx="85" formatCode="General">
                  <c:v>19.88</c:v>
                </c:pt>
                <c:pt idx="86" formatCode="General">
                  <c:v>20.068000000000001</c:v>
                </c:pt>
                <c:pt idx="87" formatCode="General">
                  <c:v>20.372</c:v>
                </c:pt>
                <c:pt idx="88" formatCode="General">
                  <c:v>20.623999999999999</c:v>
                </c:pt>
                <c:pt idx="89" formatCode="General">
                  <c:v>20.867999999999999</c:v>
                </c:pt>
                <c:pt idx="90" formatCode="General">
                  <c:v>21.044</c:v>
                </c:pt>
                <c:pt idx="91" formatCode="General">
                  <c:v>21.364000000000001</c:v>
                </c:pt>
                <c:pt idx="92" formatCode="General">
                  <c:v>21.632000000000001</c:v>
                </c:pt>
                <c:pt idx="93" formatCode="General">
                  <c:v>21.844000000000001</c:v>
                </c:pt>
                <c:pt idx="94" formatCode="General">
                  <c:v>21.984000000000002</c:v>
                </c:pt>
                <c:pt idx="95" formatCode="General">
                  <c:v>22.228000000000002</c:v>
                </c:pt>
                <c:pt idx="96" formatCode="General">
                  <c:v>22.48</c:v>
                </c:pt>
                <c:pt idx="97" formatCode="General">
                  <c:v>22.704000000000001</c:v>
                </c:pt>
                <c:pt idx="98" formatCode="General">
                  <c:v>22.856000000000002</c:v>
                </c:pt>
                <c:pt idx="99" formatCode="General">
                  <c:v>23.056000000000001</c:v>
                </c:pt>
                <c:pt idx="100" formatCode="General">
                  <c:v>23.36</c:v>
                </c:pt>
                <c:pt idx="101" formatCode="General">
                  <c:v>23.62</c:v>
                </c:pt>
                <c:pt idx="102" formatCode="General">
                  <c:v>23.812000000000001</c:v>
                </c:pt>
                <c:pt idx="103" formatCode="General">
                  <c:v>23.992000000000001</c:v>
                </c:pt>
                <c:pt idx="104" formatCode="General">
                  <c:v>24.26</c:v>
                </c:pt>
                <c:pt idx="105" formatCode="General">
                  <c:v>24.544</c:v>
                </c:pt>
                <c:pt idx="106" formatCode="General">
                  <c:v>24.788</c:v>
                </c:pt>
                <c:pt idx="107" formatCode="General">
                  <c:v>24.952000000000002</c:v>
                </c:pt>
                <c:pt idx="108" formatCode="General">
                  <c:v>25.167999999999999</c:v>
                </c:pt>
                <c:pt idx="109" formatCode="General">
                  <c:v>25.475999999999999</c:v>
                </c:pt>
                <c:pt idx="110" formatCode="General">
                  <c:v>25.736000000000001</c:v>
                </c:pt>
                <c:pt idx="111" formatCode="General">
                  <c:v>25.908000000000001</c:v>
                </c:pt>
                <c:pt idx="112" formatCode="General">
                  <c:v>26.06</c:v>
                </c:pt>
                <c:pt idx="113" formatCode="General">
                  <c:v>26.32</c:v>
                </c:pt>
                <c:pt idx="114" formatCode="General">
                  <c:v>26.591999999999999</c:v>
                </c:pt>
                <c:pt idx="115" formatCode="General">
                  <c:v>26.8</c:v>
                </c:pt>
                <c:pt idx="116" formatCode="General">
                  <c:v>26.963999999999999</c:v>
                </c:pt>
                <c:pt idx="117" formatCode="General">
                  <c:v>27.22</c:v>
                </c:pt>
                <c:pt idx="118" formatCode="General">
                  <c:v>27.536000000000001</c:v>
                </c:pt>
                <c:pt idx="119" formatCode="General">
                  <c:v>27.788</c:v>
                </c:pt>
                <c:pt idx="120" formatCode="General">
                  <c:v>27.975999999999999</c:v>
                </c:pt>
                <c:pt idx="121" formatCode="General">
                  <c:v>28.228000000000002</c:v>
                </c:pt>
                <c:pt idx="122" formatCode="General">
                  <c:v>28.495999999999999</c:v>
                </c:pt>
                <c:pt idx="123" formatCode="General">
                  <c:v>28.724</c:v>
                </c:pt>
                <c:pt idx="124" formatCode="General">
                  <c:v>28.904</c:v>
                </c:pt>
                <c:pt idx="125" formatCode="General">
                  <c:v>29.056000000000001</c:v>
                </c:pt>
                <c:pt idx="126" formatCode="General">
                  <c:v>29.344000000000001</c:v>
                </c:pt>
                <c:pt idx="127" formatCode="General">
                  <c:v>29.652000000000001</c:v>
                </c:pt>
                <c:pt idx="128" formatCode="General">
                  <c:v>29.795999999999999</c:v>
                </c:pt>
                <c:pt idx="129" formatCode="General">
                  <c:v>29.94</c:v>
                </c:pt>
                <c:pt idx="130" formatCode="General">
                  <c:v>30.143999999999998</c:v>
                </c:pt>
                <c:pt idx="131" formatCode="General">
                  <c:v>30.448</c:v>
                </c:pt>
                <c:pt idx="132" formatCode="General">
                  <c:v>30.704000000000001</c:v>
                </c:pt>
                <c:pt idx="133" formatCode="General">
                  <c:v>30.884</c:v>
                </c:pt>
                <c:pt idx="134" formatCode="General">
                  <c:v>31.056000000000001</c:v>
                </c:pt>
                <c:pt idx="135" formatCode="General">
                  <c:v>31.344000000000001</c:v>
                </c:pt>
                <c:pt idx="136" formatCode="General">
                  <c:v>31.616</c:v>
                </c:pt>
                <c:pt idx="137" formatCode="General">
                  <c:v>31.884</c:v>
                </c:pt>
                <c:pt idx="138" formatCode="General">
                  <c:v>32.031999999999996</c:v>
                </c:pt>
                <c:pt idx="139" formatCode="General">
                  <c:v>32.32</c:v>
                </c:pt>
                <c:pt idx="140" formatCode="General">
                  <c:v>32.595999999999997</c:v>
                </c:pt>
                <c:pt idx="141" formatCode="General">
                  <c:v>32.799999999999997</c:v>
                </c:pt>
                <c:pt idx="142" formatCode="General">
                  <c:v>32.975999999999999</c:v>
                </c:pt>
                <c:pt idx="143" formatCode="General">
                  <c:v>33.188000000000002</c:v>
                </c:pt>
              </c:numCache>
            </c:numRef>
          </c:xVal>
          <c:yVal>
            <c:numRef>
              <c:f>Automation!$D$4:$D$147</c:f>
              <c:numCache>
                <c:formatCode>General</c:formatCode>
                <c:ptCount val="144"/>
                <c:pt idx="0">
                  <c:v>3.5960000000000001</c:v>
                </c:pt>
                <c:pt idx="1">
                  <c:v>1.9970000000000001</c:v>
                </c:pt>
                <c:pt idx="2">
                  <c:v>2.7050000000000001</c:v>
                </c:pt>
                <c:pt idx="3">
                  <c:v>2.903</c:v>
                </c:pt>
                <c:pt idx="4">
                  <c:v>2.903</c:v>
                </c:pt>
                <c:pt idx="5">
                  <c:v>2.8969999999999998</c:v>
                </c:pt>
                <c:pt idx="6">
                  <c:v>2.7440000000000002</c:v>
                </c:pt>
                <c:pt idx="7">
                  <c:v>2.6160000000000001</c:v>
                </c:pt>
                <c:pt idx="8">
                  <c:v>2.6160000000000001</c:v>
                </c:pt>
                <c:pt idx="9">
                  <c:v>2.4489999999999998</c:v>
                </c:pt>
                <c:pt idx="10">
                  <c:v>2.2879999999999998</c:v>
                </c:pt>
                <c:pt idx="11">
                  <c:v>2.1669999999999998</c:v>
                </c:pt>
                <c:pt idx="12">
                  <c:v>1.9810000000000001</c:v>
                </c:pt>
                <c:pt idx="13">
                  <c:v>1.962</c:v>
                </c:pt>
                <c:pt idx="14">
                  <c:v>1.774</c:v>
                </c:pt>
                <c:pt idx="15">
                  <c:v>1.59</c:v>
                </c:pt>
                <c:pt idx="16">
                  <c:v>1.59</c:v>
                </c:pt>
                <c:pt idx="17">
                  <c:v>1.486</c:v>
                </c:pt>
                <c:pt idx="18">
                  <c:v>1.337</c:v>
                </c:pt>
                <c:pt idx="19">
                  <c:v>1.153</c:v>
                </c:pt>
                <c:pt idx="20">
                  <c:v>1.153</c:v>
                </c:pt>
                <c:pt idx="21">
                  <c:v>1.07</c:v>
                </c:pt>
                <c:pt idx="22">
                  <c:v>0.99439999999999995</c:v>
                </c:pt>
                <c:pt idx="23">
                  <c:v>0.96189999999999998</c:v>
                </c:pt>
                <c:pt idx="24">
                  <c:v>0.90910000000000002</c:v>
                </c:pt>
                <c:pt idx="25">
                  <c:v>0.86509999999999998</c:v>
                </c:pt>
                <c:pt idx="26">
                  <c:v>0.86509999999999998</c:v>
                </c:pt>
                <c:pt idx="27">
                  <c:v>0.77739999999999998</c:v>
                </c:pt>
                <c:pt idx="28">
                  <c:v>0.72770000000000001</c:v>
                </c:pt>
                <c:pt idx="29">
                  <c:v>0.68920000000000003</c:v>
                </c:pt>
                <c:pt idx="30">
                  <c:v>0.68920000000000003</c:v>
                </c:pt>
                <c:pt idx="31">
                  <c:v>0.67800000000000005</c:v>
                </c:pt>
                <c:pt idx="32">
                  <c:v>0.65839999999999999</c:v>
                </c:pt>
                <c:pt idx="33">
                  <c:v>0.65839999999999999</c:v>
                </c:pt>
                <c:pt idx="34">
                  <c:v>0.64349999999999996</c:v>
                </c:pt>
                <c:pt idx="35">
                  <c:v>0.59750000000000003</c:v>
                </c:pt>
                <c:pt idx="36">
                  <c:v>0.56559999999999999</c:v>
                </c:pt>
                <c:pt idx="37">
                  <c:v>0.53939999999999999</c:v>
                </c:pt>
                <c:pt idx="38">
                  <c:v>0.51300000000000001</c:v>
                </c:pt>
                <c:pt idx="39">
                  <c:v>0.51300000000000001</c:v>
                </c:pt>
                <c:pt idx="40">
                  <c:v>0.50719999999999998</c:v>
                </c:pt>
                <c:pt idx="41">
                  <c:v>0.47110000000000002</c:v>
                </c:pt>
                <c:pt idx="42">
                  <c:v>0.45779999999999998</c:v>
                </c:pt>
                <c:pt idx="43">
                  <c:v>0.44</c:v>
                </c:pt>
                <c:pt idx="44">
                  <c:v>0.41760000000000003</c:v>
                </c:pt>
                <c:pt idx="45">
                  <c:v>0.41299999999999998</c:v>
                </c:pt>
                <c:pt idx="46">
                  <c:v>0.39439999999999997</c:v>
                </c:pt>
                <c:pt idx="47">
                  <c:v>0.39439999999999997</c:v>
                </c:pt>
                <c:pt idx="48">
                  <c:v>0.3967</c:v>
                </c:pt>
                <c:pt idx="49">
                  <c:v>0.3775</c:v>
                </c:pt>
                <c:pt idx="50">
                  <c:v>0.3775</c:v>
                </c:pt>
                <c:pt idx="51">
                  <c:v>0.37219999999999998</c:v>
                </c:pt>
                <c:pt idx="52">
                  <c:v>0.373</c:v>
                </c:pt>
                <c:pt idx="53">
                  <c:v>0.37390000000000001</c:v>
                </c:pt>
                <c:pt idx="54">
                  <c:v>0.35399999999999998</c:v>
                </c:pt>
                <c:pt idx="55">
                  <c:v>0.34589999999999999</c:v>
                </c:pt>
                <c:pt idx="56">
                  <c:v>0.32869999999999999</c:v>
                </c:pt>
                <c:pt idx="57">
                  <c:v>0.3306</c:v>
                </c:pt>
                <c:pt idx="58" formatCode="0.00E+00">
                  <c:v>0.33460000000000001</c:v>
                </c:pt>
                <c:pt idx="59" formatCode="0.00E+00">
                  <c:v>0.32879999999999998</c:v>
                </c:pt>
                <c:pt idx="60" formatCode="0.00E+00">
                  <c:v>0.31019999999999998</c:v>
                </c:pt>
                <c:pt idx="61" formatCode="0.00E+00">
                  <c:v>0.30669999999999997</c:v>
                </c:pt>
                <c:pt idx="62" formatCode="0.00E+00">
                  <c:v>0.31319999999999998</c:v>
                </c:pt>
                <c:pt idx="63" formatCode="0.00E+00">
                  <c:v>0.31280000000000002</c:v>
                </c:pt>
                <c:pt idx="64" formatCode="0.00E+00">
                  <c:v>0.33479999999999999</c:v>
                </c:pt>
                <c:pt idx="65" formatCode="0.00E+00">
                  <c:v>0.33560000000000001</c:v>
                </c:pt>
                <c:pt idx="66" formatCode="0.00E+00">
                  <c:v>0.33939999999999998</c:v>
                </c:pt>
                <c:pt idx="67" formatCode="0.00E+00">
                  <c:v>0.3327</c:v>
                </c:pt>
                <c:pt idx="68" formatCode="0.00E+00">
                  <c:v>0.3327</c:v>
                </c:pt>
                <c:pt idx="69" formatCode="0.00E+00">
                  <c:v>0.35099999999999998</c:v>
                </c:pt>
                <c:pt idx="70" formatCode="0.00E+00">
                  <c:v>0.35270000000000001</c:v>
                </c:pt>
                <c:pt idx="71" formatCode="0.00E+00">
                  <c:v>0.3513</c:v>
                </c:pt>
                <c:pt idx="72" formatCode="0.00E+00">
                  <c:v>0.33860000000000001</c:v>
                </c:pt>
                <c:pt idx="73" formatCode="0.00E+00">
                  <c:v>0.34129999999999999</c:v>
                </c:pt>
                <c:pt idx="74" formatCode="0.00E+00">
                  <c:v>0.33500000000000002</c:v>
                </c:pt>
                <c:pt idx="75" formatCode="0.00E+00">
                  <c:v>0.32569999999999999</c:v>
                </c:pt>
                <c:pt idx="76" formatCode="0.00E+00">
                  <c:v>0.30630000000000002</c:v>
                </c:pt>
                <c:pt idx="77" formatCode="0.00E+00">
                  <c:v>0.30690000000000001</c:v>
                </c:pt>
                <c:pt idx="78" formatCode="0.00E+00">
                  <c:v>0.32250000000000001</c:v>
                </c:pt>
                <c:pt idx="79" formatCode="0.00E+00">
                  <c:v>0.3327</c:v>
                </c:pt>
                <c:pt idx="80" formatCode="0.00E+00">
                  <c:v>0.3291</c:v>
                </c:pt>
                <c:pt idx="81" formatCode="0.00E+00">
                  <c:v>0.3291</c:v>
                </c:pt>
                <c:pt idx="82" formatCode="0.00E+00">
                  <c:v>0.3261</c:v>
                </c:pt>
                <c:pt idx="83" formatCode="0.00E+00">
                  <c:v>0.28699999999999998</c:v>
                </c:pt>
                <c:pt idx="84" formatCode="0.00E+00">
                  <c:v>0.2712</c:v>
                </c:pt>
                <c:pt idx="85" formatCode="0.00E+00">
                  <c:v>0.28410000000000002</c:v>
                </c:pt>
                <c:pt idx="86" formatCode="0.00E+00">
                  <c:v>0.30809999999999998</c:v>
                </c:pt>
                <c:pt idx="87" formatCode="0.00E+00">
                  <c:v>0.30070000000000002</c:v>
                </c:pt>
                <c:pt idx="88" formatCode="0.00E+00">
                  <c:v>0.29749999999999999</c:v>
                </c:pt>
                <c:pt idx="89" formatCode="0.00E+00">
                  <c:v>0.28399999999999997</c:v>
                </c:pt>
                <c:pt idx="90" formatCode="0.00E+00">
                  <c:v>0.28220000000000001</c:v>
                </c:pt>
                <c:pt idx="91" formatCode="0.00E+00">
                  <c:v>0.28070000000000001</c:v>
                </c:pt>
                <c:pt idx="92" formatCode="0.00E+00">
                  <c:v>0.28699999999999998</c:v>
                </c:pt>
                <c:pt idx="93" formatCode="0.00E+00">
                  <c:v>0.313</c:v>
                </c:pt>
                <c:pt idx="94" formatCode="0.00E+00">
                  <c:v>0.313</c:v>
                </c:pt>
                <c:pt idx="95" formatCode="0.00E+00">
                  <c:v>0.30430000000000001</c:v>
                </c:pt>
                <c:pt idx="96" formatCode="0.00E+00">
                  <c:v>0.28489999999999999</c:v>
                </c:pt>
                <c:pt idx="97" formatCode="0.00E+00">
                  <c:v>0.26569999999999999</c:v>
                </c:pt>
                <c:pt idx="98" formatCode="0.00E+00">
                  <c:v>0.2646</c:v>
                </c:pt>
                <c:pt idx="99" formatCode="0.00E+00">
                  <c:v>0.25840000000000002</c:v>
                </c:pt>
                <c:pt idx="100" formatCode="0.00E+00">
                  <c:v>0.28239999999999998</c:v>
                </c:pt>
                <c:pt idx="101" formatCode="0.00E+00">
                  <c:v>0.30409999999999998</c:v>
                </c:pt>
                <c:pt idx="102" formatCode="0.00E+00">
                  <c:v>0.31430000000000002</c:v>
                </c:pt>
                <c:pt idx="103" formatCode="0.00E+00">
                  <c:v>0.316</c:v>
                </c:pt>
                <c:pt idx="104" formatCode="0.00E+00">
                  <c:v>0.32569999999999999</c:v>
                </c:pt>
                <c:pt idx="105" formatCode="0.00E+00">
                  <c:v>0.32629999999999998</c:v>
                </c:pt>
                <c:pt idx="106" formatCode="0.00E+00">
                  <c:v>0.33179999999999998</c:v>
                </c:pt>
                <c:pt idx="107" formatCode="0.00E+00">
                  <c:v>0.33179999999999998</c:v>
                </c:pt>
                <c:pt idx="108" formatCode="0.00E+00">
                  <c:v>0.33160000000000001</c:v>
                </c:pt>
                <c:pt idx="109" formatCode="0.00E+00">
                  <c:v>0.32779999999999998</c:v>
                </c:pt>
                <c:pt idx="110" formatCode="0.00E+00">
                  <c:v>0.31430000000000002</c:v>
                </c:pt>
                <c:pt idx="111" formatCode="0.00E+00">
                  <c:v>0.31430000000000002</c:v>
                </c:pt>
                <c:pt idx="112" formatCode="0.00E+00">
                  <c:v>0.30840000000000001</c:v>
                </c:pt>
                <c:pt idx="113" formatCode="0.00E+00">
                  <c:v>0.309</c:v>
                </c:pt>
                <c:pt idx="114" formatCode="0.00E+00">
                  <c:v>0.31259999999999999</c:v>
                </c:pt>
                <c:pt idx="115" formatCode="0.00E+00">
                  <c:v>0.3221</c:v>
                </c:pt>
                <c:pt idx="116" formatCode="0.00E+00">
                  <c:v>0.33839999999999998</c:v>
                </c:pt>
                <c:pt idx="117" formatCode="0.00E+00">
                  <c:v>0.33650000000000002</c:v>
                </c:pt>
                <c:pt idx="118" formatCode="0.00E+00">
                  <c:v>0.3327</c:v>
                </c:pt>
                <c:pt idx="119" formatCode="0.00E+00">
                  <c:v>0.32779999999999998</c:v>
                </c:pt>
                <c:pt idx="120" formatCode="0.00E+00">
                  <c:v>0.3196</c:v>
                </c:pt>
                <c:pt idx="121" formatCode="0.00E+00">
                  <c:v>0.32229999999999998</c:v>
                </c:pt>
                <c:pt idx="122" formatCode="0.00E+00">
                  <c:v>0.31590000000000001</c:v>
                </c:pt>
                <c:pt idx="123" formatCode="0.00E+00">
                  <c:v>0.29139999999999999</c:v>
                </c:pt>
                <c:pt idx="124" formatCode="0.00E+00">
                  <c:v>0.28849999999999998</c:v>
                </c:pt>
                <c:pt idx="125" formatCode="0.00E+00">
                  <c:v>0.28849999999999998</c:v>
                </c:pt>
                <c:pt idx="126" formatCode="0.00E+00">
                  <c:v>0.31109999999999999</c:v>
                </c:pt>
                <c:pt idx="127" formatCode="0.00E+00">
                  <c:v>0.33139999999999997</c:v>
                </c:pt>
                <c:pt idx="128" formatCode="0.00E+00">
                  <c:v>0.34560000000000002</c:v>
                </c:pt>
                <c:pt idx="129" formatCode="0.00E+00">
                  <c:v>0.35930000000000001</c:v>
                </c:pt>
                <c:pt idx="130" formatCode="0.00E+00">
                  <c:v>0.35930000000000001</c:v>
                </c:pt>
                <c:pt idx="131" formatCode="0.00E+00">
                  <c:v>0.32969999999999999</c:v>
                </c:pt>
                <c:pt idx="132" formatCode="0.00E+00">
                  <c:v>0.30809999999999998</c:v>
                </c:pt>
                <c:pt idx="133" formatCode="0.00E+00">
                  <c:v>0.30809999999999998</c:v>
                </c:pt>
                <c:pt idx="134" formatCode="0.00E+00">
                  <c:v>0.29310000000000003</c:v>
                </c:pt>
                <c:pt idx="135" formatCode="0.00E+00">
                  <c:v>0.28589999999999999</c:v>
                </c:pt>
                <c:pt idx="136" formatCode="0.00E+00">
                  <c:v>0.2853</c:v>
                </c:pt>
                <c:pt idx="137" formatCode="0.00E+00">
                  <c:v>0.28999999999999998</c:v>
                </c:pt>
                <c:pt idx="138" formatCode="0.00E+00">
                  <c:v>0.28489999999999999</c:v>
                </c:pt>
                <c:pt idx="139" formatCode="0.00E+00">
                  <c:v>0.28549999999999998</c:v>
                </c:pt>
                <c:pt idx="140" formatCode="0.00E+00">
                  <c:v>0.28249999999999997</c:v>
                </c:pt>
                <c:pt idx="141" formatCode="0.00E+00">
                  <c:v>0.28129999999999999</c:v>
                </c:pt>
                <c:pt idx="142" formatCode="0.00E+00">
                  <c:v>0.27200000000000002</c:v>
                </c:pt>
                <c:pt idx="143" formatCode="0.00E+00">
                  <c:v>0.26950000000000002</c:v>
                </c:pt>
              </c:numCache>
            </c:numRef>
          </c:yVal>
          <c:smooth val="1"/>
        </c:ser>
        <c:axId val="318737408"/>
        <c:axId val="320063360"/>
      </c:scatterChart>
      <c:valAx>
        <c:axId val="3187374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</c:title>
        <c:numFmt formatCode="0.00" sourceLinked="0"/>
        <c:majorTickMark val="none"/>
        <c:tickLblPos val="nextTo"/>
        <c:crossAx val="320063360"/>
        <c:crosses val="autoZero"/>
        <c:crossBetween val="midCat"/>
      </c:valAx>
      <c:valAx>
        <c:axId val="320063360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Normal (N)</a:t>
                </a:r>
              </a:p>
            </c:rich>
          </c:tx>
        </c:title>
        <c:numFmt formatCode="0.00" sourceLinked="0"/>
        <c:majorTickMark val="none"/>
        <c:tickLblPos val="nextTo"/>
        <c:crossAx val="31873740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xVal>
            <c:numRef>
              <c:f>'Yield, Bubble Pinch'!$C$3:$C$40</c:f>
              <c:numCache>
                <c:formatCode>0.000</c:formatCode>
                <c:ptCount val="38"/>
                <c:pt idx="0">
                  <c:v>4.8076E-4</c:v>
                </c:pt>
                <c:pt idx="1">
                  <c:v>1.2832E-3</c:v>
                </c:pt>
                <c:pt idx="2">
                  <c:v>1.5666E-3</c:v>
                </c:pt>
                <c:pt idx="3">
                  <c:v>1.9784999999999998E-3</c:v>
                </c:pt>
                <c:pt idx="4">
                  <c:v>2.4981000000000001E-3</c:v>
                </c:pt>
                <c:pt idx="5">
                  <c:v>3.1384999999999998E-3</c:v>
                </c:pt>
                <c:pt idx="6">
                  <c:v>3.9971E-3</c:v>
                </c:pt>
                <c:pt idx="7">
                  <c:v>4.9947999999999998E-3</c:v>
                </c:pt>
                <c:pt idx="8">
                  <c:v>6.2988000000000002E-3</c:v>
                </c:pt>
                <c:pt idx="9">
                  <c:v>7.9679999999999994E-3</c:v>
                </c:pt>
                <c:pt idx="10">
                  <c:v>1.0007E-2</c:v>
                </c:pt>
                <c:pt idx="11">
                  <c:v>1.2618000000000001E-2</c:v>
                </c:pt>
                <c:pt idx="12">
                  <c:v>1.5907000000000001E-2</c:v>
                </c:pt>
                <c:pt idx="13">
                  <c:v>2.0140000000000002E-2</c:v>
                </c:pt>
                <c:pt idx="14">
                  <c:v>2.5479000000000002E-2</c:v>
                </c:pt>
                <c:pt idx="15">
                  <c:v>3.2286000000000002E-2</c:v>
                </c:pt>
                <c:pt idx="16">
                  <c:v>4.1295999999999999E-2</c:v>
                </c:pt>
                <c:pt idx="17">
                  <c:v>5.1866000000000002E-2</c:v>
                </c:pt>
                <c:pt idx="18">
                  <c:v>6.5475000000000005E-2</c:v>
                </c:pt>
                <c:pt idx="19">
                  <c:v>8.2498000000000002E-2</c:v>
                </c:pt>
                <c:pt idx="20">
                  <c:v>0.10335999999999999</c:v>
                </c:pt>
                <c:pt idx="21">
                  <c:v>0.12955</c:v>
                </c:pt>
                <c:pt idx="22">
                  <c:v>0.16366</c:v>
                </c:pt>
                <c:pt idx="23">
                  <c:v>0.20533999999999999</c:v>
                </c:pt>
                <c:pt idx="24">
                  <c:v>0.25800000000000001</c:v>
                </c:pt>
                <c:pt idx="25">
                  <c:v>0.32362000000000002</c:v>
                </c:pt>
                <c:pt idx="26">
                  <c:v>0.41021000000000002</c:v>
                </c:pt>
                <c:pt idx="27">
                  <c:v>0.51466999999999996</c:v>
                </c:pt>
                <c:pt idx="28">
                  <c:v>0.65593000000000001</c:v>
                </c:pt>
                <c:pt idx="29">
                  <c:v>0.83299000000000001</c:v>
                </c:pt>
                <c:pt idx="30">
                  <c:v>1.0522</c:v>
                </c:pt>
                <c:pt idx="31">
                  <c:v>1.3333999999999999</c:v>
                </c:pt>
                <c:pt idx="32">
                  <c:v>1.6591</c:v>
                </c:pt>
                <c:pt idx="33">
                  <c:v>2.0712999999999999</c:v>
                </c:pt>
                <c:pt idx="34">
                  <c:v>2.6166999999999998</c:v>
                </c:pt>
                <c:pt idx="35">
                  <c:v>3.258</c:v>
                </c:pt>
                <c:pt idx="36">
                  <c:v>4.0736999999999997</c:v>
                </c:pt>
                <c:pt idx="37">
                  <c:v>5.1277999999999997</c:v>
                </c:pt>
              </c:numCache>
            </c:numRef>
          </c:xVal>
          <c:yVal>
            <c:numRef>
              <c:f>'Yield, Bubble Pinch'!$B$3:$B$40</c:f>
              <c:numCache>
                <c:formatCode>0.000</c:formatCode>
                <c:ptCount val="38"/>
                <c:pt idx="0" formatCode="0.0000">
                  <c:v>0.26100000000000001</c:v>
                </c:pt>
                <c:pt idx="1">
                  <c:v>1.0289999999999999</c:v>
                </c:pt>
                <c:pt idx="2" formatCode="General">
                  <c:v>1.294</c:v>
                </c:pt>
                <c:pt idx="3" formatCode="General">
                  <c:v>1.663</c:v>
                </c:pt>
                <c:pt idx="4">
                  <c:v>2.1230000000000002</c:v>
                </c:pt>
                <c:pt idx="5">
                  <c:v>2.694</c:v>
                </c:pt>
                <c:pt idx="6">
                  <c:v>3.4220000000000002</c:v>
                </c:pt>
                <c:pt idx="7">
                  <c:v>4.2919999999999998</c:v>
                </c:pt>
                <c:pt idx="8">
                  <c:v>5.4260000000000002</c:v>
                </c:pt>
                <c:pt idx="9">
                  <c:v>6.8380000000000001</c:v>
                </c:pt>
                <c:pt idx="10">
                  <c:v>8.5909999999999993</c:v>
                </c:pt>
                <c:pt idx="11">
                  <c:v>10.77</c:v>
                </c:pt>
                <c:pt idx="12">
                  <c:v>13.49</c:v>
                </c:pt>
                <c:pt idx="13">
                  <c:v>16.809999999999999</c:v>
                </c:pt>
                <c:pt idx="14">
                  <c:v>20.71</c:v>
                </c:pt>
                <c:pt idx="15">
                  <c:v>25.15</c:v>
                </c:pt>
                <c:pt idx="16">
                  <c:v>30.23</c:v>
                </c:pt>
                <c:pt idx="17">
                  <c:v>35.51</c:v>
                </c:pt>
                <c:pt idx="18">
                  <c:v>41.68</c:v>
                </c:pt>
                <c:pt idx="19">
                  <c:v>48.66</c:v>
                </c:pt>
                <c:pt idx="20">
                  <c:v>56.82</c:v>
                </c:pt>
                <c:pt idx="21">
                  <c:v>66.47</c:v>
                </c:pt>
                <c:pt idx="22">
                  <c:v>78.260000000000005</c:v>
                </c:pt>
                <c:pt idx="23">
                  <c:v>91.67</c:v>
                </c:pt>
                <c:pt idx="24">
                  <c:v>107.2</c:v>
                </c:pt>
                <c:pt idx="25">
                  <c:v>124.7</c:v>
                </c:pt>
                <c:pt idx="26">
                  <c:v>145.19999999999999</c:v>
                </c:pt>
                <c:pt idx="27">
                  <c:v>165.8</c:v>
                </c:pt>
                <c:pt idx="28">
                  <c:v>188</c:v>
                </c:pt>
                <c:pt idx="29">
                  <c:v>206.9</c:v>
                </c:pt>
                <c:pt idx="30">
                  <c:v>221.5</c:v>
                </c:pt>
                <c:pt idx="31">
                  <c:v>233.9</c:v>
                </c:pt>
                <c:pt idx="32">
                  <c:v>244.2</c:v>
                </c:pt>
                <c:pt idx="33">
                  <c:v>254.3</c:v>
                </c:pt>
                <c:pt idx="34">
                  <c:v>264.10000000000002</c:v>
                </c:pt>
                <c:pt idx="35">
                  <c:v>272.3</c:v>
                </c:pt>
                <c:pt idx="36">
                  <c:v>281.8</c:v>
                </c:pt>
                <c:pt idx="37">
                  <c:v>291.8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'Yield, Bubble Pinch'!$C$3:$C$40</c:f>
              <c:numCache>
                <c:formatCode>0.000</c:formatCode>
                <c:ptCount val="38"/>
                <c:pt idx="0">
                  <c:v>4.8076E-4</c:v>
                </c:pt>
                <c:pt idx="1">
                  <c:v>1.2832E-3</c:v>
                </c:pt>
                <c:pt idx="2">
                  <c:v>1.5666E-3</c:v>
                </c:pt>
                <c:pt idx="3">
                  <c:v>1.9784999999999998E-3</c:v>
                </c:pt>
                <c:pt idx="4">
                  <c:v>2.4981000000000001E-3</c:v>
                </c:pt>
                <c:pt idx="5">
                  <c:v>3.1384999999999998E-3</c:v>
                </c:pt>
                <c:pt idx="6">
                  <c:v>3.9971E-3</c:v>
                </c:pt>
                <c:pt idx="7">
                  <c:v>4.9947999999999998E-3</c:v>
                </c:pt>
                <c:pt idx="8">
                  <c:v>6.2988000000000002E-3</c:v>
                </c:pt>
                <c:pt idx="9">
                  <c:v>7.9679999999999994E-3</c:v>
                </c:pt>
                <c:pt idx="10">
                  <c:v>1.0007E-2</c:v>
                </c:pt>
                <c:pt idx="11">
                  <c:v>1.2618000000000001E-2</c:v>
                </c:pt>
                <c:pt idx="12">
                  <c:v>1.5907000000000001E-2</c:v>
                </c:pt>
                <c:pt idx="13">
                  <c:v>2.0140000000000002E-2</c:v>
                </c:pt>
                <c:pt idx="14">
                  <c:v>2.5479000000000002E-2</c:v>
                </c:pt>
                <c:pt idx="15">
                  <c:v>3.2286000000000002E-2</c:v>
                </c:pt>
                <c:pt idx="16">
                  <c:v>4.1295999999999999E-2</c:v>
                </c:pt>
                <c:pt idx="17">
                  <c:v>5.1866000000000002E-2</c:v>
                </c:pt>
                <c:pt idx="18">
                  <c:v>6.5475000000000005E-2</c:v>
                </c:pt>
                <c:pt idx="19">
                  <c:v>8.2498000000000002E-2</c:v>
                </c:pt>
                <c:pt idx="20">
                  <c:v>0.10335999999999999</c:v>
                </c:pt>
                <c:pt idx="21">
                  <c:v>0.12955</c:v>
                </c:pt>
                <c:pt idx="22">
                  <c:v>0.16366</c:v>
                </c:pt>
                <c:pt idx="23">
                  <c:v>0.20533999999999999</c:v>
                </c:pt>
                <c:pt idx="24">
                  <c:v>0.25800000000000001</c:v>
                </c:pt>
                <c:pt idx="25">
                  <c:v>0.32362000000000002</c:v>
                </c:pt>
                <c:pt idx="26">
                  <c:v>0.41021000000000002</c:v>
                </c:pt>
                <c:pt idx="27">
                  <c:v>0.51466999999999996</c:v>
                </c:pt>
                <c:pt idx="28">
                  <c:v>0.65593000000000001</c:v>
                </c:pt>
                <c:pt idx="29">
                  <c:v>0.83299000000000001</c:v>
                </c:pt>
                <c:pt idx="30">
                  <c:v>1.0522</c:v>
                </c:pt>
                <c:pt idx="31">
                  <c:v>1.3333999999999999</c:v>
                </c:pt>
                <c:pt idx="32">
                  <c:v>1.6591</c:v>
                </c:pt>
                <c:pt idx="33">
                  <c:v>2.0712999999999999</c:v>
                </c:pt>
                <c:pt idx="34">
                  <c:v>2.6166999999999998</c:v>
                </c:pt>
                <c:pt idx="35">
                  <c:v>3.258</c:v>
                </c:pt>
                <c:pt idx="36">
                  <c:v>4.0736999999999997</c:v>
                </c:pt>
                <c:pt idx="37">
                  <c:v>5.1277999999999997</c:v>
                </c:pt>
              </c:numCache>
            </c:numRef>
          </c:xVal>
          <c:yVal>
            <c:numRef>
              <c:f>'Yield, Bubble Pinch'!$K$3:$K$40</c:f>
              <c:numCache>
                <c:formatCode>0.000</c:formatCode>
                <c:ptCount val="38"/>
                <c:pt idx="0">
                  <c:v>0.41705447258788597</c:v>
                </c:pt>
                <c:pt idx="1">
                  <c:v>1.1130877889187911</c:v>
                </c:pt>
                <c:pt idx="2">
                  <c:v>1.3589078400729939</c:v>
                </c:pt>
                <c:pt idx="3">
                  <c:v>1.7161882884513144</c:v>
                </c:pt>
                <c:pt idx="4">
                  <c:v>2.1668872954369314</c:v>
                </c:pt>
                <c:pt idx="5">
                  <c:v>2.7223677497740923</c:v>
                </c:pt>
                <c:pt idx="6">
                  <c:v>3.4671140303704178</c:v>
                </c:pt>
                <c:pt idx="7">
                  <c:v>4.3325151067167411</c:v>
                </c:pt>
                <c:pt idx="8">
                  <c:v>5.463599604617519</c:v>
                </c:pt>
                <c:pt idx="9">
                  <c:v>6.9114571536175022</c:v>
                </c:pt>
                <c:pt idx="10">
                  <c:v>8.6800777757184893</c:v>
                </c:pt>
                <c:pt idx="11">
                  <c:v>10.944848959782089</c:v>
                </c:pt>
                <c:pt idx="12">
                  <c:v>13.797714691067103</c:v>
                </c:pt>
                <c:pt idx="13">
                  <c:v>17.469402328807892</c:v>
                </c:pt>
                <c:pt idx="14">
                  <c:v>22.100430039154713</c:v>
                </c:pt>
                <c:pt idx="15">
                  <c:v>28.004795205727255</c:v>
                </c:pt>
                <c:pt idx="16">
                  <c:v>35.820033952725723</c:v>
                </c:pt>
                <c:pt idx="17">
                  <c:v>44.988410595985869</c:v>
                </c:pt>
                <c:pt idx="18">
                  <c:v>56.792803948694221</c:v>
                </c:pt>
                <c:pt idx="19">
                  <c:v>71.558487543605992</c:v>
                </c:pt>
                <c:pt idx="20">
                  <c:v>89.654104717843737</c:v>
                </c:pt>
                <c:pt idx="21">
                  <c:v>112.37120824546749</c:v>
                </c:pt>
                <c:pt idx="22">
                  <c:v>141.95808878488123</c:v>
                </c:pt>
                <c:pt idx="23">
                  <c:v>178.11115770551345</c:v>
                </c:pt>
                <c:pt idx="24">
                  <c:v>223.7882356652182</c:v>
                </c:pt>
                <c:pt idx="25">
                  <c:v>280.70676691694291</c:v>
                </c:pt>
                <c:pt idx="26">
                  <c:v>355.81459412033888</c:v>
                </c:pt>
                <c:pt idx="27">
                  <c:v>446.42278940462973</c:v>
                </c:pt>
                <c:pt idx="28">
                  <c:v>568.95116070329834</c:v>
                </c:pt>
                <c:pt idx="29">
                  <c:v>722.5323119289975</c:v>
                </c:pt>
                <c:pt idx="30">
                  <c:v>912.67420823638213</c:v>
                </c:pt>
                <c:pt idx="31">
                  <c:v>1156.5859879984209</c:v>
                </c:pt>
                <c:pt idx="32">
                  <c:v>1439.0968936474114</c:v>
                </c:pt>
                <c:pt idx="33">
                  <c:v>1796.6375608519363</c:v>
                </c:pt>
                <c:pt idx="34">
                  <c:v>2269.7153868911114</c:v>
                </c:pt>
                <c:pt idx="35">
                  <c:v>2825.9764977068853</c:v>
                </c:pt>
                <c:pt idx="36">
                  <c:v>3533.5114861560141</c:v>
                </c:pt>
                <c:pt idx="37">
                  <c:v>4447.8337018287211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'Yield, Bubble Pinch'!$C$3:$C$40</c:f>
              <c:numCache>
                <c:formatCode>0.000</c:formatCode>
                <c:ptCount val="38"/>
                <c:pt idx="0">
                  <c:v>4.8076E-4</c:v>
                </c:pt>
                <c:pt idx="1">
                  <c:v>1.2832E-3</c:v>
                </c:pt>
                <c:pt idx="2">
                  <c:v>1.5666E-3</c:v>
                </c:pt>
                <c:pt idx="3">
                  <c:v>1.9784999999999998E-3</c:v>
                </c:pt>
                <c:pt idx="4">
                  <c:v>2.4981000000000001E-3</c:v>
                </c:pt>
                <c:pt idx="5">
                  <c:v>3.1384999999999998E-3</c:v>
                </c:pt>
                <c:pt idx="6">
                  <c:v>3.9971E-3</c:v>
                </c:pt>
                <c:pt idx="7">
                  <c:v>4.9947999999999998E-3</c:v>
                </c:pt>
                <c:pt idx="8">
                  <c:v>6.2988000000000002E-3</c:v>
                </c:pt>
                <c:pt idx="9">
                  <c:v>7.9679999999999994E-3</c:v>
                </c:pt>
                <c:pt idx="10">
                  <c:v>1.0007E-2</c:v>
                </c:pt>
                <c:pt idx="11">
                  <c:v>1.2618000000000001E-2</c:v>
                </c:pt>
                <c:pt idx="12">
                  <c:v>1.5907000000000001E-2</c:v>
                </c:pt>
                <c:pt idx="13">
                  <c:v>2.0140000000000002E-2</c:v>
                </c:pt>
                <c:pt idx="14">
                  <c:v>2.5479000000000002E-2</c:v>
                </c:pt>
                <c:pt idx="15">
                  <c:v>3.2286000000000002E-2</c:v>
                </c:pt>
                <c:pt idx="16">
                  <c:v>4.1295999999999999E-2</c:v>
                </c:pt>
                <c:pt idx="17">
                  <c:v>5.1866000000000002E-2</c:v>
                </c:pt>
                <c:pt idx="18">
                  <c:v>6.5475000000000005E-2</c:v>
                </c:pt>
                <c:pt idx="19">
                  <c:v>8.2498000000000002E-2</c:v>
                </c:pt>
                <c:pt idx="20">
                  <c:v>0.10335999999999999</c:v>
                </c:pt>
                <c:pt idx="21">
                  <c:v>0.12955</c:v>
                </c:pt>
                <c:pt idx="22">
                  <c:v>0.16366</c:v>
                </c:pt>
                <c:pt idx="23">
                  <c:v>0.20533999999999999</c:v>
                </c:pt>
                <c:pt idx="24">
                  <c:v>0.25800000000000001</c:v>
                </c:pt>
                <c:pt idx="25">
                  <c:v>0.32362000000000002</c:v>
                </c:pt>
                <c:pt idx="26">
                  <c:v>0.41021000000000002</c:v>
                </c:pt>
                <c:pt idx="27">
                  <c:v>0.51466999999999996</c:v>
                </c:pt>
                <c:pt idx="28">
                  <c:v>0.65593000000000001</c:v>
                </c:pt>
                <c:pt idx="29">
                  <c:v>0.83299000000000001</c:v>
                </c:pt>
                <c:pt idx="30">
                  <c:v>1.0522</c:v>
                </c:pt>
                <c:pt idx="31">
                  <c:v>1.3333999999999999</c:v>
                </c:pt>
                <c:pt idx="32">
                  <c:v>1.6591</c:v>
                </c:pt>
                <c:pt idx="33">
                  <c:v>2.0712999999999999</c:v>
                </c:pt>
                <c:pt idx="34">
                  <c:v>2.6166999999999998</c:v>
                </c:pt>
                <c:pt idx="35">
                  <c:v>3.258</c:v>
                </c:pt>
                <c:pt idx="36">
                  <c:v>4.0736999999999997</c:v>
                </c:pt>
                <c:pt idx="37">
                  <c:v>5.1277999999999997</c:v>
                </c:pt>
              </c:numCache>
            </c:numRef>
          </c:xVal>
          <c:yVal>
            <c:numRef>
              <c:f>'Yield, Bubble Pinch'!$L$3:$L$40</c:f>
              <c:numCache>
                <c:formatCode>General</c:formatCode>
                <c:ptCount val="38"/>
                <c:pt idx="0">
                  <c:v>210.55558129823009</c:v>
                </c:pt>
                <c:pt idx="1">
                  <c:v>210.57213846009813</c:v>
                </c:pt>
                <c:pt idx="2">
                  <c:v>210.57798599969411</c:v>
                </c:pt>
                <c:pt idx="3">
                  <c:v>210.58648494662276</c:v>
                </c:pt>
                <c:pt idx="4">
                  <c:v>210.59720612366607</c:v>
                </c:pt>
                <c:pt idx="5">
                  <c:v>210.61041982993731</c:v>
                </c:pt>
                <c:pt idx="6">
                  <c:v>210.62813577029408</c:v>
                </c:pt>
                <c:pt idx="7">
                  <c:v>210.64872183329658</c:v>
                </c:pt>
                <c:pt idx="8">
                  <c:v>210.67562794350533</c:v>
                </c:pt>
                <c:pt idx="9">
                  <c:v>210.71006941525414</c:v>
                </c:pt>
                <c:pt idx="10">
                  <c:v>210.75214116273546</c:v>
                </c:pt>
                <c:pt idx="11">
                  <c:v>210.80601528371326</c:v>
                </c:pt>
                <c:pt idx="12">
                  <c:v>210.87387893131799</c:v>
                </c:pt>
                <c:pt idx="13">
                  <c:v>210.96122062189593</c:v>
                </c:pt>
                <c:pt idx="14">
                  <c:v>211.07138298570308</c:v>
                </c:pt>
                <c:pt idx="15">
                  <c:v>211.21183535701516</c:v>
                </c:pt>
                <c:pt idx="16">
                  <c:v>211.39774337310476</c:v>
                </c:pt>
                <c:pt idx="17">
                  <c:v>211.61583968054839</c:v>
                </c:pt>
                <c:pt idx="18">
                  <c:v>211.89664125557206</c:v>
                </c:pt>
                <c:pt idx="19">
                  <c:v>212.24788566821283</c:v>
                </c:pt>
                <c:pt idx="20">
                  <c:v>212.67834216451263</c:v>
                </c:pt>
                <c:pt idx="21">
                  <c:v>213.21873405589849</c:v>
                </c:pt>
                <c:pt idx="22">
                  <c:v>213.92254342646632</c:v>
                </c:pt>
                <c:pt idx="23">
                  <c:v>214.78254854418157</c:v>
                </c:pt>
                <c:pt idx="24">
                  <c:v>215.86910971258092</c:v>
                </c:pt>
                <c:pt idx="25">
                  <c:v>217.2230813014599</c:v>
                </c:pt>
                <c:pt idx="26">
                  <c:v>219.00973780680931</c:v>
                </c:pt>
                <c:pt idx="27">
                  <c:v>221.16511531632312</c:v>
                </c:pt>
                <c:pt idx="28">
                  <c:v>224.07980636547035</c:v>
                </c:pt>
                <c:pt idx="29">
                  <c:v>227.73317743415228</c:v>
                </c:pt>
                <c:pt idx="30">
                  <c:v>232.25625137499588</c:v>
                </c:pt>
                <c:pt idx="31">
                  <c:v>238.05839722676001</c:v>
                </c:pt>
                <c:pt idx="32">
                  <c:v>244.77873472291785</c:v>
                </c:pt>
                <c:pt idx="33">
                  <c:v>253.28387170761619</c:v>
                </c:pt>
                <c:pt idx="34">
                  <c:v>264.53739356946596</c:v>
                </c:pt>
                <c:pt idx="35">
                  <c:v>277.76967000878443</c:v>
                </c:pt>
                <c:pt idx="36">
                  <c:v>294.60043235332216</c:v>
                </c:pt>
                <c:pt idx="37">
                  <c:v>316.35022588939819</c:v>
                </c:pt>
              </c:numCache>
            </c:numRef>
          </c:yVal>
          <c:smooth val="1"/>
        </c:ser>
        <c:axId val="89040000"/>
        <c:axId val="89041536"/>
      </c:scatterChart>
      <c:valAx>
        <c:axId val="89040000"/>
        <c:scaling>
          <c:logBase val="10"/>
          <c:orientation val="minMax"/>
          <c:min val="1.0000000000000221E-4"/>
        </c:scaling>
        <c:axPos val="b"/>
        <c:numFmt formatCode="0.000" sourceLinked="1"/>
        <c:tickLblPos val="nextTo"/>
        <c:crossAx val="89041536"/>
        <c:crosses val="autoZero"/>
        <c:crossBetween val="midCat"/>
      </c:valAx>
      <c:valAx>
        <c:axId val="89041536"/>
        <c:scaling>
          <c:logBase val="10"/>
          <c:orientation val="minMax"/>
        </c:scaling>
        <c:axPos val="l"/>
        <c:majorGridlines/>
        <c:numFmt formatCode="0.0000" sourceLinked="1"/>
        <c:tickLblPos val="nextTo"/>
        <c:crossAx val="89040000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1"/>
          <c:order val="0"/>
          <c:xVal>
            <c:numRef>
              <c:f>'Yield, Bubble Pinch'!$C$3:$C$40</c:f>
              <c:numCache>
                <c:formatCode>0.000</c:formatCode>
                <c:ptCount val="38"/>
                <c:pt idx="0">
                  <c:v>4.8076E-4</c:v>
                </c:pt>
                <c:pt idx="1">
                  <c:v>1.2832E-3</c:v>
                </c:pt>
                <c:pt idx="2">
                  <c:v>1.5666E-3</c:v>
                </c:pt>
                <c:pt idx="3">
                  <c:v>1.9784999999999998E-3</c:v>
                </c:pt>
                <c:pt idx="4">
                  <c:v>2.4981000000000001E-3</c:v>
                </c:pt>
                <c:pt idx="5">
                  <c:v>3.1384999999999998E-3</c:v>
                </c:pt>
                <c:pt idx="6">
                  <c:v>3.9971E-3</c:v>
                </c:pt>
                <c:pt idx="7">
                  <c:v>4.9947999999999998E-3</c:v>
                </c:pt>
                <c:pt idx="8">
                  <c:v>6.2988000000000002E-3</c:v>
                </c:pt>
                <c:pt idx="9">
                  <c:v>7.9679999999999994E-3</c:v>
                </c:pt>
                <c:pt idx="10">
                  <c:v>1.0007E-2</c:v>
                </c:pt>
                <c:pt idx="11">
                  <c:v>1.2618000000000001E-2</c:v>
                </c:pt>
                <c:pt idx="12">
                  <c:v>1.5907000000000001E-2</c:v>
                </c:pt>
                <c:pt idx="13">
                  <c:v>2.0140000000000002E-2</c:v>
                </c:pt>
                <c:pt idx="14">
                  <c:v>2.5479000000000002E-2</c:v>
                </c:pt>
                <c:pt idx="15">
                  <c:v>3.2286000000000002E-2</c:v>
                </c:pt>
                <c:pt idx="16">
                  <c:v>4.1295999999999999E-2</c:v>
                </c:pt>
                <c:pt idx="17">
                  <c:v>5.1866000000000002E-2</c:v>
                </c:pt>
                <c:pt idx="18">
                  <c:v>6.5475000000000005E-2</c:v>
                </c:pt>
                <c:pt idx="19">
                  <c:v>8.2498000000000002E-2</c:v>
                </c:pt>
                <c:pt idx="20">
                  <c:v>0.10335999999999999</c:v>
                </c:pt>
                <c:pt idx="21">
                  <c:v>0.12955</c:v>
                </c:pt>
                <c:pt idx="22">
                  <c:v>0.16366</c:v>
                </c:pt>
                <c:pt idx="23">
                  <c:v>0.20533999999999999</c:v>
                </c:pt>
                <c:pt idx="24">
                  <c:v>0.25800000000000001</c:v>
                </c:pt>
                <c:pt idx="25">
                  <c:v>0.32362000000000002</c:v>
                </c:pt>
                <c:pt idx="26">
                  <c:v>0.41021000000000002</c:v>
                </c:pt>
                <c:pt idx="27">
                  <c:v>0.51466999999999996</c:v>
                </c:pt>
                <c:pt idx="28">
                  <c:v>0.65593000000000001</c:v>
                </c:pt>
                <c:pt idx="29">
                  <c:v>0.83299000000000001</c:v>
                </c:pt>
                <c:pt idx="30">
                  <c:v>1.0522</c:v>
                </c:pt>
                <c:pt idx="31">
                  <c:v>1.3333999999999999</c:v>
                </c:pt>
                <c:pt idx="32">
                  <c:v>1.6591</c:v>
                </c:pt>
                <c:pt idx="33">
                  <c:v>2.0712999999999999</c:v>
                </c:pt>
                <c:pt idx="34">
                  <c:v>2.6166999999999998</c:v>
                </c:pt>
                <c:pt idx="35">
                  <c:v>3.258</c:v>
                </c:pt>
                <c:pt idx="36">
                  <c:v>4.0736999999999997</c:v>
                </c:pt>
                <c:pt idx="37">
                  <c:v>5.1277999999999997</c:v>
                </c:pt>
              </c:numCache>
            </c:numRef>
          </c:xVal>
          <c:yVal>
            <c:numRef>
              <c:f>'Yield, Bubble Pinch'!$D$3:$D$40</c:f>
              <c:numCache>
                <c:formatCode>0.000</c:formatCode>
                <c:ptCount val="38"/>
                <c:pt idx="0">
                  <c:v>523.70000000000005</c:v>
                </c:pt>
                <c:pt idx="1">
                  <c:v>792.6</c:v>
                </c:pt>
                <c:pt idx="2">
                  <c:v>809.5</c:v>
                </c:pt>
                <c:pt idx="3">
                  <c:v>826.2</c:v>
                </c:pt>
                <c:pt idx="4">
                  <c:v>834.8</c:v>
                </c:pt>
                <c:pt idx="5">
                  <c:v>843.3</c:v>
                </c:pt>
                <c:pt idx="6">
                  <c:v>841</c:v>
                </c:pt>
                <c:pt idx="7">
                  <c:v>844.4</c:v>
                </c:pt>
                <c:pt idx="8">
                  <c:v>846.3</c:v>
                </c:pt>
                <c:pt idx="9">
                  <c:v>843.3</c:v>
                </c:pt>
                <c:pt idx="10">
                  <c:v>843.3</c:v>
                </c:pt>
                <c:pt idx="11">
                  <c:v>837.5</c:v>
                </c:pt>
                <c:pt idx="12">
                  <c:v>829.8</c:v>
                </c:pt>
                <c:pt idx="13">
                  <c:v>810.2</c:v>
                </c:pt>
                <c:pt idx="14">
                  <c:v>778.3</c:v>
                </c:pt>
                <c:pt idx="15">
                  <c:v>728.6</c:v>
                </c:pt>
                <c:pt idx="16">
                  <c:v>661.2</c:v>
                </c:pt>
                <c:pt idx="17">
                  <c:v>593.9</c:v>
                </c:pt>
                <c:pt idx="18">
                  <c:v>527.70000000000005</c:v>
                </c:pt>
                <c:pt idx="19">
                  <c:v>468.8</c:v>
                </c:pt>
                <c:pt idx="20">
                  <c:v>419.5</c:v>
                </c:pt>
                <c:pt idx="21">
                  <c:v>377.9</c:v>
                </c:pt>
                <c:pt idx="22">
                  <c:v>341.4</c:v>
                </c:pt>
                <c:pt idx="23">
                  <c:v>311.39999999999998</c:v>
                </c:pt>
                <c:pt idx="24">
                  <c:v>284.3</c:v>
                </c:pt>
                <c:pt idx="25">
                  <c:v>259.8</c:v>
                </c:pt>
                <c:pt idx="26">
                  <c:v>235.2</c:v>
                </c:pt>
                <c:pt idx="27">
                  <c:v>210.6</c:v>
                </c:pt>
                <c:pt idx="28">
                  <c:v>182.4</c:v>
                </c:pt>
                <c:pt idx="29">
                  <c:v>149.69999999999999</c:v>
                </c:pt>
                <c:pt idx="30">
                  <c:v>115.2</c:v>
                </c:pt>
                <c:pt idx="31">
                  <c:v>83.93</c:v>
                </c:pt>
                <c:pt idx="32">
                  <c:v>61.5</c:v>
                </c:pt>
                <c:pt idx="33">
                  <c:v>44.68</c:v>
                </c:pt>
                <c:pt idx="34">
                  <c:v>31.36</c:v>
                </c:pt>
                <c:pt idx="35">
                  <c:v>22.38</c:v>
                </c:pt>
                <c:pt idx="36">
                  <c:v>15.74</c:v>
                </c:pt>
                <c:pt idx="37">
                  <c:v>10.86</c:v>
                </c:pt>
              </c:numCache>
            </c:numRef>
          </c:yVal>
          <c:smooth val="1"/>
        </c:ser>
        <c:ser>
          <c:idx val="2"/>
          <c:order val="1"/>
          <c:xVal>
            <c:numRef>
              <c:f>'Yield, Bubble Pinch'!$C$3:$C$40</c:f>
              <c:numCache>
                <c:formatCode>0.000</c:formatCode>
                <c:ptCount val="38"/>
                <c:pt idx="0">
                  <c:v>4.8076E-4</c:v>
                </c:pt>
                <c:pt idx="1">
                  <c:v>1.2832E-3</c:v>
                </c:pt>
                <c:pt idx="2">
                  <c:v>1.5666E-3</c:v>
                </c:pt>
                <c:pt idx="3">
                  <c:v>1.9784999999999998E-3</c:v>
                </c:pt>
                <c:pt idx="4">
                  <c:v>2.4981000000000001E-3</c:v>
                </c:pt>
                <c:pt idx="5">
                  <c:v>3.1384999999999998E-3</c:v>
                </c:pt>
                <c:pt idx="6">
                  <c:v>3.9971E-3</c:v>
                </c:pt>
                <c:pt idx="7">
                  <c:v>4.9947999999999998E-3</c:v>
                </c:pt>
                <c:pt idx="8">
                  <c:v>6.2988000000000002E-3</c:v>
                </c:pt>
                <c:pt idx="9">
                  <c:v>7.9679999999999994E-3</c:v>
                </c:pt>
                <c:pt idx="10">
                  <c:v>1.0007E-2</c:v>
                </c:pt>
                <c:pt idx="11">
                  <c:v>1.2618000000000001E-2</c:v>
                </c:pt>
                <c:pt idx="12">
                  <c:v>1.5907000000000001E-2</c:v>
                </c:pt>
                <c:pt idx="13">
                  <c:v>2.0140000000000002E-2</c:v>
                </c:pt>
                <c:pt idx="14">
                  <c:v>2.5479000000000002E-2</c:v>
                </c:pt>
                <c:pt idx="15">
                  <c:v>3.2286000000000002E-2</c:v>
                </c:pt>
                <c:pt idx="16">
                  <c:v>4.1295999999999999E-2</c:v>
                </c:pt>
                <c:pt idx="17">
                  <c:v>5.1866000000000002E-2</c:v>
                </c:pt>
                <c:pt idx="18">
                  <c:v>6.5475000000000005E-2</c:v>
                </c:pt>
                <c:pt idx="19">
                  <c:v>8.2498000000000002E-2</c:v>
                </c:pt>
                <c:pt idx="20">
                  <c:v>0.10335999999999999</c:v>
                </c:pt>
                <c:pt idx="21">
                  <c:v>0.12955</c:v>
                </c:pt>
                <c:pt idx="22">
                  <c:v>0.16366</c:v>
                </c:pt>
                <c:pt idx="23">
                  <c:v>0.20533999999999999</c:v>
                </c:pt>
                <c:pt idx="24">
                  <c:v>0.25800000000000001</c:v>
                </c:pt>
                <c:pt idx="25">
                  <c:v>0.32362000000000002</c:v>
                </c:pt>
                <c:pt idx="26">
                  <c:v>0.41021000000000002</c:v>
                </c:pt>
                <c:pt idx="27">
                  <c:v>0.51466999999999996</c:v>
                </c:pt>
                <c:pt idx="28">
                  <c:v>0.65593000000000001</c:v>
                </c:pt>
                <c:pt idx="29">
                  <c:v>0.83299000000000001</c:v>
                </c:pt>
                <c:pt idx="30">
                  <c:v>1.0522</c:v>
                </c:pt>
                <c:pt idx="31">
                  <c:v>1.3333999999999999</c:v>
                </c:pt>
                <c:pt idx="32">
                  <c:v>1.6591</c:v>
                </c:pt>
                <c:pt idx="33">
                  <c:v>2.0712999999999999</c:v>
                </c:pt>
                <c:pt idx="34">
                  <c:v>2.6166999999999998</c:v>
                </c:pt>
                <c:pt idx="35">
                  <c:v>3.258</c:v>
                </c:pt>
                <c:pt idx="36">
                  <c:v>4.0736999999999997</c:v>
                </c:pt>
                <c:pt idx="37">
                  <c:v>5.1277999999999997</c:v>
                </c:pt>
              </c:numCache>
            </c:numRef>
          </c:xVal>
          <c:yVal>
            <c:numRef>
              <c:f>'Yield, Bubble Pinch'!$E$3:$E$40</c:f>
              <c:numCache>
                <c:formatCode>0.000</c:formatCode>
                <c:ptCount val="38"/>
                <c:pt idx="0">
                  <c:v>-145.30000000000001</c:v>
                </c:pt>
                <c:pt idx="1">
                  <c:v>126.3</c:v>
                </c:pt>
                <c:pt idx="2">
                  <c:v>168.4</c:v>
                </c:pt>
                <c:pt idx="3">
                  <c:v>159.19999999999999</c:v>
                </c:pt>
                <c:pt idx="4">
                  <c:v>164.3</c:v>
                </c:pt>
                <c:pt idx="5">
                  <c:v>164.5</c:v>
                </c:pt>
                <c:pt idx="6">
                  <c:v>164.7</c:v>
                </c:pt>
                <c:pt idx="7">
                  <c:v>163.30000000000001</c:v>
                </c:pt>
                <c:pt idx="8">
                  <c:v>165</c:v>
                </c:pt>
                <c:pt idx="9">
                  <c:v>164.1</c:v>
                </c:pt>
                <c:pt idx="10">
                  <c:v>165.3</c:v>
                </c:pt>
                <c:pt idx="11">
                  <c:v>170.5</c:v>
                </c:pt>
                <c:pt idx="12">
                  <c:v>180.1</c:v>
                </c:pt>
                <c:pt idx="13">
                  <c:v>203.7</c:v>
                </c:pt>
                <c:pt idx="14">
                  <c:v>237</c:v>
                </c:pt>
                <c:pt idx="15">
                  <c:v>277.60000000000002</c:v>
                </c:pt>
                <c:pt idx="16">
                  <c:v>315.39999999999998</c:v>
                </c:pt>
                <c:pt idx="17">
                  <c:v>341.6</c:v>
                </c:pt>
                <c:pt idx="18">
                  <c:v>356.9</c:v>
                </c:pt>
                <c:pt idx="19">
                  <c:v>358.8</c:v>
                </c:pt>
                <c:pt idx="20">
                  <c:v>355.9</c:v>
                </c:pt>
                <c:pt idx="21">
                  <c:v>347.7</c:v>
                </c:pt>
                <c:pt idx="22">
                  <c:v>335.3</c:v>
                </c:pt>
                <c:pt idx="23">
                  <c:v>320.39999999999998</c:v>
                </c:pt>
                <c:pt idx="24">
                  <c:v>303.39999999999998</c:v>
                </c:pt>
                <c:pt idx="25">
                  <c:v>285.10000000000002</c:v>
                </c:pt>
                <c:pt idx="26">
                  <c:v>265.10000000000002</c:v>
                </c:pt>
                <c:pt idx="27">
                  <c:v>244.2</c:v>
                </c:pt>
                <c:pt idx="28">
                  <c:v>221.4</c:v>
                </c:pt>
                <c:pt idx="29">
                  <c:v>198.6</c:v>
                </c:pt>
                <c:pt idx="30">
                  <c:v>176.5</c:v>
                </c:pt>
                <c:pt idx="31">
                  <c:v>154.30000000000001</c:v>
                </c:pt>
                <c:pt idx="32">
                  <c:v>133.9</c:v>
                </c:pt>
                <c:pt idx="33">
                  <c:v>114.6</c:v>
                </c:pt>
                <c:pt idx="34">
                  <c:v>96.06</c:v>
                </c:pt>
                <c:pt idx="35">
                  <c:v>80.64</c:v>
                </c:pt>
                <c:pt idx="36">
                  <c:v>67.459999999999994</c:v>
                </c:pt>
                <c:pt idx="37">
                  <c:v>55.96</c:v>
                </c:pt>
              </c:numCache>
            </c:numRef>
          </c:yVal>
          <c:smooth val="1"/>
        </c:ser>
        <c:axId val="58854016"/>
        <c:axId val="58855808"/>
      </c:scatterChart>
      <c:valAx>
        <c:axId val="58854016"/>
        <c:scaling>
          <c:logBase val="10"/>
          <c:orientation val="minMax"/>
          <c:min val="1.0000000000000221E-4"/>
        </c:scaling>
        <c:axPos val="b"/>
        <c:numFmt formatCode="0.000" sourceLinked="1"/>
        <c:tickLblPos val="nextTo"/>
        <c:crossAx val="58855808"/>
        <c:crosses val="autoZero"/>
        <c:crossBetween val="midCat"/>
      </c:valAx>
      <c:valAx>
        <c:axId val="58855808"/>
        <c:scaling>
          <c:logBase val="10"/>
          <c:orientation val="minMax"/>
        </c:scaling>
        <c:axPos val="l"/>
        <c:majorGridlines/>
        <c:numFmt formatCode="0.000" sourceLinked="1"/>
        <c:tickLblPos val="nextTo"/>
        <c:crossAx val="58854016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lineMarker"/>
        <c:ser>
          <c:idx val="0"/>
          <c:order val="0"/>
          <c:tx>
            <c:v>Shear Stress vs. Time</c:v>
          </c:tx>
          <c:spPr>
            <a:ln w="28575">
              <a:noFill/>
            </a:ln>
          </c:spPr>
          <c:xVal>
            <c:numRef>
              <c:f>'Fract-Band'!$A$4:$A$421</c:f>
              <c:numCache>
                <c:formatCode>0.00000</c:formatCode>
                <c:ptCount val="418"/>
                <c:pt idx="0" formatCode="0.00E+00">
                  <c:v>1E-3</c:v>
                </c:pt>
                <c:pt idx="1">
                  <c:v>2E-3</c:v>
                </c:pt>
                <c:pt idx="2" formatCode="0.00E+00">
                  <c:v>3.0000000000000001E-3</c:v>
                </c:pt>
                <c:pt idx="3" formatCode="0.00E+00">
                  <c:v>4.0000000000000001E-3</c:v>
                </c:pt>
                <c:pt idx="4" formatCode="0.000">
                  <c:v>5.0000000000000001E-3</c:v>
                </c:pt>
                <c:pt idx="5" formatCode="0.000">
                  <c:v>6.0000000000000001E-3</c:v>
                </c:pt>
                <c:pt idx="6" formatCode="0.00E+00">
                  <c:v>7.0000000000000001E-3</c:v>
                </c:pt>
                <c:pt idx="7" formatCode="0.00E+00">
                  <c:v>8.0000000000000002E-3</c:v>
                </c:pt>
                <c:pt idx="8" formatCode="0.00E+00">
                  <c:v>8.9999999999999993E-3</c:v>
                </c:pt>
                <c:pt idx="9" formatCode="General">
                  <c:v>0.01</c:v>
                </c:pt>
                <c:pt idx="10" formatCode="General">
                  <c:v>1.0999999999999999E-2</c:v>
                </c:pt>
                <c:pt idx="11" formatCode="General">
                  <c:v>1.2E-2</c:v>
                </c:pt>
                <c:pt idx="12" formatCode="General">
                  <c:v>1.2999999999999999E-2</c:v>
                </c:pt>
                <c:pt idx="13" formatCode="General">
                  <c:v>1.4E-2</c:v>
                </c:pt>
                <c:pt idx="14" formatCode="General">
                  <c:v>1.4999999999999999E-2</c:v>
                </c:pt>
                <c:pt idx="15" formatCode="General">
                  <c:v>1.6E-2</c:v>
                </c:pt>
                <c:pt idx="16" formatCode="General">
                  <c:v>1.7000000000000001E-2</c:v>
                </c:pt>
                <c:pt idx="17" formatCode="General">
                  <c:v>1.7999999999999999E-2</c:v>
                </c:pt>
                <c:pt idx="18" formatCode="General">
                  <c:v>1.9E-2</c:v>
                </c:pt>
                <c:pt idx="19" formatCode="General">
                  <c:v>0.02</c:v>
                </c:pt>
                <c:pt idx="20" formatCode="General">
                  <c:v>2.1000000000000001E-2</c:v>
                </c:pt>
                <c:pt idx="21" formatCode="General">
                  <c:v>2.1999999999999999E-2</c:v>
                </c:pt>
                <c:pt idx="22" formatCode="General">
                  <c:v>2.3E-2</c:v>
                </c:pt>
                <c:pt idx="23" formatCode="General">
                  <c:v>2.4E-2</c:v>
                </c:pt>
                <c:pt idx="24" formatCode="General">
                  <c:v>2.5000000000000001E-2</c:v>
                </c:pt>
                <c:pt idx="25" formatCode="General">
                  <c:v>2.5999999999999999E-2</c:v>
                </c:pt>
                <c:pt idx="26" formatCode="General">
                  <c:v>2.7E-2</c:v>
                </c:pt>
                <c:pt idx="27" formatCode="General">
                  <c:v>2.8000000000000001E-2</c:v>
                </c:pt>
                <c:pt idx="28" formatCode="General">
                  <c:v>2.9000000000000001E-2</c:v>
                </c:pt>
                <c:pt idx="29" formatCode="General">
                  <c:v>0.03</c:v>
                </c:pt>
                <c:pt idx="30" formatCode="General">
                  <c:v>3.1E-2</c:v>
                </c:pt>
                <c:pt idx="31" formatCode="General">
                  <c:v>3.2000000000000001E-2</c:v>
                </c:pt>
                <c:pt idx="32" formatCode="General">
                  <c:v>3.3000000000000002E-2</c:v>
                </c:pt>
                <c:pt idx="33" formatCode="General">
                  <c:v>3.4000000000000002E-2</c:v>
                </c:pt>
                <c:pt idx="34" formatCode="General">
                  <c:v>3.5000000000000003E-2</c:v>
                </c:pt>
                <c:pt idx="35" formatCode="General">
                  <c:v>3.5999999999999997E-2</c:v>
                </c:pt>
                <c:pt idx="36" formatCode="General">
                  <c:v>3.6999999999999998E-2</c:v>
                </c:pt>
                <c:pt idx="37" formatCode="General">
                  <c:v>3.7999999999999999E-2</c:v>
                </c:pt>
                <c:pt idx="38" formatCode="General">
                  <c:v>3.9E-2</c:v>
                </c:pt>
                <c:pt idx="39" formatCode="General">
                  <c:v>0.04</c:v>
                </c:pt>
                <c:pt idx="40" formatCode="General">
                  <c:v>4.1500000000000002E-2</c:v>
                </c:pt>
                <c:pt idx="41" formatCode="General">
                  <c:v>4.3499999999999997E-2</c:v>
                </c:pt>
                <c:pt idx="42" formatCode="General">
                  <c:v>4.5499999999999999E-2</c:v>
                </c:pt>
                <c:pt idx="43" formatCode="General">
                  <c:v>4.7500000000000001E-2</c:v>
                </c:pt>
                <c:pt idx="44" formatCode="General">
                  <c:v>4.9500000000000002E-2</c:v>
                </c:pt>
                <c:pt idx="45" formatCode="General">
                  <c:v>5.1499999999999997E-2</c:v>
                </c:pt>
                <c:pt idx="46" formatCode="General">
                  <c:v>5.3499999999999999E-2</c:v>
                </c:pt>
                <c:pt idx="47" formatCode="General">
                  <c:v>5.5500000000000001E-2</c:v>
                </c:pt>
                <c:pt idx="48" formatCode="General">
                  <c:v>5.7500000000000002E-2</c:v>
                </c:pt>
                <c:pt idx="49" formatCode="General">
                  <c:v>5.9499999999999997E-2</c:v>
                </c:pt>
                <c:pt idx="50" formatCode="General">
                  <c:v>6.1499999999999999E-2</c:v>
                </c:pt>
                <c:pt idx="51" formatCode="General">
                  <c:v>6.3500000000000001E-2</c:v>
                </c:pt>
                <c:pt idx="52" formatCode="General">
                  <c:v>6.5500000000000003E-2</c:v>
                </c:pt>
                <c:pt idx="53" formatCode="General">
                  <c:v>6.7500000000000004E-2</c:v>
                </c:pt>
                <c:pt idx="54" formatCode="General">
                  <c:v>6.9500000000000006E-2</c:v>
                </c:pt>
                <c:pt idx="55" formatCode="General">
                  <c:v>7.1499999999999994E-2</c:v>
                </c:pt>
                <c:pt idx="56" formatCode="General">
                  <c:v>7.3499999999999996E-2</c:v>
                </c:pt>
                <c:pt idx="57" formatCode="General">
                  <c:v>7.5499999999999998E-2</c:v>
                </c:pt>
                <c:pt idx="58" formatCode="General">
                  <c:v>7.7499999999999999E-2</c:v>
                </c:pt>
                <c:pt idx="59" formatCode="General">
                  <c:v>7.9500000000000001E-2</c:v>
                </c:pt>
                <c:pt idx="60" formatCode="General">
                  <c:v>8.1500000000000003E-2</c:v>
                </c:pt>
                <c:pt idx="61" formatCode="General">
                  <c:v>8.3500000000000005E-2</c:v>
                </c:pt>
                <c:pt idx="62" formatCode="General">
                  <c:v>8.5500000000000007E-2</c:v>
                </c:pt>
                <c:pt idx="63" formatCode="General">
                  <c:v>8.7499999999999994E-2</c:v>
                </c:pt>
                <c:pt idx="64" formatCode="General">
                  <c:v>8.9499999999999996E-2</c:v>
                </c:pt>
                <c:pt idx="65" formatCode="General">
                  <c:v>9.1499999999999998E-2</c:v>
                </c:pt>
                <c:pt idx="66" formatCode="General">
                  <c:v>9.35E-2</c:v>
                </c:pt>
                <c:pt idx="67" formatCode="General">
                  <c:v>9.5500000000000002E-2</c:v>
                </c:pt>
                <c:pt idx="68" formatCode="General">
                  <c:v>9.7500000000000003E-2</c:v>
                </c:pt>
                <c:pt idx="69" formatCode="General">
                  <c:v>9.9500000000000005E-2</c:v>
                </c:pt>
                <c:pt idx="70" formatCode="General">
                  <c:v>0.10150000000000001</c:v>
                </c:pt>
                <c:pt idx="71" formatCode="General">
                  <c:v>0.10349999999999999</c:v>
                </c:pt>
                <c:pt idx="72" formatCode="General">
                  <c:v>0.1055</c:v>
                </c:pt>
                <c:pt idx="73" formatCode="General">
                  <c:v>0.1075</c:v>
                </c:pt>
                <c:pt idx="74" formatCode="General">
                  <c:v>0.1095</c:v>
                </c:pt>
                <c:pt idx="75" formatCode="General">
                  <c:v>0.1115</c:v>
                </c:pt>
                <c:pt idx="76" formatCode="General">
                  <c:v>0.1135</c:v>
                </c:pt>
                <c:pt idx="77" formatCode="General">
                  <c:v>0.11550000000000001</c:v>
                </c:pt>
                <c:pt idx="78" formatCode="General">
                  <c:v>0.11749999999999999</c:v>
                </c:pt>
                <c:pt idx="79" formatCode="General">
                  <c:v>0.1195</c:v>
                </c:pt>
                <c:pt idx="80" formatCode="General">
                  <c:v>0.1225</c:v>
                </c:pt>
                <c:pt idx="81" formatCode="General">
                  <c:v>0.1265</c:v>
                </c:pt>
                <c:pt idx="82" formatCode="General">
                  <c:v>0.1305</c:v>
                </c:pt>
                <c:pt idx="83" formatCode="General">
                  <c:v>0.13450000000000001</c:v>
                </c:pt>
                <c:pt idx="84" formatCode="General">
                  <c:v>0.13850000000000001</c:v>
                </c:pt>
                <c:pt idx="85" formatCode="General">
                  <c:v>0.14249999999999999</c:v>
                </c:pt>
                <c:pt idx="86" formatCode="General">
                  <c:v>0.14649999999999999</c:v>
                </c:pt>
                <c:pt idx="87" formatCode="General">
                  <c:v>0.15049999999999999</c:v>
                </c:pt>
                <c:pt idx="88" formatCode="General">
                  <c:v>0.1545</c:v>
                </c:pt>
                <c:pt idx="89" formatCode="General">
                  <c:v>0.1585</c:v>
                </c:pt>
                <c:pt idx="90" formatCode="General">
                  <c:v>0.16250000000000001</c:v>
                </c:pt>
                <c:pt idx="91" formatCode="General">
                  <c:v>0.16650000000000001</c:v>
                </c:pt>
                <c:pt idx="92" formatCode="General">
                  <c:v>0.17050000000000001</c:v>
                </c:pt>
                <c:pt idx="93" formatCode="General">
                  <c:v>0.17449999999999999</c:v>
                </c:pt>
                <c:pt idx="94" formatCode="General">
                  <c:v>0.17849999999999999</c:v>
                </c:pt>
                <c:pt idx="95" formatCode="General">
                  <c:v>0.1825</c:v>
                </c:pt>
                <c:pt idx="96" formatCode="General">
                  <c:v>0.1865</c:v>
                </c:pt>
                <c:pt idx="97" formatCode="General">
                  <c:v>0.1905</c:v>
                </c:pt>
                <c:pt idx="98" formatCode="General">
                  <c:v>0.19450000000000001</c:v>
                </c:pt>
                <c:pt idx="99" formatCode="General">
                  <c:v>0.19850000000000001</c:v>
                </c:pt>
                <c:pt idx="100" formatCode="General">
                  <c:v>0.20250000000000001</c:v>
                </c:pt>
                <c:pt idx="101" formatCode="General">
                  <c:v>0.20649999999999999</c:v>
                </c:pt>
                <c:pt idx="102" formatCode="General">
                  <c:v>0.21049999999999999</c:v>
                </c:pt>
                <c:pt idx="103" formatCode="General">
                  <c:v>0.2145</c:v>
                </c:pt>
                <c:pt idx="104" formatCode="General">
                  <c:v>0.2185</c:v>
                </c:pt>
                <c:pt idx="105" formatCode="General">
                  <c:v>0.2225</c:v>
                </c:pt>
                <c:pt idx="106" formatCode="General">
                  <c:v>0.22650000000000001</c:v>
                </c:pt>
                <c:pt idx="107" formatCode="General">
                  <c:v>0.23050000000000001</c:v>
                </c:pt>
                <c:pt idx="108" formatCode="General">
                  <c:v>0.23449999999999999</c:v>
                </c:pt>
                <c:pt idx="109" formatCode="General">
                  <c:v>0.23849999999999999</c:v>
                </c:pt>
                <c:pt idx="110" formatCode="General">
                  <c:v>0.24249999999999999</c:v>
                </c:pt>
                <c:pt idx="111" formatCode="General">
                  <c:v>0.2465</c:v>
                </c:pt>
                <c:pt idx="112" formatCode="General">
                  <c:v>0.2505</c:v>
                </c:pt>
                <c:pt idx="113" formatCode="General">
                  <c:v>0.2545</c:v>
                </c:pt>
                <c:pt idx="114" formatCode="General">
                  <c:v>0.25850000000000001</c:v>
                </c:pt>
                <c:pt idx="115" formatCode="General">
                  <c:v>0.26250000000000001</c:v>
                </c:pt>
                <c:pt idx="116" formatCode="General">
                  <c:v>0.26650000000000001</c:v>
                </c:pt>
                <c:pt idx="117" formatCode="General">
                  <c:v>0.27050000000000002</c:v>
                </c:pt>
                <c:pt idx="118" formatCode="General">
                  <c:v>0.27450000000000002</c:v>
                </c:pt>
                <c:pt idx="119" formatCode="General">
                  <c:v>0.27850000000000003</c:v>
                </c:pt>
                <c:pt idx="120" formatCode="General">
                  <c:v>0.28449999999999998</c:v>
                </c:pt>
                <c:pt idx="121" formatCode="General">
                  <c:v>0.29249999999999998</c:v>
                </c:pt>
                <c:pt idx="122" formatCode="General">
                  <c:v>0.30049999999999999</c:v>
                </c:pt>
                <c:pt idx="123" formatCode="General">
                  <c:v>0.3085</c:v>
                </c:pt>
                <c:pt idx="124" formatCode="General">
                  <c:v>0.3165</c:v>
                </c:pt>
                <c:pt idx="125" formatCode="General">
                  <c:v>0.32450000000000001</c:v>
                </c:pt>
                <c:pt idx="126" formatCode="General">
                  <c:v>0.33250000000000002</c:v>
                </c:pt>
                <c:pt idx="127" formatCode="General">
                  <c:v>0.34050000000000002</c:v>
                </c:pt>
                <c:pt idx="128" formatCode="General">
                  <c:v>0.34849999999999998</c:v>
                </c:pt>
                <c:pt idx="129" formatCode="General">
                  <c:v>0.35649999999999998</c:v>
                </c:pt>
                <c:pt idx="130" formatCode="General">
                  <c:v>0.36449999999999999</c:v>
                </c:pt>
                <c:pt idx="131" formatCode="General">
                  <c:v>0.3725</c:v>
                </c:pt>
                <c:pt idx="132" formatCode="General">
                  <c:v>0.3805</c:v>
                </c:pt>
                <c:pt idx="133" formatCode="General">
                  <c:v>0.38850000000000001</c:v>
                </c:pt>
                <c:pt idx="134" formatCode="General">
                  <c:v>0.39650000000000002</c:v>
                </c:pt>
                <c:pt idx="135" formatCode="General">
                  <c:v>0.40450000000000003</c:v>
                </c:pt>
                <c:pt idx="136" formatCode="General">
                  <c:v>0.41249999999999998</c:v>
                </c:pt>
                <c:pt idx="137" formatCode="General">
                  <c:v>0.42049999999999998</c:v>
                </c:pt>
                <c:pt idx="138" formatCode="General">
                  <c:v>0.42849999999999999</c:v>
                </c:pt>
                <c:pt idx="139" formatCode="General">
                  <c:v>0.4365</c:v>
                </c:pt>
                <c:pt idx="140" formatCode="General">
                  <c:v>0.44450000000000001</c:v>
                </c:pt>
                <c:pt idx="141" formatCode="General">
                  <c:v>0.45250000000000001</c:v>
                </c:pt>
                <c:pt idx="142" formatCode="General">
                  <c:v>0.46050000000000002</c:v>
                </c:pt>
                <c:pt idx="143" formatCode="General">
                  <c:v>0.46850000000000003</c:v>
                </c:pt>
                <c:pt idx="144" formatCode="General">
                  <c:v>0.47649999999999998</c:v>
                </c:pt>
                <c:pt idx="145" formatCode="General">
                  <c:v>0.48449999999999999</c:v>
                </c:pt>
                <c:pt idx="146" formatCode="General">
                  <c:v>0.49249999999999999</c:v>
                </c:pt>
                <c:pt idx="147" formatCode="General">
                  <c:v>0.50049999999999994</c:v>
                </c:pt>
                <c:pt idx="148" formatCode="General">
                  <c:v>0.50849999999999995</c:v>
                </c:pt>
                <c:pt idx="149" formatCode="General">
                  <c:v>0.51649999999999996</c:v>
                </c:pt>
                <c:pt idx="150" formatCode="General">
                  <c:v>0.52449999999999997</c:v>
                </c:pt>
                <c:pt idx="151" formatCode="General">
                  <c:v>0.53249999999999997</c:v>
                </c:pt>
                <c:pt idx="152" formatCode="General">
                  <c:v>0.54049999999999998</c:v>
                </c:pt>
                <c:pt idx="153" formatCode="General">
                  <c:v>0.54849999999999999</c:v>
                </c:pt>
                <c:pt idx="154" formatCode="General">
                  <c:v>0.55649999999999999</c:v>
                </c:pt>
                <c:pt idx="155" formatCode="General">
                  <c:v>0.5645</c:v>
                </c:pt>
                <c:pt idx="156" formatCode="General">
                  <c:v>0.57250000000000001</c:v>
                </c:pt>
                <c:pt idx="157" formatCode="General">
                  <c:v>0.58050000000000002</c:v>
                </c:pt>
                <c:pt idx="158" formatCode="General">
                  <c:v>0.58850000000000002</c:v>
                </c:pt>
                <c:pt idx="159" formatCode="General">
                  <c:v>0.59650000000000003</c:v>
                </c:pt>
                <c:pt idx="160" formatCode="General">
                  <c:v>0.60850000000000004</c:v>
                </c:pt>
                <c:pt idx="161" formatCode="General">
                  <c:v>0.62450000000000006</c:v>
                </c:pt>
                <c:pt idx="162" formatCode="General">
                  <c:v>0.64049999999999996</c:v>
                </c:pt>
                <c:pt idx="163" formatCode="General">
                  <c:v>0.65649999999999997</c:v>
                </c:pt>
                <c:pt idx="164" formatCode="General">
                  <c:v>0.67249999999999999</c:v>
                </c:pt>
                <c:pt idx="165" formatCode="General">
                  <c:v>0.6885</c:v>
                </c:pt>
                <c:pt idx="166" formatCode="General">
                  <c:v>0.70450000000000002</c:v>
                </c:pt>
                <c:pt idx="167" formatCode="General">
                  <c:v>0.72050000000000003</c:v>
                </c:pt>
                <c:pt idx="168" formatCode="General">
                  <c:v>0.73650000000000004</c:v>
                </c:pt>
                <c:pt idx="169" formatCode="General">
                  <c:v>0.75249999999999995</c:v>
                </c:pt>
                <c:pt idx="170" formatCode="General">
                  <c:v>0.76849999999999996</c:v>
                </c:pt>
                <c:pt idx="171" formatCode="General">
                  <c:v>0.78449999999999998</c:v>
                </c:pt>
                <c:pt idx="172" formatCode="General">
                  <c:v>0.80049999999999999</c:v>
                </c:pt>
                <c:pt idx="173" formatCode="General">
                  <c:v>0.8165</c:v>
                </c:pt>
                <c:pt idx="174" formatCode="General">
                  <c:v>0.83250000000000002</c:v>
                </c:pt>
                <c:pt idx="175" formatCode="General">
                  <c:v>0.84850000000000003</c:v>
                </c:pt>
                <c:pt idx="176" formatCode="General">
                  <c:v>0.86450000000000005</c:v>
                </c:pt>
                <c:pt idx="177" formatCode="General">
                  <c:v>0.88049999999999995</c:v>
                </c:pt>
                <c:pt idx="178" formatCode="General">
                  <c:v>0.89649999999999996</c:v>
                </c:pt>
                <c:pt idx="179" formatCode="General">
                  <c:v>0.91249999999999998</c:v>
                </c:pt>
                <c:pt idx="180" formatCode="General">
                  <c:v>0.92849999999999999</c:v>
                </c:pt>
                <c:pt idx="181" formatCode="General">
                  <c:v>0.94450000000000001</c:v>
                </c:pt>
                <c:pt idx="182" formatCode="General">
                  <c:v>0.96050000000000002</c:v>
                </c:pt>
                <c:pt idx="183" formatCode="General">
                  <c:v>0.97650000000000003</c:v>
                </c:pt>
                <c:pt idx="184" formatCode="General">
                  <c:v>0.99250000000000005</c:v>
                </c:pt>
                <c:pt idx="185" formatCode="General">
                  <c:v>1.0085</c:v>
                </c:pt>
                <c:pt idx="186" formatCode="General">
                  <c:v>1.0245</c:v>
                </c:pt>
                <c:pt idx="187" formatCode="General">
                  <c:v>1.0405</c:v>
                </c:pt>
                <c:pt idx="188" formatCode="General">
                  <c:v>1.0565</c:v>
                </c:pt>
                <c:pt idx="189" formatCode="General">
                  <c:v>1.0725</c:v>
                </c:pt>
                <c:pt idx="190" formatCode="General">
                  <c:v>1.0885</c:v>
                </c:pt>
                <c:pt idx="191" formatCode="General">
                  <c:v>1.1045</c:v>
                </c:pt>
                <c:pt idx="192" formatCode="General">
                  <c:v>1.1205000000000001</c:v>
                </c:pt>
                <c:pt idx="193" formatCode="General">
                  <c:v>1.1365000000000001</c:v>
                </c:pt>
                <c:pt idx="194" formatCode="General">
                  <c:v>1.1525000000000001</c:v>
                </c:pt>
                <c:pt idx="195" formatCode="General">
                  <c:v>1.1685000000000001</c:v>
                </c:pt>
                <c:pt idx="196" formatCode="General">
                  <c:v>1.1845000000000001</c:v>
                </c:pt>
                <c:pt idx="197" formatCode="General">
                  <c:v>1.2004999999999999</c:v>
                </c:pt>
                <c:pt idx="198" formatCode="General">
                  <c:v>1.2164999999999999</c:v>
                </c:pt>
                <c:pt idx="199" formatCode="General">
                  <c:v>1.2324999999999999</c:v>
                </c:pt>
                <c:pt idx="200" formatCode="General">
                  <c:v>1.2565</c:v>
                </c:pt>
                <c:pt idx="201" formatCode="General">
                  <c:v>1.2885</c:v>
                </c:pt>
                <c:pt idx="202" formatCode="General">
                  <c:v>1.3205</c:v>
                </c:pt>
                <c:pt idx="203" formatCode="General">
                  <c:v>1.3525</c:v>
                </c:pt>
                <c:pt idx="204" formatCode="General">
                  <c:v>1.3845000000000001</c:v>
                </c:pt>
                <c:pt idx="205" formatCode="General">
                  <c:v>1.4165000000000001</c:v>
                </c:pt>
                <c:pt idx="206" formatCode="General">
                  <c:v>1.4484999999999999</c:v>
                </c:pt>
                <c:pt idx="207" formatCode="General">
                  <c:v>1.4804999999999999</c:v>
                </c:pt>
                <c:pt idx="208" formatCode="General">
                  <c:v>1.5125</c:v>
                </c:pt>
                <c:pt idx="209" formatCode="General">
                  <c:v>1.5445</c:v>
                </c:pt>
                <c:pt idx="210" formatCode="General">
                  <c:v>1.5765</c:v>
                </c:pt>
                <c:pt idx="211" formatCode="General">
                  <c:v>1.6085</c:v>
                </c:pt>
                <c:pt idx="212" formatCode="General">
                  <c:v>1.6405000000000001</c:v>
                </c:pt>
                <c:pt idx="213" formatCode="General">
                  <c:v>1.6725000000000001</c:v>
                </c:pt>
                <c:pt idx="214" formatCode="General">
                  <c:v>1.7044999999999999</c:v>
                </c:pt>
                <c:pt idx="215" formatCode="General">
                  <c:v>1.7364999999999999</c:v>
                </c:pt>
                <c:pt idx="216" formatCode="General">
                  <c:v>1.7685</c:v>
                </c:pt>
                <c:pt idx="217" formatCode="General">
                  <c:v>1.8005</c:v>
                </c:pt>
                <c:pt idx="218" formatCode="General">
                  <c:v>1.8325</c:v>
                </c:pt>
                <c:pt idx="219" formatCode="General">
                  <c:v>1.8645</c:v>
                </c:pt>
                <c:pt idx="220" formatCode="General">
                  <c:v>1.8965000000000001</c:v>
                </c:pt>
                <c:pt idx="221" formatCode="General">
                  <c:v>1.9285000000000001</c:v>
                </c:pt>
                <c:pt idx="222" formatCode="General">
                  <c:v>1.9604999999999999</c:v>
                </c:pt>
                <c:pt idx="223" formatCode="General">
                  <c:v>1.9924999999999999</c:v>
                </c:pt>
                <c:pt idx="224" formatCode="General">
                  <c:v>2.0245000000000002</c:v>
                </c:pt>
                <c:pt idx="225" formatCode="General">
                  <c:v>2.0565000000000002</c:v>
                </c:pt>
                <c:pt idx="226" formatCode="General">
                  <c:v>2.0884999999999998</c:v>
                </c:pt>
                <c:pt idx="227" formatCode="General">
                  <c:v>2.1204999999999998</c:v>
                </c:pt>
                <c:pt idx="228" formatCode="General">
                  <c:v>2.1524999999999999</c:v>
                </c:pt>
                <c:pt idx="229" formatCode="General">
                  <c:v>2.1844999999999999</c:v>
                </c:pt>
                <c:pt idx="230" formatCode="General">
                  <c:v>2.2164999999999999</c:v>
                </c:pt>
                <c:pt idx="231" formatCode="General">
                  <c:v>2.2484999999999999</c:v>
                </c:pt>
                <c:pt idx="232" formatCode="General">
                  <c:v>2.2805</c:v>
                </c:pt>
                <c:pt idx="233" formatCode="General">
                  <c:v>2.3125</c:v>
                </c:pt>
                <c:pt idx="234" formatCode="General">
                  <c:v>2.3445</c:v>
                </c:pt>
                <c:pt idx="235" formatCode="General">
                  <c:v>2.3765000000000001</c:v>
                </c:pt>
                <c:pt idx="236" formatCode="General">
                  <c:v>2.4085000000000001</c:v>
                </c:pt>
                <c:pt idx="237" formatCode="General">
                  <c:v>2.4405000000000001</c:v>
                </c:pt>
                <c:pt idx="238" formatCode="General">
                  <c:v>2.4725000000000001</c:v>
                </c:pt>
                <c:pt idx="239" formatCode="General">
                  <c:v>2.5045000000000002</c:v>
                </c:pt>
                <c:pt idx="240" formatCode="General">
                  <c:v>2.5525000000000002</c:v>
                </c:pt>
                <c:pt idx="241" formatCode="General">
                  <c:v>2.6164999999999998</c:v>
                </c:pt>
                <c:pt idx="242" formatCode="General">
                  <c:v>2.6804999999999999</c:v>
                </c:pt>
                <c:pt idx="243" formatCode="General">
                  <c:v>2.7444999999999999</c:v>
                </c:pt>
                <c:pt idx="244" formatCode="General">
                  <c:v>2.8085</c:v>
                </c:pt>
                <c:pt idx="245" formatCode="General">
                  <c:v>2.8725000000000001</c:v>
                </c:pt>
                <c:pt idx="246" formatCode="General">
                  <c:v>2.9365000000000001</c:v>
                </c:pt>
                <c:pt idx="247" formatCode="General">
                  <c:v>3.0005000000000002</c:v>
                </c:pt>
                <c:pt idx="248" formatCode="General">
                  <c:v>3.0644999999999998</c:v>
                </c:pt>
                <c:pt idx="249" formatCode="General">
                  <c:v>3.1284999999999998</c:v>
                </c:pt>
                <c:pt idx="250" formatCode="General">
                  <c:v>3.1924999999999999</c:v>
                </c:pt>
                <c:pt idx="251" formatCode="General">
                  <c:v>3.2565</c:v>
                </c:pt>
                <c:pt idx="252" formatCode="General">
                  <c:v>3.3205</c:v>
                </c:pt>
                <c:pt idx="253" formatCode="General">
                  <c:v>3.3845000000000001</c:v>
                </c:pt>
                <c:pt idx="254" formatCode="General">
                  <c:v>3.4485000000000001</c:v>
                </c:pt>
                <c:pt idx="255" formatCode="General">
                  <c:v>3.5125000000000002</c:v>
                </c:pt>
                <c:pt idx="256" formatCode="General">
                  <c:v>3.5764999999999998</c:v>
                </c:pt>
                <c:pt idx="257" formatCode="General">
                  <c:v>3.6404999999999998</c:v>
                </c:pt>
                <c:pt idx="258" formatCode="General">
                  <c:v>3.7044999999999999</c:v>
                </c:pt>
                <c:pt idx="259" formatCode="General">
                  <c:v>3.7685</c:v>
                </c:pt>
                <c:pt idx="260" formatCode="General">
                  <c:v>3.8325</c:v>
                </c:pt>
                <c:pt idx="261" formatCode="General">
                  <c:v>3.8965000000000001</c:v>
                </c:pt>
                <c:pt idx="262" formatCode="General">
                  <c:v>3.9605000000000001</c:v>
                </c:pt>
                <c:pt idx="263" formatCode="General">
                  <c:v>4.0244999999999997</c:v>
                </c:pt>
                <c:pt idx="264" formatCode="General">
                  <c:v>4.0884999999999998</c:v>
                </c:pt>
                <c:pt idx="265" formatCode="General">
                  <c:v>4.1524999999999999</c:v>
                </c:pt>
                <c:pt idx="266" formatCode="General">
                  <c:v>4.2164999999999999</c:v>
                </c:pt>
                <c:pt idx="267" formatCode="General">
                  <c:v>4.2805</c:v>
                </c:pt>
                <c:pt idx="268" formatCode="General">
                  <c:v>4.3445</c:v>
                </c:pt>
                <c:pt idx="269" formatCode="General">
                  <c:v>4.4085000000000001</c:v>
                </c:pt>
                <c:pt idx="270" formatCode="General">
                  <c:v>4.4725000000000001</c:v>
                </c:pt>
                <c:pt idx="271" formatCode="General">
                  <c:v>4.5365000000000002</c:v>
                </c:pt>
                <c:pt idx="272" formatCode="General">
                  <c:v>4.6005000000000003</c:v>
                </c:pt>
                <c:pt idx="273" formatCode="General">
                  <c:v>4.6645000000000003</c:v>
                </c:pt>
                <c:pt idx="274" formatCode="General">
                  <c:v>4.7285000000000004</c:v>
                </c:pt>
                <c:pt idx="275" formatCode="General">
                  <c:v>4.7925000000000004</c:v>
                </c:pt>
                <c:pt idx="276" formatCode="General">
                  <c:v>4.8564999999999996</c:v>
                </c:pt>
                <c:pt idx="277" formatCode="General">
                  <c:v>4.9204999999999997</c:v>
                </c:pt>
                <c:pt idx="278" formatCode="General">
                  <c:v>4.9844999999999997</c:v>
                </c:pt>
                <c:pt idx="279" formatCode="General">
                  <c:v>5.0484999999999998</c:v>
                </c:pt>
                <c:pt idx="280" formatCode="General">
                  <c:v>5.1444999999999999</c:v>
                </c:pt>
                <c:pt idx="281" formatCode="General">
                  <c:v>5.2725</c:v>
                </c:pt>
                <c:pt idx="282" formatCode="General">
                  <c:v>5.4005000000000001</c:v>
                </c:pt>
                <c:pt idx="283" formatCode="General">
                  <c:v>5.5285000000000002</c:v>
                </c:pt>
                <c:pt idx="284" formatCode="General">
                  <c:v>5.6565000000000003</c:v>
                </c:pt>
                <c:pt idx="285" formatCode="General">
                  <c:v>5.7845000000000004</c:v>
                </c:pt>
                <c:pt idx="286" formatCode="General">
                  <c:v>5.9124999999999996</c:v>
                </c:pt>
                <c:pt idx="287" formatCode="General">
                  <c:v>6.0404999999999998</c:v>
                </c:pt>
                <c:pt idx="288" formatCode="General">
                  <c:v>6.1684999999999999</c:v>
                </c:pt>
                <c:pt idx="289" formatCode="General">
                  <c:v>6.2965</c:v>
                </c:pt>
                <c:pt idx="290" formatCode="General">
                  <c:v>6.4245000000000001</c:v>
                </c:pt>
                <c:pt idx="291" formatCode="General">
                  <c:v>6.5525000000000002</c:v>
                </c:pt>
                <c:pt idx="292" formatCode="General">
                  <c:v>6.6805000000000003</c:v>
                </c:pt>
                <c:pt idx="293" formatCode="General">
                  <c:v>6.8085000000000004</c:v>
                </c:pt>
                <c:pt idx="294" formatCode="General">
                  <c:v>6.9364999999999997</c:v>
                </c:pt>
                <c:pt idx="295" formatCode="General">
                  <c:v>7.0644999999999998</c:v>
                </c:pt>
                <c:pt idx="296" formatCode="General">
                  <c:v>7.1924999999999999</c:v>
                </c:pt>
                <c:pt idx="297" formatCode="General">
                  <c:v>7.3205</c:v>
                </c:pt>
                <c:pt idx="298" formatCode="General">
                  <c:v>7.4485000000000001</c:v>
                </c:pt>
                <c:pt idx="299" formatCode="General">
                  <c:v>7.5765000000000002</c:v>
                </c:pt>
                <c:pt idx="300" formatCode="General">
                  <c:v>7.7045000000000003</c:v>
                </c:pt>
                <c:pt idx="301" formatCode="General">
                  <c:v>7.8324999999999996</c:v>
                </c:pt>
                <c:pt idx="302" formatCode="General">
                  <c:v>7.9604999999999997</c:v>
                </c:pt>
                <c:pt idx="303" formatCode="General">
                  <c:v>8.0884999999999998</c:v>
                </c:pt>
                <c:pt idx="304" formatCode="General">
                  <c:v>8.2164999999999999</c:v>
                </c:pt>
                <c:pt idx="305" formatCode="General">
                  <c:v>8.3445</c:v>
                </c:pt>
                <c:pt idx="306" formatCode="General">
                  <c:v>8.4725000000000001</c:v>
                </c:pt>
                <c:pt idx="307" formatCode="General">
                  <c:v>8.6005000000000003</c:v>
                </c:pt>
                <c:pt idx="308" formatCode="General">
                  <c:v>8.7285000000000004</c:v>
                </c:pt>
                <c:pt idx="309" formatCode="General">
                  <c:v>8.8565000000000005</c:v>
                </c:pt>
                <c:pt idx="310" formatCode="General">
                  <c:v>8.9845000000000006</c:v>
                </c:pt>
                <c:pt idx="311" formatCode="General">
                  <c:v>9.1125000000000007</c:v>
                </c:pt>
                <c:pt idx="312" formatCode="General">
                  <c:v>9.2405000000000008</c:v>
                </c:pt>
                <c:pt idx="313" formatCode="General">
                  <c:v>9.3684999999999992</c:v>
                </c:pt>
                <c:pt idx="314" formatCode="General">
                  <c:v>9.4964999999999993</c:v>
                </c:pt>
                <c:pt idx="315" formatCode="General">
                  <c:v>9.6244999999999994</c:v>
                </c:pt>
                <c:pt idx="316" formatCode="General">
                  <c:v>9.7524999999999995</c:v>
                </c:pt>
                <c:pt idx="317" formatCode="General">
                  <c:v>9.8804999999999996</c:v>
                </c:pt>
                <c:pt idx="318" formatCode="General">
                  <c:v>10.009</c:v>
                </c:pt>
                <c:pt idx="319" formatCode="General">
                  <c:v>10.137</c:v>
                </c:pt>
                <c:pt idx="320" formatCode="General">
                  <c:v>10.327999999999999</c:v>
                </c:pt>
                <c:pt idx="321" formatCode="General">
                  <c:v>10.585000000000001</c:v>
                </c:pt>
                <c:pt idx="322" formatCode="General">
                  <c:v>10.84</c:v>
                </c:pt>
                <c:pt idx="323" formatCode="General">
                  <c:v>11.097</c:v>
                </c:pt>
                <c:pt idx="324" formatCode="General">
                  <c:v>11.352</c:v>
                </c:pt>
                <c:pt idx="325" formatCode="General">
                  <c:v>11.608000000000001</c:v>
                </c:pt>
                <c:pt idx="326" formatCode="General">
                  <c:v>11.865</c:v>
                </c:pt>
                <c:pt idx="327" formatCode="General">
                  <c:v>12.12</c:v>
                </c:pt>
                <c:pt idx="328" formatCode="General">
                  <c:v>12.377000000000001</c:v>
                </c:pt>
                <c:pt idx="329" formatCode="General">
                  <c:v>12.632</c:v>
                </c:pt>
                <c:pt idx="330" formatCode="General">
                  <c:v>12.888999999999999</c:v>
                </c:pt>
                <c:pt idx="331" formatCode="General">
                  <c:v>13.144</c:v>
                </c:pt>
                <c:pt idx="332" formatCode="General">
                  <c:v>13.401</c:v>
                </c:pt>
                <c:pt idx="333" formatCode="General">
                  <c:v>13.656000000000001</c:v>
                </c:pt>
                <c:pt idx="334" formatCode="General">
                  <c:v>13.913</c:v>
                </c:pt>
                <c:pt idx="335" formatCode="General">
                  <c:v>14.167999999999999</c:v>
                </c:pt>
                <c:pt idx="336" formatCode="General">
                  <c:v>14.425000000000001</c:v>
                </c:pt>
                <c:pt idx="337" formatCode="General">
                  <c:v>14.680999999999999</c:v>
                </c:pt>
                <c:pt idx="338" formatCode="General">
                  <c:v>14.936</c:v>
                </c:pt>
                <c:pt idx="339" formatCode="General">
                  <c:v>15.193</c:v>
                </c:pt>
                <c:pt idx="340" formatCode="General">
                  <c:v>15.448</c:v>
                </c:pt>
                <c:pt idx="341" formatCode="General">
                  <c:v>15.705</c:v>
                </c:pt>
                <c:pt idx="342" formatCode="General">
                  <c:v>15.96</c:v>
                </c:pt>
                <c:pt idx="343" formatCode="General">
                  <c:v>16.216000000000001</c:v>
                </c:pt>
                <c:pt idx="344" formatCode="General">
                  <c:v>16.472000000000001</c:v>
                </c:pt>
                <c:pt idx="345" formatCode="General">
                  <c:v>16.728999999999999</c:v>
                </c:pt>
                <c:pt idx="346" formatCode="General">
                  <c:v>16.984999999999999</c:v>
                </c:pt>
                <c:pt idx="347" formatCode="General">
                  <c:v>17.239999999999998</c:v>
                </c:pt>
                <c:pt idx="348" formatCode="General">
                  <c:v>17.497</c:v>
                </c:pt>
                <c:pt idx="349" formatCode="General">
                  <c:v>17.753</c:v>
                </c:pt>
                <c:pt idx="350" formatCode="General">
                  <c:v>18.007999999999999</c:v>
                </c:pt>
                <c:pt idx="351" formatCode="General">
                  <c:v>18.263999999999999</c:v>
                </c:pt>
                <c:pt idx="352" formatCode="General">
                  <c:v>18.521000000000001</c:v>
                </c:pt>
                <c:pt idx="353" formatCode="General">
                  <c:v>18.777000000000001</c:v>
                </c:pt>
                <c:pt idx="354" formatCode="General">
                  <c:v>19.032</c:v>
                </c:pt>
                <c:pt idx="355" formatCode="General">
                  <c:v>19.288</c:v>
                </c:pt>
                <c:pt idx="356" formatCode="General">
                  <c:v>19.545000000000002</c:v>
                </c:pt>
                <c:pt idx="357" formatCode="General">
                  <c:v>19.800999999999998</c:v>
                </c:pt>
                <c:pt idx="358" formatCode="General">
                  <c:v>20.056000000000001</c:v>
                </c:pt>
                <c:pt idx="359" formatCode="General">
                  <c:v>20.312999999999999</c:v>
                </c:pt>
                <c:pt idx="360" formatCode="General">
                  <c:v>20.696999999999999</c:v>
                </c:pt>
                <c:pt idx="361" formatCode="General">
                  <c:v>21.207999999999998</c:v>
                </c:pt>
                <c:pt idx="362" formatCode="General">
                  <c:v>21.721</c:v>
                </c:pt>
                <c:pt idx="363" formatCode="General">
                  <c:v>22.233000000000001</c:v>
                </c:pt>
                <c:pt idx="364" formatCode="General">
                  <c:v>22.744</c:v>
                </c:pt>
                <c:pt idx="365" formatCode="General">
                  <c:v>23.257000000000001</c:v>
                </c:pt>
                <c:pt idx="366" formatCode="General">
                  <c:v>23.768000000000001</c:v>
                </c:pt>
                <c:pt idx="367" formatCode="General">
                  <c:v>24.280999999999999</c:v>
                </c:pt>
                <c:pt idx="368" formatCode="General">
                  <c:v>24.792000000000002</c:v>
                </c:pt>
                <c:pt idx="369" formatCode="General">
                  <c:v>25.305</c:v>
                </c:pt>
                <c:pt idx="370" formatCode="General">
                  <c:v>25.815999999999999</c:v>
                </c:pt>
                <c:pt idx="371" formatCode="General">
                  <c:v>26.329000000000001</c:v>
                </c:pt>
                <c:pt idx="372" formatCode="General">
                  <c:v>26.84</c:v>
                </c:pt>
                <c:pt idx="373" formatCode="General">
                  <c:v>27.353000000000002</c:v>
                </c:pt>
                <c:pt idx="374" formatCode="General">
                  <c:v>27.864999999999998</c:v>
                </c:pt>
                <c:pt idx="375" formatCode="General">
                  <c:v>28.376000000000001</c:v>
                </c:pt>
                <c:pt idx="376" formatCode="General">
                  <c:v>28.888999999999999</c:v>
                </c:pt>
                <c:pt idx="377" formatCode="General">
                  <c:v>29.4</c:v>
                </c:pt>
                <c:pt idx="378" formatCode="General">
                  <c:v>29.913</c:v>
                </c:pt>
                <c:pt idx="379" formatCode="General">
                  <c:v>30.423999999999999</c:v>
                </c:pt>
                <c:pt idx="380" formatCode="General">
                  <c:v>30.937000000000001</c:v>
                </c:pt>
                <c:pt idx="381" formatCode="General">
                  <c:v>31.448</c:v>
                </c:pt>
                <c:pt idx="382" formatCode="General">
                  <c:v>31.960999999999999</c:v>
                </c:pt>
                <c:pt idx="383" formatCode="General">
                  <c:v>32.472000000000001</c:v>
                </c:pt>
                <c:pt idx="384" formatCode="General">
                  <c:v>32.984999999999999</c:v>
                </c:pt>
                <c:pt idx="385" formatCode="General">
                  <c:v>33.496000000000002</c:v>
                </c:pt>
                <c:pt idx="386" formatCode="General">
                  <c:v>34.008000000000003</c:v>
                </c:pt>
                <c:pt idx="387" formatCode="General">
                  <c:v>34.521000000000001</c:v>
                </c:pt>
                <c:pt idx="388" formatCode="General">
                  <c:v>35.033000000000001</c:v>
                </c:pt>
                <c:pt idx="389" formatCode="General">
                  <c:v>35.543999999999997</c:v>
                </c:pt>
                <c:pt idx="390" formatCode="General">
                  <c:v>36.055999999999997</c:v>
                </c:pt>
                <c:pt idx="391" formatCode="General">
                  <c:v>36.569000000000003</c:v>
                </c:pt>
                <c:pt idx="392" formatCode="General">
                  <c:v>37.081000000000003</c:v>
                </c:pt>
                <c:pt idx="393" formatCode="General">
                  <c:v>37.591999999999999</c:v>
                </c:pt>
                <c:pt idx="394" formatCode="General">
                  <c:v>38.103999999999999</c:v>
                </c:pt>
                <c:pt idx="395" formatCode="General">
                  <c:v>38.616999999999997</c:v>
                </c:pt>
                <c:pt idx="396" formatCode="General">
                  <c:v>39.128999999999998</c:v>
                </c:pt>
                <c:pt idx="397" formatCode="General">
                  <c:v>39.64</c:v>
                </c:pt>
                <c:pt idx="398" formatCode="General">
                  <c:v>40.152999999999999</c:v>
                </c:pt>
                <c:pt idx="399" formatCode="General">
                  <c:v>40.664999999999999</c:v>
                </c:pt>
                <c:pt idx="400" formatCode="General">
                  <c:v>41.432000000000002</c:v>
                </c:pt>
                <c:pt idx="401" formatCode="General">
                  <c:v>42.457000000000001</c:v>
                </c:pt>
                <c:pt idx="402" formatCode="General">
                  <c:v>43.48</c:v>
                </c:pt>
                <c:pt idx="403" formatCode="General">
                  <c:v>44.505000000000003</c:v>
                </c:pt>
                <c:pt idx="404" formatCode="General">
                  <c:v>45.527999999999999</c:v>
                </c:pt>
                <c:pt idx="405" formatCode="General">
                  <c:v>46.552999999999997</c:v>
                </c:pt>
                <c:pt idx="406" formatCode="General">
                  <c:v>47.576000000000001</c:v>
                </c:pt>
                <c:pt idx="407" formatCode="General">
                  <c:v>48.6</c:v>
                </c:pt>
                <c:pt idx="408" formatCode="General">
                  <c:v>49.625</c:v>
                </c:pt>
                <c:pt idx="409" formatCode="General">
                  <c:v>50.648000000000003</c:v>
                </c:pt>
                <c:pt idx="410" formatCode="General">
                  <c:v>51.673000000000002</c:v>
                </c:pt>
                <c:pt idx="411" formatCode="General">
                  <c:v>52.695999999999998</c:v>
                </c:pt>
                <c:pt idx="412" formatCode="General">
                  <c:v>53.720999999999997</c:v>
                </c:pt>
                <c:pt idx="413" formatCode="General">
                  <c:v>54.744</c:v>
                </c:pt>
                <c:pt idx="414" formatCode="General">
                  <c:v>55.768999999999998</c:v>
                </c:pt>
                <c:pt idx="415" formatCode="General">
                  <c:v>56.792000000000002</c:v>
                </c:pt>
                <c:pt idx="416" formatCode="General">
                  <c:v>57.817</c:v>
                </c:pt>
                <c:pt idx="417" formatCode="General">
                  <c:v>58.84</c:v>
                </c:pt>
              </c:numCache>
            </c:numRef>
          </c:xVal>
          <c:yVal>
            <c:numRef>
              <c:f>'Fract-Band'!$D$4:$D$421</c:f>
              <c:numCache>
                <c:formatCode>0.00E+00</c:formatCode>
                <c:ptCount val="418"/>
                <c:pt idx="0" formatCode="General">
                  <c:v>-12.86</c:v>
                </c:pt>
                <c:pt idx="1">
                  <c:v>-12.85</c:v>
                </c:pt>
                <c:pt idx="2">
                  <c:v>-12.83</c:v>
                </c:pt>
                <c:pt idx="3">
                  <c:v>-12.81</c:v>
                </c:pt>
                <c:pt idx="4">
                  <c:v>-12.78</c:v>
                </c:pt>
                <c:pt idx="5">
                  <c:v>-12.74</c:v>
                </c:pt>
                <c:pt idx="6">
                  <c:v>-12.7</c:v>
                </c:pt>
                <c:pt idx="7">
                  <c:v>-12.65</c:v>
                </c:pt>
                <c:pt idx="8">
                  <c:v>-12.6</c:v>
                </c:pt>
                <c:pt idx="9">
                  <c:v>-12.55</c:v>
                </c:pt>
                <c:pt idx="10">
                  <c:v>-12.49</c:v>
                </c:pt>
                <c:pt idx="11">
                  <c:v>-12.44</c:v>
                </c:pt>
                <c:pt idx="12">
                  <c:v>-12.38</c:v>
                </c:pt>
                <c:pt idx="13">
                  <c:v>-12.33</c:v>
                </c:pt>
                <c:pt idx="14">
                  <c:v>-12.27</c:v>
                </c:pt>
                <c:pt idx="15">
                  <c:v>-12.22</c:v>
                </c:pt>
                <c:pt idx="16">
                  <c:v>-12.16</c:v>
                </c:pt>
                <c:pt idx="17">
                  <c:v>-12.11</c:v>
                </c:pt>
                <c:pt idx="18">
                  <c:v>-12.05</c:v>
                </c:pt>
                <c:pt idx="19">
                  <c:v>-12</c:v>
                </c:pt>
                <c:pt idx="20">
                  <c:v>-11.94</c:v>
                </c:pt>
                <c:pt idx="21">
                  <c:v>-11.89</c:v>
                </c:pt>
                <c:pt idx="22">
                  <c:v>-11.84</c:v>
                </c:pt>
                <c:pt idx="23">
                  <c:v>-11.78</c:v>
                </c:pt>
                <c:pt idx="24">
                  <c:v>-11.72</c:v>
                </c:pt>
                <c:pt idx="25">
                  <c:v>-11.66</c:v>
                </c:pt>
                <c:pt idx="26">
                  <c:v>-11.6</c:v>
                </c:pt>
                <c:pt idx="27">
                  <c:v>-11.54</c:v>
                </c:pt>
                <c:pt idx="28">
                  <c:v>-11.47</c:v>
                </c:pt>
                <c:pt idx="29">
                  <c:v>-11.41</c:v>
                </c:pt>
                <c:pt idx="30">
                  <c:v>-11.34</c:v>
                </c:pt>
                <c:pt idx="31">
                  <c:v>-11.27</c:v>
                </c:pt>
                <c:pt idx="32">
                  <c:v>-11.2</c:v>
                </c:pt>
                <c:pt idx="33">
                  <c:v>-11.12</c:v>
                </c:pt>
                <c:pt idx="34">
                  <c:v>-11.04</c:v>
                </c:pt>
                <c:pt idx="35">
                  <c:v>-10.96</c:v>
                </c:pt>
                <c:pt idx="36">
                  <c:v>-10.88</c:v>
                </c:pt>
                <c:pt idx="37">
                  <c:v>-10.8</c:v>
                </c:pt>
                <c:pt idx="38">
                  <c:v>-10.72</c:v>
                </c:pt>
                <c:pt idx="39">
                  <c:v>-10.64</c:v>
                </c:pt>
                <c:pt idx="40">
                  <c:v>-10.51</c:v>
                </c:pt>
                <c:pt idx="41">
                  <c:v>-10.35</c:v>
                </c:pt>
                <c:pt idx="42">
                  <c:v>-10.18</c:v>
                </c:pt>
                <c:pt idx="43">
                  <c:v>-10.02</c:v>
                </c:pt>
                <c:pt idx="44">
                  <c:v>-9.8670000000000009</c:v>
                </c:pt>
                <c:pt idx="45">
                  <c:v>-9.7110000000000003</c:v>
                </c:pt>
                <c:pt idx="46">
                  <c:v>-9.5579999999999998</c:v>
                </c:pt>
                <c:pt idx="47">
                  <c:v>-9.4120000000000008</c:v>
                </c:pt>
                <c:pt idx="48">
                  <c:v>-9.266</c:v>
                </c:pt>
                <c:pt idx="49">
                  <c:v>-9.1159999999999997</c:v>
                </c:pt>
                <c:pt idx="50">
                  <c:v>-8.968</c:v>
                </c:pt>
                <c:pt idx="51">
                  <c:v>-8.8219999999999992</c:v>
                </c:pt>
                <c:pt idx="52">
                  <c:v>-8.673</c:v>
                </c:pt>
                <c:pt idx="53">
                  <c:v>-8.5190000000000001</c:v>
                </c:pt>
                <c:pt idx="54">
                  <c:v>-8.3629999999999995</c:v>
                </c:pt>
                <c:pt idx="55">
                  <c:v>-8.2050000000000001</c:v>
                </c:pt>
                <c:pt idx="56">
                  <c:v>-8.0489999999999995</c:v>
                </c:pt>
                <c:pt idx="57">
                  <c:v>-7.891</c:v>
                </c:pt>
                <c:pt idx="58">
                  <c:v>-7.7309999999999999</c:v>
                </c:pt>
                <c:pt idx="59">
                  <c:v>-7.5759999999999996</c:v>
                </c:pt>
                <c:pt idx="60">
                  <c:v>-7.42</c:v>
                </c:pt>
                <c:pt idx="61">
                  <c:v>-7.2619999999999996</c:v>
                </c:pt>
                <c:pt idx="62">
                  <c:v>-7.1029999999999998</c:v>
                </c:pt>
                <c:pt idx="63">
                  <c:v>-6.9420000000000002</c:v>
                </c:pt>
                <c:pt idx="64">
                  <c:v>-6.7830000000000004</c:v>
                </c:pt>
                <c:pt idx="65">
                  <c:v>-6.6230000000000002</c:v>
                </c:pt>
                <c:pt idx="66">
                  <c:v>-6.4589999999999996</c:v>
                </c:pt>
                <c:pt idx="67">
                  <c:v>-6.298</c:v>
                </c:pt>
                <c:pt idx="68">
                  <c:v>-6.14</c:v>
                </c:pt>
                <c:pt idx="69">
                  <c:v>-5.9809999999999999</c:v>
                </c:pt>
                <c:pt idx="70">
                  <c:v>-5.82</c:v>
                </c:pt>
                <c:pt idx="71">
                  <c:v>-5.641</c:v>
                </c:pt>
                <c:pt idx="72">
                  <c:v>-5.4509999999999996</c:v>
                </c:pt>
                <c:pt idx="73">
                  <c:v>-5.2619999999999996</c:v>
                </c:pt>
                <c:pt idx="74">
                  <c:v>-5.077</c:v>
                </c:pt>
                <c:pt idx="75">
                  <c:v>-4.8979999999999997</c:v>
                </c:pt>
                <c:pt idx="76">
                  <c:v>-4.7279999999999998</c:v>
                </c:pt>
                <c:pt idx="77">
                  <c:v>-4.5640000000000001</c:v>
                </c:pt>
                <c:pt idx="78">
                  <c:v>-4.399</c:v>
                </c:pt>
                <c:pt idx="79">
                  <c:v>-4.2350000000000003</c:v>
                </c:pt>
                <c:pt idx="80">
                  <c:v>-3.9910000000000001</c:v>
                </c:pt>
                <c:pt idx="81">
                  <c:v>-3.657</c:v>
                </c:pt>
                <c:pt idx="82">
                  <c:v>-3.3109999999999999</c:v>
                </c:pt>
                <c:pt idx="83">
                  <c:v>-2.9649999999999999</c:v>
                </c:pt>
                <c:pt idx="84">
                  <c:v>-2.6230000000000002</c:v>
                </c:pt>
                <c:pt idx="85">
                  <c:v>-2.2890000000000001</c:v>
                </c:pt>
                <c:pt idx="86">
                  <c:v>-1.9570000000000001</c:v>
                </c:pt>
                <c:pt idx="87">
                  <c:v>-1.629</c:v>
                </c:pt>
                <c:pt idx="88">
                  <c:v>-1.3009999999999999</c:v>
                </c:pt>
                <c:pt idx="89">
                  <c:v>-0.97550000000000003</c:v>
                </c:pt>
                <c:pt idx="90">
                  <c:v>-0.64590000000000003</c:v>
                </c:pt>
                <c:pt idx="91">
                  <c:v>-0.32869999999999999</c:v>
                </c:pt>
                <c:pt idx="92">
                  <c:v>1.6799999999999999E-2</c:v>
                </c:pt>
                <c:pt idx="93">
                  <c:v>0.3503</c:v>
                </c:pt>
                <c:pt idx="94">
                  <c:v>0.69220000000000004</c:v>
                </c:pt>
                <c:pt idx="95">
                  <c:v>1.03</c:v>
                </c:pt>
                <c:pt idx="96">
                  <c:v>1.3620000000000001</c:v>
                </c:pt>
                <c:pt idx="97">
                  <c:v>1.6830000000000001</c:v>
                </c:pt>
                <c:pt idx="98">
                  <c:v>2.0059999999999998</c:v>
                </c:pt>
                <c:pt idx="99">
                  <c:v>2.3370000000000002</c:v>
                </c:pt>
                <c:pt idx="100">
                  <c:v>2.673</c:v>
                </c:pt>
                <c:pt idx="101">
                  <c:v>3.004</c:v>
                </c:pt>
                <c:pt idx="102">
                  <c:v>3.3370000000000002</c:v>
                </c:pt>
                <c:pt idx="103">
                  <c:v>3.6669999999999998</c:v>
                </c:pt>
                <c:pt idx="104">
                  <c:v>3.9950000000000001</c:v>
                </c:pt>
                <c:pt idx="105">
                  <c:v>4.3230000000000004</c:v>
                </c:pt>
                <c:pt idx="106">
                  <c:v>4.657</c:v>
                </c:pt>
                <c:pt idx="107">
                  <c:v>4.9880000000000004</c:v>
                </c:pt>
                <c:pt idx="108">
                  <c:v>5.3159999999999998</c:v>
                </c:pt>
                <c:pt idx="109">
                  <c:v>5.6429999999999998</c:v>
                </c:pt>
                <c:pt idx="110">
                  <c:v>5.9740000000000002</c:v>
                </c:pt>
                <c:pt idx="111">
                  <c:v>6.3120000000000003</c:v>
                </c:pt>
                <c:pt idx="112">
                  <c:v>6.6529999999999996</c:v>
                </c:pt>
                <c:pt idx="113">
                  <c:v>6.9950000000000001</c:v>
                </c:pt>
                <c:pt idx="114">
                  <c:v>7.3250000000000002</c:v>
                </c:pt>
                <c:pt idx="115">
                  <c:v>7.6459999999999999</c:v>
                </c:pt>
                <c:pt idx="116">
                  <c:v>7.9580000000000002</c:v>
                </c:pt>
                <c:pt idx="117">
                  <c:v>8.2810000000000006</c:v>
                </c:pt>
                <c:pt idx="118">
                  <c:v>8.6129999999999995</c:v>
                </c:pt>
                <c:pt idx="119">
                  <c:v>8.9480000000000004</c:v>
                </c:pt>
                <c:pt idx="120">
                  <c:v>9.4350000000000005</c:v>
                </c:pt>
                <c:pt idx="121">
                  <c:v>10.09</c:v>
                </c:pt>
                <c:pt idx="122">
                  <c:v>10.76</c:v>
                </c:pt>
                <c:pt idx="123">
                  <c:v>11.42</c:v>
                </c:pt>
                <c:pt idx="124">
                  <c:v>12.39</c:v>
                </c:pt>
                <c:pt idx="125">
                  <c:v>17.170000000000002</c:v>
                </c:pt>
                <c:pt idx="126">
                  <c:v>24.73</c:v>
                </c:pt>
                <c:pt idx="127">
                  <c:v>32.03</c:v>
                </c:pt>
                <c:pt idx="128">
                  <c:v>40.659999999999997</c:v>
                </c:pt>
                <c:pt idx="129">
                  <c:v>50.08</c:v>
                </c:pt>
                <c:pt idx="130">
                  <c:v>58.87</c:v>
                </c:pt>
                <c:pt idx="131">
                  <c:v>65.459999999999994</c:v>
                </c:pt>
                <c:pt idx="132">
                  <c:v>72.13</c:v>
                </c:pt>
                <c:pt idx="133">
                  <c:v>76.83</c:v>
                </c:pt>
                <c:pt idx="134">
                  <c:v>81.260000000000005</c:v>
                </c:pt>
                <c:pt idx="135">
                  <c:v>84.26</c:v>
                </c:pt>
                <c:pt idx="136">
                  <c:v>86.94</c:v>
                </c:pt>
                <c:pt idx="137">
                  <c:v>86.97</c:v>
                </c:pt>
                <c:pt idx="138">
                  <c:v>87.56</c:v>
                </c:pt>
                <c:pt idx="139">
                  <c:v>87.86</c:v>
                </c:pt>
                <c:pt idx="140">
                  <c:v>87.83</c:v>
                </c:pt>
                <c:pt idx="141">
                  <c:v>88.02</c:v>
                </c:pt>
                <c:pt idx="142">
                  <c:v>88.25</c:v>
                </c:pt>
                <c:pt idx="143">
                  <c:v>88.45</c:v>
                </c:pt>
                <c:pt idx="144">
                  <c:v>88.75</c:v>
                </c:pt>
                <c:pt idx="145">
                  <c:v>89.27</c:v>
                </c:pt>
                <c:pt idx="146">
                  <c:v>89.59</c:v>
                </c:pt>
                <c:pt idx="147">
                  <c:v>90.03</c:v>
                </c:pt>
                <c:pt idx="148">
                  <c:v>90.4</c:v>
                </c:pt>
                <c:pt idx="149">
                  <c:v>91.03</c:v>
                </c:pt>
                <c:pt idx="150">
                  <c:v>91.58</c:v>
                </c:pt>
                <c:pt idx="151">
                  <c:v>93.77</c:v>
                </c:pt>
                <c:pt idx="152">
                  <c:v>94.65</c:v>
                </c:pt>
                <c:pt idx="153">
                  <c:v>96.33</c:v>
                </c:pt>
                <c:pt idx="154">
                  <c:v>98.19</c:v>
                </c:pt>
                <c:pt idx="155">
                  <c:v>99.21</c:v>
                </c:pt>
                <c:pt idx="156">
                  <c:v>99.94</c:v>
                </c:pt>
                <c:pt idx="157">
                  <c:v>101</c:v>
                </c:pt>
                <c:pt idx="158">
                  <c:v>101.5</c:v>
                </c:pt>
                <c:pt idx="159">
                  <c:v>101.6</c:v>
                </c:pt>
                <c:pt idx="160">
                  <c:v>102.2</c:v>
                </c:pt>
                <c:pt idx="161">
                  <c:v>102.3</c:v>
                </c:pt>
                <c:pt idx="162">
                  <c:v>102.1</c:v>
                </c:pt>
                <c:pt idx="163">
                  <c:v>101.8</c:v>
                </c:pt>
                <c:pt idx="164">
                  <c:v>101.5</c:v>
                </c:pt>
                <c:pt idx="165">
                  <c:v>101.5</c:v>
                </c:pt>
                <c:pt idx="166">
                  <c:v>101.8</c:v>
                </c:pt>
                <c:pt idx="167">
                  <c:v>102.2</c:v>
                </c:pt>
                <c:pt idx="168">
                  <c:v>102.4</c:v>
                </c:pt>
                <c:pt idx="169">
                  <c:v>102.5</c:v>
                </c:pt>
                <c:pt idx="170">
                  <c:v>103</c:v>
                </c:pt>
                <c:pt idx="171">
                  <c:v>103.3</c:v>
                </c:pt>
                <c:pt idx="172">
                  <c:v>103.8</c:v>
                </c:pt>
                <c:pt idx="173">
                  <c:v>103.8</c:v>
                </c:pt>
                <c:pt idx="174">
                  <c:v>104.3</c:v>
                </c:pt>
                <c:pt idx="175">
                  <c:v>104.4</c:v>
                </c:pt>
                <c:pt idx="176">
                  <c:v>104.8</c:v>
                </c:pt>
                <c:pt idx="177">
                  <c:v>105.2</c:v>
                </c:pt>
                <c:pt idx="178">
                  <c:v>105.3</c:v>
                </c:pt>
                <c:pt idx="179">
                  <c:v>105.4</c:v>
                </c:pt>
                <c:pt idx="180">
                  <c:v>105.9</c:v>
                </c:pt>
                <c:pt idx="181">
                  <c:v>106.4</c:v>
                </c:pt>
                <c:pt idx="182">
                  <c:v>106.2</c:v>
                </c:pt>
                <c:pt idx="183">
                  <c:v>106.4</c:v>
                </c:pt>
                <c:pt idx="184">
                  <c:v>106.7</c:v>
                </c:pt>
                <c:pt idx="185">
                  <c:v>107</c:v>
                </c:pt>
                <c:pt idx="186">
                  <c:v>107.1</c:v>
                </c:pt>
                <c:pt idx="187">
                  <c:v>107.2</c:v>
                </c:pt>
                <c:pt idx="188">
                  <c:v>107.2</c:v>
                </c:pt>
                <c:pt idx="189">
                  <c:v>107.4</c:v>
                </c:pt>
                <c:pt idx="190">
                  <c:v>107.7</c:v>
                </c:pt>
                <c:pt idx="191">
                  <c:v>107.8</c:v>
                </c:pt>
                <c:pt idx="192">
                  <c:v>107.7</c:v>
                </c:pt>
                <c:pt idx="193">
                  <c:v>107.9</c:v>
                </c:pt>
                <c:pt idx="194">
                  <c:v>108.2</c:v>
                </c:pt>
                <c:pt idx="195">
                  <c:v>108.4</c:v>
                </c:pt>
                <c:pt idx="196">
                  <c:v>108.2</c:v>
                </c:pt>
                <c:pt idx="197">
                  <c:v>108.2</c:v>
                </c:pt>
                <c:pt idx="198">
                  <c:v>108.6</c:v>
                </c:pt>
                <c:pt idx="199">
                  <c:v>108.7</c:v>
                </c:pt>
                <c:pt idx="200" formatCode="General">
                  <c:v>108.6</c:v>
                </c:pt>
                <c:pt idx="201" formatCode="General">
                  <c:v>108.9</c:v>
                </c:pt>
                <c:pt idx="202" formatCode="General">
                  <c:v>109</c:v>
                </c:pt>
                <c:pt idx="203" formatCode="General">
                  <c:v>109.1</c:v>
                </c:pt>
                <c:pt idx="204" formatCode="General">
                  <c:v>109.3</c:v>
                </c:pt>
                <c:pt idx="205" formatCode="General">
                  <c:v>109.3</c:v>
                </c:pt>
                <c:pt idx="206" formatCode="General">
                  <c:v>109.4</c:v>
                </c:pt>
                <c:pt idx="207" formatCode="General">
                  <c:v>109.4</c:v>
                </c:pt>
                <c:pt idx="208" formatCode="General">
                  <c:v>109.5</c:v>
                </c:pt>
                <c:pt idx="209" formatCode="General">
                  <c:v>109.6</c:v>
                </c:pt>
                <c:pt idx="210" formatCode="General">
                  <c:v>109.7</c:v>
                </c:pt>
                <c:pt idx="211" formatCode="General">
                  <c:v>109.7</c:v>
                </c:pt>
                <c:pt idx="212" formatCode="General">
                  <c:v>109.7</c:v>
                </c:pt>
                <c:pt idx="213" formatCode="General">
                  <c:v>109.8</c:v>
                </c:pt>
                <c:pt idx="214" formatCode="General">
                  <c:v>109.8</c:v>
                </c:pt>
                <c:pt idx="215" formatCode="General">
                  <c:v>109.9</c:v>
                </c:pt>
                <c:pt idx="216" formatCode="General">
                  <c:v>109.8</c:v>
                </c:pt>
                <c:pt idx="217" formatCode="General">
                  <c:v>109.9</c:v>
                </c:pt>
                <c:pt idx="218" formatCode="General">
                  <c:v>109.9</c:v>
                </c:pt>
                <c:pt idx="219" formatCode="General">
                  <c:v>109.8</c:v>
                </c:pt>
                <c:pt idx="220" formatCode="General">
                  <c:v>110</c:v>
                </c:pt>
                <c:pt idx="221" formatCode="General">
                  <c:v>109.8</c:v>
                </c:pt>
                <c:pt idx="222" formatCode="General">
                  <c:v>110</c:v>
                </c:pt>
                <c:pt idx="223" formatCode="General">
                  <c:v>109.9</c:v>
                </c:pt>
                <c:pt idx="224" formatCode="General">
                  <c:v>109.9</c:v>
                </c:pt>
                <c:pt idx="225" formatCode="General">
                  <c:v>109.9</c:v>
                </c:pt>
                <c:pt idx="226" formatCode="General">
                  <c:v>109.9</c:v>
                </c:pt>
                <c:pt idx="227" formatCode="General">
                  <c:v>109.8</c:v>
                </c:pt>
                <c:pt idx="228" formatCode="General">
                  <c:v>109.9</c:v>
                </c:pt>
                <c:pt idx="229" formatCode="General">
                  <c:v>109.9</c:v>
                </c:pt>
                <c:pt idx="230" formatCode="General">
                  <c:v>109.8</c:v>
                </c:pt>
                <c:pt idx="231" formatCode="General">
                  <c:v>110</c:v>
                </c:pt>
                <c:pt idx="232" formatCode="General">
                  <c:v>109.7</c:v>
                </c:pt>
                <c:pt idx="233" formatCode="General">
                  <c:v>109.8</c:v>
                </c:pt>
                <c:pt idx="234" formatCode="General">
                  <c:v>109.8</c:v>
                </c:pt>
                <c:pt idx="235" formatCode="General">
                  <c:v>109.7</c:v>
                </c:pt>
                <c:pt idx="236" formatCode="General">
                  <c:v>109.8</c:v>
                </c:pt>
                <c:pt idx="237" formatCode="General">
                  <c:v>109.6</c:v>
                </c:pt>
                <c:pt idx="238" formatCode="General">
                  <c:v>109.8</c:v>
                </c:pt>
                <c:pt idx="239" formatCode="General">
                  <c:v>109.6</c:v>
                </c:pt>
                <c:pt idx="240" formatCode="General">
                  <c:v>109.6</c:v>
                </c:pt>
                <c:pt idx="241" formatCode="General">
                  <c:v>109.6</c:v>
                </c:pt>
                <c:pt idx="242" formatCode="General">
                  <c:v>109.6</c:v>
                </c:pt>
                <c:pt idx="243" formatCode="General">
                  <c:v>109.5</c:v>
                </c:pt>
                <c:pt idx="244" formatCode="General">
                  <c:v>109.4</c:v>
                </c:pt>
                <c:pt idx="245" formatCode="General">
                  <c:v>109.4</c:v>
                </c:pt>
                <c:pt idx="246" formatCode="General">
                  <c:v>109.4</c:v>
                </c:pt>
                <c:pt idx="247" formatCode="General">
                  <c:v>109.3</c:v>
                </c:pt>
                <c:pt idx="248" formatCode="General">
                  <c:v>109.3</c:v>
                </c:pt>
                <c:pt idx="249" formatCode="General">
                  <c:v>109.2</c:v>
                </c:pt>
                <c:pt idx="250" formatCode="General">
                  <c:v>109.2</c:v>
                </c:pt>
                <c:pt idx="251" formatCode="General">
                  <c:v>109.2</c:v>
                </c:pt>
                <c:pt idx="252" formatCode="General">
                  <c:v>109.1</c:v>
                </c:pt>
                <c:pt idx="253" formatCode="General">
                  <c:v>109</c:v>
                </c:pt>
                <c:pt idx="254" formatCode="General">
                  <c:v>109</c:v>
                </c:pt>
                <c:pt idx="255" formatCode="General">
                  <c:v>109</c:v>
                </c:pt>
                <c:pt idx="256" formatCode="General">
                  <c:v>109</c:v>
                </c:pt>
                <c:pt idx="257" formatCode="General">
                  <c:v>108.9</c:v>
                </c:pt>
                <c:pt idx="258" formatCode="General">
                  <c:v>108.9</c:v>
                </c:pt>
                <c:pt idx="259" formatCode="General">
                  <c:v>108.8</c:v>
                </c:pt>
                <c:pt idx="260" formatCode="General">
                  <c:v>108.8</c:v>
                </c:pt>
                <c:pt idx="261" formatCode="General">
                  <c:v>108.7</c:v>
                </c:pt>
                <c:pt idx="262" formatCode="General">
                  <c:v>108.7</c:v>
                </c:pt>
                <c:pt idx="263" formatCode="General">
                  <c:v>108.7</c:v>
                </c:pt>
                <c:pt idx="264" formatCode="General">
                  <c:v>108.7</c:v>
                </c:pt>
                <c:pt idx="265" formatCode="General">
                  <c:v>108.6</c:v>
                </c:pt>
                <c:pt idx="266" formatCode="General">
                  <c:v>108.6</c:v>
                </c:pt>
                <c:pt idx="267" formatCode="General">
                  <c:v>108.5</c:v>
                </c:pt>
                <c:pt idx="268" formatCode="General">
                  <c:v>108.5</c:v>
                </c:pt>
                <c:pt idx="269" formatCode="General">
                  <c:v>108.5</c:v>
                </c:pt>
                <c:pt idx="270" formatCode="General">
                  <c:v>108.4</c:v>
                </c:pt>
                <c:pt idx="271" formatCode="General">
                  <c:v>108.4</c:v>
                </c:pt>
                <c:pt idx="272" formatCode="General">
                  <c:v>108.4</c:v>
                </c:pt>
                <c:pt idx="273" formatCode="General">
                  <c:v>108.4</c:v>
                </c:pt>
                <c:pt idx="274" formatCode="General">
                  <c:v>108.3</c:v>
                </c:pt>
                <c:pt idx="275" formatCode="General">
                  <c:v>108.3</c:v>
                </c:pt>
                <c:pt idx="276" formatCode="General">
                  <c:v>108.3</c:v>
                </c:pt>
                <c:pt idx="277" formatCode="General">
                  <c:v>108.3</c:v>
                </c:pt>
                <c:pt idx="278" formatCode="General">
                  <c:v>108.3</c:v>
                </c:pt>
                <c:pt idx="279" formatCode="General">
                  <c:v>108.2</c:v>
                </c:pt>
                <c:pt idx="280" formatCode="General">
                  <c:v>108.3</c:v>
                </c:pt>
                <c:pt idx="281" formatCode="General">
                  <c:v>108.2</c:v>
                </c:pt>
                <c:pt idx="282" formatCode="General">
                  <c:v>108.1</c:v>
                </c:pt>
                <c:pt idx="283" formatCode="General">
                  <c:v>108.1</c:v>
                </c:pt>
                <c:pt idx="284" formatCode="General">
                  <c:v>108.1</c:v>
                </c:pt>
                <c:pt idx="285" formatCode="General">
                  <c:v>108</c:v>
                </c:pt>
                <c:pt idx="286" formatCode="General">
                  <c:v>108</c:v>
                </c:pt>
                <c:pt idx="287" formatCode="General">
                  <c:v>108</c:v>
                </c:pt>
                <c:pt idx="288" formatCode="General">
                  <c:v>107.9</c:v>
                </c:pt>
                <c:pt idx="289" formatCode="General">
                  <c:v>107.9</c:v>
                </c:pt>
                <c:pt idx="290" formatCode="General">
                  <c:v>107.9</c:v>
                </c:pt>
                <c:pt idx="291" formatCode="General">
                  <c:v>107.9</c:v>
                </c:pt>
                <c:pt idx="292" formatCode="General">
                  <c:v>107.8</c:v>
                </c:pt>
                <c:pt idx="293" formatCode="General">
                  <c:v>107.8</c:v>
                </c:pt>
                <c:pt idx="294" formatCode="General">
                  <c:v>107.8</c:v>
                </c:pt>
                <c:pt idx="295" formatCode="General">
                  <c:v>107.8</c:v>
                </c:pt>
                <c:pt idx="296" formatCode="General">
                  <c:v>107.7</c:v>
                </c:pt>
                <c:pt idx="297" formatCode="General">
                  <c:v>107.8</c:v>
                </c:pt>
                <c:pt idx="298" formatCode="General">
                  <c:v>107.8</c:v>
                </c:pt>
                <c:pt idx="299" formatCode="General">
                  <c:v>107.8</c:v>
                </c:pt>
                <c:pt idx="300" formatCode="General">
                  <c:v>107.7</c:v>
                </c:pt>
                <c:pt idx="301" formatCode="General">
                  <c:v>107.7</c:v>
                </c:pt>
                <c:pt idx="302" formatCode="General">
                  <c:v>107.7</c:v>
                </c:pt>
                <c:pt idx="303" formatCode="General">
                  <c:v>107.7</c:v>
                </c:pt>
                <c:pt idx="304" formatCode="General">
                  <c:v>107.7</c:v>
                </c:pt>
                <c:pt idx="305" formatCode="General">
                  <c:v>107.7</c:v>
                </c:pt>
                <c:pt idx="306" formatCode="General">
                  <c:v>107.7</c:v>
                </c:pt>
                <c:pt idx="307" formatCode="General">
                  <c:v>107.6</c:v>
                </c:pt>
                <c:pt idx="308" formatCode="General">
                  <c:v>107.6</c:v>
                </c:pt>
                <c:pt idx="309" formatCode="General">
                  <c:v>107.6</c:v>
                </c:pt>
                <c:pt idx="310" formatCode="General">
                  <c:v>107.6</c:v>
                </c:pt>
                <c:pt idx="311" formatCode="General">
                  <c:v>107.7</c:v>
                </c:pt>
                <c:pt idx="312" formatCode="General">
                  <c:v>107.6</c:v>
                </c:pt>
                <c:pt idx="313" formatCode="General">
                  <c:v>107.6</c:v>
                </c:pt>
                <c:pt idx="314" formatCode="General">
                  <c:v>107.6</c:v>
                </c:pt>
                <c:pt idx="315" formatCode="General">
                  <c:v>107.6</c:v>
                </c:pt>
                <c:pt idx="316" formatCode="General">
                  <c:v>107.6</c:v>
                </c:pt>
                <c:pt idx="317" formatCode="General">
                  <c:v>107.6</c:v>
                </c:pt>
                <c:pt idx="318" formatCode="General">
                  <c:v>107.6</c:v>
                </c:pt>
                <c:pt idx="319" formatCode="General">
                  <c:v>107.6</c:v>
                </c:pt>
                <c:pt idx="320" formatCode="General">
                  <c:v>107.6</c:v>
                </c:pt>
                <c:pt idx="321" formatCode="General">
                  <c:v>107.6</c:v>
                </c:pt>
                <c:pt idx="322" formatCode="General">
                  <c:v>107.6</c:v>
                </c:pt>
                <c:pt idx="323" formatCode="General">
                  <c:v>107.6</c:v>
                </c:pt>
                <c:pt idx="324" formatCode="General">
                  <c:v>107.6</c:v>
                </c:pt>
                <c:pt idx="325" formatCode="General">
                  <c:v>107.6</c:v>
                </c:pt>
                <c:pt idx="326" formatCode="General">
                  <c:v>107.6</c:v>
                </c:pt>
                <c:pt idx="327" formatCode="General">
                  <c:v>107.6</c:v>
                </c:pt>
                <c:pt idx="328" formatCode="General">
                  <c:v>107.6</c:v>
                </c:pt>
                <c:pt idx="329" formatCode="General">
                  <c:v>107.6</c:v>
                </c:pt>
                <c:pt idx="330" formatCode="General">
                  <c:v>107.7</c:v>
                </c:pt>
                <c:pt idx="331" formatCode="General">
                  <c:v>107.6</c:v>
                </c:pt>
                <c:pt idx="332" formatCode="General">
                  <c:v>107.7</c:v>
                </c:pt>
                <c:pt idx="333" formatCode="General">
                  <c:v>107.7</c:v>
                </c:pt>
                <c:pt idx="334" formatCode="General">
                  <c:v>107.7</c:v>
                </c:pt>
                <c:pt idx="335" formatCode="General">
                  <c:v>107.7</c:v>
                </c:pt>
                <c:pt idx="336" formatCode="General">
                  <c:v>107.7</c:v>
                </c:pt>
                <c:pt idx="337" formatCode="General">
                  <c:v>107.7</c:v>
                </c:pt>
                <c:pt idx="338" formatCode="General">
                  <c:v>107.7</c:v>
                </c:pt>
                <c:pt idx="339" formatCode="General">
                  <c:v>107.7</c:v>
                </c:pt>
                <c:pt idx="340" formatCode="General">
                  <c:v>107.7</c:v>
                </c:pt>
                <c:pt idx="341" formatCode="General">
                  <c:v>107.8</c:v>
                </c:pt>
                <c:pt idx="342" formatCode="General">
                  <c:v>107.8</c:v>
                </c:pt>
                <c:pt idx="343" formatCode="General">
                  <c:v>107.8</c:v>
                </c:pt>
                <c:pt idx="344" formatCode="General">
                  <c:v>107.8</c:v>
                </c:pt>
                <c:pt idx="345" formatCode="General">
                  <c:v>107.8</c:v>
                </c:pt>
                <c:pt idx="346" formatCode="General">
                  <c:v>107.9</c:v>
                </c:pt>
                <c:pt idx="347" formatCode="General">
                  <c:v>107.9</c:v>
                </c:pt>
                <c:pt idx="348" formatCode="General">
                  <c:v>107.9</c:v>
                </c:pt>
                <c:pt idx="349" formatCode="General">
                  <c:v>107.9</c:v>
                </c:pt>
                <c:pt idx="350" formatCode="General">
                  <c:v>107.9</c:v>
                </c:pt>
                <c:pt idx="351" formatCode="General">
                  <c:v>107.9</c:v>
                </c:pt>
                <c:pt idx="352" formatCode="General">
                  <c:v>107.9</c:v>
                </c:pt>
                <c:pt idx="353" formatCode="General">
                  <c:v>107.9</c:v>
                </c:pt>
                <c:pt idx="354" formatCode="General">
                  <c:v>108</c:v>
                </c:pt>
                <c:pt idx="355" formatCode="General">
                  <c:v>108</c:v>
                </c:pt>
                <c:pt idx="356" formatCode="General">
                  <c:v>108</c:v>
                </c:pt>
                <c:pt idx="357" formatCode="General">
                  <c:v>108</c:v>
                </c:pt>
                <c:pt idx="358" formatCode="General">
                  <c:v>108</c:v>
                </c:pt>
                <c:pt idx="359" formatCode="General">
                  <c:v>108</c:v>
                </c:pt>
                <c:pt idx="360" formatCode="General">
                  <c:v>108</c:v>
                </c:pt>
                <c:pt idx="361" formatCode="General">
                  <c:v>108.1</c:v>
                </c:pt>
                <c:pt idx="362" formatCode="General">
                  <c:v>108.1</c:v>
                </c:pt>
                <c:pt idx="363" formatCode="General">
                  <c:v>108.1</c:v>
                </c:pt>
                <c:pt idx="364" formatCode="General">
                  <c:v>108.1</c:v>
                </c:pt>
                <c:pt idx="365" formatCode="General">
                  <c:v>108.1</c:v>
                </c:pt>
                <c:pt idx="366" formatCode="General">
                  <c:v>108.1</c:v>
                </c:pt>
                <c:pt idx="367" formatCode="General">
                  <c:v>108.1</c:v>
                </c:pt>
                <c:pt idx="368" formatCode="General">
                  <c:v>108.1</c:v>
                </c:pt>
                <c:pt idx="369" formatCode="General">
                  <c:v>108.1</c:v>
                </c:pt>
                <c:pt idx="370" formatCode="General">
                  <c:v>108.1</c:v>
                </c:pt>
                <c:pt idx="371" formatCode="General">
                  <c:v>108.1</c:v>
                </c:pt>
                <c:pt idx="372" formatCode="General">
                  <c:v>108.2</c:v>
                </c:pt>
                <c:pt idx="373" formatCode="General">
                  <c:v>108.1</c:v>
                </c:pt>
                <c:pt idx="374" formatCode="General">
                  <c:v>108.1</c:v>
                </c:pt>
                <c:pt idx="375" formatCode="General">
                  <c:v>108.1</c:v>
                </c:pt>
                <c:pt idx="376" formatCode="General">
                  <c:v>108</c:v>
                </c:pt>
                <c:pt idx="377" formatCode="General">
                  <c:v>108</c:v>
                </c:pt>
                <c:pt idx="378" formatCode="General">
                  <c:v>108</c:v>
                </c:pt>
                <c:pt idx="379" formatCode="General">
                  <c:v>108</c:v>
                </c:pt>
                <c:pt idx="380" formatCode="General">
                  <c:v>108</c:v>
                </c:pt>
                <c:pt idx="381" formatCode="General">
                  <c:v>108</c:v>
                </c:pt>
                <c:pt idx="382" formatCode="General">
                  <c:v>108.1</c:v>
                </c:pt>
                <c:pt idx="383" formatCode="General">
                  <c:v>108.1</c:v>
                </c:pt>
                <c:pt idx="384" formatCode="General">
                  <c:v>108</c:v>
                </c:pt>
                <c:pt idx="385" formatCode="General">
                  <c:v>108</c:v>
                </c:pt>
                <c:pt idx="386" formatCode="General">
                  <c:v>108</c:v>
                </c:pt>
                <c:pt idx="387" formatCode="General">
                  <c:v>108</c:v>
                </c:pt>
                <c:pt idx="388" formatCode="General">
                  <c:v>108</c:v>
                </c:pt>
                <c:pt idx="389" formatCode="General">
                  <c:v>107.9</c:v>
                </c:pt>
                <c:pt idx="390" formatCode="General">
                  <c:v>107.9</c:v>
                </c:pt>
                <c:pt idx="391" formatCode="General">
                  <c:v>107.9</c:v>
                </c:pt>
                <c:pt idx="392" formatCode="General">
                  <c:v>107.8</c:v>
                </c:pt>
                <c:pt idx="393" formatCode="General">
                  <c:v>107.9</c:v>
                </c:pt>
                <c:pt idx="394" formatCode="General">
                  <c:v>107.9</c:v>
                </c:pt>
                <c:pt idx="395" formatCode="General">
                  <c:v>107.8</c:v>
                </c:pt>
                <c:pt idx="396" formatCode="General">
                  <c:v>107.8</c:v>
                </c:pt>
                <c:pt idx="397" formatCode="General">
                  <c:v>107.8</c:v>
                </c:pt>
                <c:pt idx="398" formatCode="General">
                  <c:v>107.7</c:v>
                </c:pt>
                <c:pt idx="399" formatCode="General">
                  <c:v>107.7</c:v>
                </c:pt>
                <c:pt idx="400" formatCode="General">
                  <c:v>107.7</c:v>
                </c:pt>
                <c:pt idx="401" formatCode="General">
                  <c:v>107.6</c:v>
                </c:pt>
                <c:pt idx="402" formatCode="General">
                  <c:v>107.6</c:v>
                </c:pt>
                <c:pt idx="403" formatCode="General">
                  <c:v>107.5</c:v>
                </c:pt>
                <c:pt idx="404" formatCode="General">
                  <c:v>107.4</c:v>
                </c:pt>
                <c:pt idx="405" formatCode="General">
                  <c:v>107.4</c:v>
                </c:pt>
                <c:pt idx="406" formatCode="General">
                  <c:v>107.4</c:v>
                </c:pt>
                <c:pt idx="407" formatCode="General">
                  <c:v>107.3</c:v>
                </c:pt>
                <c:pt idx="408" formatCode="General">
                  <c:v>107.2</c:v>
                </c:pt>
                <c:pt idx="409" formatCode="General">
                  <c:v>107.2</c:v>
                </c:pt>
                <c:pt idx="410" formatCode="General">
                  <c:v>107.1</c:v>
                </c:pt>
                <c:pt idx="411" formatCode="General">
                  <c:v>107.1</c:v>
                </c:pt>
                <c:pt idx="412" formatCode="General">
                  <c:v>107</c:v>
                </c:pt>
                <c:pt idx="413" formatCode="General">
                  <c:v>107</c:v>
                </c:pt>
                <c:pt idx="414" formatCode="General">
                  <c:v>106.9</c:v>
                </c:pt>
                <c:pt idx="415" formatCode="General">
                  <c:v>106.8</c:v>
                </c:pt>
                <c:pt idx="416" formatCode="General">
                  <c:v>106.7</c:v>
                </c:pt>
                <c:pt idx="417" formatCode="General">
                  <c:v>106.7</c:v>
                </c:pt>
              </c:numCache>
            </c:numRef>
          </c:yVal>
        </c:ser>
        <c:axId val="38699008"/>
        <c:axId val="38700544"/>
      </c:scatterChart>
      <c:valAx>
        <c:axId val="38699008"/>
        <c:scaling>
          <c:orientation val="minMax"/>
          <c:max val="60"/>
        </c:scaling>
        <c:axPos val="b"/>
        <c:numFmt formatCode="#,##0" sourceLinked="0"/>
        <c:tickLblPos val="nextTo"/>
        <c:crossAx val="38700544"/>
        <c:crosses val="autoZero"/>
        <c:crossBetween val="midCat"/>
      </c:valAx>
      <c:valAx>
        <c:axId val="38700544"/>
        <c:scaling>
          <c:orientation val="minMax"/>
          <c:min val="0"/>
        </c:scaling>
        <c:axPos val="l"/>
        <c:majorGridlines/>
        <c:numFmt formatCode="General" sourceLinked="1"/>
        <c:tickLblPos val="nextTo"/>
        <c:crossAx val="38699008"/>
        <c:crosses val="autoZero"/>
        <c:crossBetween val="midCat"/>
      </c:valAx>
    </c:plotArea>
    <c:legend>
      <c:legendPos val="r"/>
    </c:legend>
    <c:plotVisOnly val="1"/>
    <c:dispBlanksAs val="gap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371475</xdr:colOff>
      <xdr:row>5</xdr:row>
      <xdr:rowOff>22412</xdr:rowOff>
    </xdr:from>
    <xdr:to>
      <xdr:col>25</xdr:col>
      <xdr:colOff>314325</xdr:colOff>
      <xdr:row>26</xdr:row>
      <xdr:rowOff>14240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135031</xdr:colOff>
      <xdr:row>1</xdr:row>
      <xdr:rowOff>66675</xdr:rowOff>
    </xdr:from>
    <xdr:to>
      <xdr:col>22</xdr:col>
      <xdr:colOff>435069</xdr:colOff>
      <xdr:row>5</xdr:row>
      <xdr:rowOff>28575</xdr:rowOff>
    </xdr:to>
    <xdr:pic>
      <xdr:nvPicPr>
        <xdr:cNvPr id="3" name="Object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498231" y="257175"/>
          <a:ext cx="2738438" cy="533400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266699</xdr:colOff>
      <xdr:row>4</xdr:row>
      <xdr:rowOff>66674</xdr:rowOff>
    </xdr:from>
    <xdr:to>
      <xdr:col>26</xdr:col>
      <xdr:colOff>603251</xdr:colOff>
      <xdr:row>28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29</xdr:row>
      <xdr:rowOff>0</xdr:rowOff>
    </xdr:from>
    <xdr:to>
      <xdr:col>26</xdr:col>
      <xdr:colOff>336552</xdr:colOff>
      <xdr:row>53</xdr:row>
      <xdr:rowOff>19051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600074</xdr:colOff>
      <xdr:row>2</xdr:row>
      <xdr:rowOff>9524</xdr:rowOff>
    </xdr:from>
    <xdr:to>
      <xdr:col>20</xdr:col>
      <xdr:colOff>590549</xdr:colOff>
      <xdr:row>21</xdr:row>
      <xdr:rowOff>41909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G101"/>
  <sheetViews>
    <sheetView tabSelected="1" zoomScale="85" zoomScaleNormal="85" workbookViewId="0">
      <pane xSplit="3" ySplit="3" topLeftCell="S4" activePane="bottomRight" state="frozenSplit"/>
      <selection activeCell="E28" sqref="E28 E28"/>
      <selection pane="topRight"/>
      <selection pane="bottomLeft"/>
      <selection pane="bottomRight"/>
    </sheetView>
  </sheetViews>
  <sheetFormatPr defaultColWidth="9.140625" defaultRowHeight="15"/>
  <cols>
    <col min="1" max="1" width="7.5703125" style="19" customWidth="1"/>
    <col min="2" max="2" width="10.5703125" style="19" customWidth="1"/>
    <col min="3" max="3" width="45.85546875" style="17" bestFit="1" customWidth="1"/>
    <col min="4" max="4" width="33.85546875" style="21" bestFit="1" customWidth="1"/>
    <col min="5" max="5" width="8.85546875" style="18" customWidth="1"/>
    <col min="6" max="6" width="12.7109375" style="22" bestFit="1" customWidth="1"/>
    <col min="7" max="7" width="13.85546875" style="22" bestFit="1" customWidth="1"/>
    <col min="8" max="8" width="13.42578125" style="22" bestFit="1" customWidth="1"/>
    <col min="9" max="9" width="15.42578125" style="22" bestFit="1" customWidth="1"/>
    <col min="10" max="10" width="13.85546875" style="22" bestFit="1" customWidth="1"/>
    <col min="11" max="11" width="13.85546875" style="28" bestFit="1" customWidth="1"/>
    <col min="12" max="12" width="14.5703125" style="29" bestFit="1" customWidth="1"/>
    <col min="13" max="13" width="12.7109375" style="29" bestFit="1" customWidth="1"/>
    <col min="14" max="14" width="14.5703125" style="37" bestFit="1" customWidth="1"/>
    <col min="15" max="15" width="13.85546875" style="31" bestFit="1" customWidth="1"/>
    <col min="16" max="16" width="12.7109375" style="31" bestFit="1" customWidth="1"/>
    <col min="17" max="17" width="15" style="31" bestFit="1" customWidth="1"/>
    <col min="18" max="18" width="12.7109375" style="31" bestFit="1" customWidth="1"/>
    <col min="19" max="19" width="15" style="31" bestFit="1" customWidth="1"/>
    <col min="20" max="20" width="12.7109375" style="31" bestFit="1" customWidth="1"/>
    <col min="21" max="21" width="16" style="32" bestFit="1" customWidth="1"/>
    <col min="22" max="22" width="15" style="32" bestFit="1" customWidth="1"/>
    <col min="23" max="23" width="14.28515625" style="33" bestFit="1" customWidth="1"/>
    <col min="24" max="24" width="15.5703125" style="34" bestFit="1" customWidth="1"/>
    <col min="25" max="25" width="16.5703125" style="34" bestFit="1" customWidth="1"/>
    <col min="26" max="26" width="14.42578125" style="34" bestFit="1" customWidth="1"/>
    <col min="27" max="27" width="15" style="34" bestFit="1" customWidth="1"/>
    <col min="28" max="28" width="9.140625" style="17" customWidth="1"/>
    <col min="29" max="16384" width="9.140625" style="17"/>
  </cols>
  <sheetData>
    <row r="1" spans="1:33" customFormat="1" ht="21.75" customHeight="1" thickBot="1">
      <c r="A1" s="65" t="s">
        <v>0</v>
      </c>
      <c r="B1" s="11"/>
      <c r="C1" s="6" t="s">
        <v>1</v>
      </c>
      <c r="D1" s="26"/>
      <c r="E1" s="27"/>
      <c r="F1" s="22"/>
      <c r="G1" s="22"/>
      <c r="H1" s="22"/>
      <c r="I1" s="22"/>
      <c r="J1" s="22"/>
      <c r="K1" s="28"/>
      <c r="L1" s="29"/>
      <c r="M1" s="29"/>
      <c r="N1" s="30"/>
      <c r="O1" s="31"/>
      <c r="P1" s="31"/>
      <c r="Q1" s="31"/>
      <c r="R1" s="31"/>
      <c r="S1" s="31"/>
      <c r="T1" s="31"/>
      <c r="U1" s="32"/>
      <c r="V1" s="32"/>
      <c r="W1" s="33"/>
      <c r="X1" s="34"/>
      <c r="Y1" s="34"/>
      <c r="Z1" s="34"/>
      <c r="AA1" s="34"/>
      <c r="AB1" s="17"/>
      <c r="AC1" s="17"/>
      <c r="AD1" s="17"/>
      <c r="AE1" s="17"/>
      <c r="AF1" s="17"/>
      <c r="AG1" s="17"/>
    </row>
    <row r="2" spans="1:33">
      <c r="A2" s="35"/>
      <c r="I2" s="22" t="s">
        <v>2</v>
      </c>
      <c r="J2" s="36">
        <v>0.95</v>
      </c>
      <c r="L2" s="23" t="s">
        <v>3</v>
      </c>
      <c r="M2" s="23" t="s">
        <v>3</v>
      </c>
    </row>
    <row r="3" spans="1:33" customFormat="1" ht="46.5" customHeight="1" thickBot="1">
      <c r="A3" s="12" t="s">
        <v>4</v>
      </c>
      <c r="B3" s="13" t="s">
        <v>5</v>
      </c>
      <c r="C3" s="13" t="s">
        <v>6</v>
      </c>
      <c r="D3" s="12" t="s">
        <v>7</v>
      </c>
      <c r="E3" s="12" t="s">
        <v>8</v>
      </c>
      <c r="F3" s="9" t="s">
        <v>9</v>
      </c>
      <c r="G3" s="9" t="s">
        <v>10</v>
      </c>
      <c r="H3" s="9" t="s">
        <v>11</v>
      </c>
      <c r="I3" s="9" t="s">
        <v>12</v>
      </c>
      <c r="J3" s="9" t="s">
        <v>13</v>
      </c>
      <c r="K3" s="9" t="s">
        <v>14</v>
      </c>
      <c r="L3" s="8" t="s">
        <v>15</v>
      </c>
      <c r="M3" s="8" t="s">
        <v>16</v>
      </c>
      <c r="N3" s="10" t="s">
        <v>14</v>
      </c>
      <c r="O3" s="9" t="s">
        <v>17</v>
      </c>
      <c r="P3" s="9" t="s">
        <v>18</v>
      </c>
      <c r="Q3" s="9" t="s">
        <v>19</v>
      </c>
      <c r="R3" s="9" t="s">
        <v>20</v>
      </c>
      <c r="S3" s="9" t="s">
        <v>21</v>
      </c>
      <c r="T3" s="9" t="s">
        <v>22</v>
      </c>
      <c r="U3" s="8" t="s">
        <v>23</v>
      </c>
      <c r="V3" s="8" t="s">
        <v>24</v>
      </c>
      <c r="W3" s="7" t="s">
        <v>25</v>
      </c>
      <c r="X3" s="15" t="s">
        <v>26</v>
      </c>
      <c r="Y3" s="15" t="s">
        <v>27</v>
      </c>
      <c r="Z3" s="15" t="s">
        <v>28</v>
      </c>
      <c r="AA3" s="15" t="s">
        <v>29</v>
      </c>
      <c r="AB3" s="17"/>
      <c r="AC3" s="17"/>
      <c r="AD3" s="17"/>
      <c r="AE3" s="17"/>
      <c r="AF3" s="17"/>
      <c r="AG3" s="17"/>
    </row>
    <row r="4" spans="1:33" customFormat="1" ht="15" customHeight="1">
      <c r="A4" s="19"/>
      <c r="B4" s="20"/>
      <c r="C4" s="17"/>
      <c r="D4" s="21"/>
      <c r="E4" s="18"/>
      <c r="F4" s="30"/>
      <c r="G4" s="23"/>
      <c r="H4" s="30"/>
      <c r="I4" s="30"/>
      <c r="J4" s="24"/>
      <c r="K4" s="5"/>
      <c r="L4" s="3"/>
      <c r="M4" s="3"/>
      <c r="N4" s="5"/>
      <c r="O4" s="25"/>
      <c r="P4" s="25"/>
      <c r="Q4" s="25"/>
      <c r="R4" s="25"/>
      <c r="S4" s="25"/>
      <c r="T4" s="25"/>
      <c r="U4" s="25"/>
      <c r="V4" s="25"/>
      <c r="W4" s="19"/>
      <c r="X4" s="64"/>
      <c r="Y4" s="64"/>
      <c r="Z4" s="64"/>
      <c r="AA4" s="64"/>
      <c r="AB4" s="17"/>
      <c r="AC4" s="17"/>
      <c r="AD4" s="17"/>
      <c r="AE4" s="17"/>
      <c r="AF4" s="17"/>
      <c r="AG4" s="17"/>
    </row>
    <row r="5" spans="1:33" customFormat="1" ht="15" customHeight="1">
      <c r="A5" s="19"/>
      <c r="B5" s="20"/>
      <c r="C5" s="17"/>
      <c r="D5" s="21"/>
      <c r="E5" s="18"/>
      <c r="F5" s="23"/>
      <c r="G5" s="23"/>
      <c r="H5" s="23"/>
      <c r="I5" s="23"/>
      <c r="J5" s="24"/>
      <c r="K5" s="5"/>
      <c r="L5" s="3"/>
      <c r="M5" s="3"/>
      <c r="N5" s="5"/>
      <c r="O5" s="25"/>
      <c r="P5" s="25"/>
      <c r="Q5" s="25"/>
      <c r="R5" s="25"/>
      <c r="S5" s="25"/>
      <c r="T5" s="25"/>
      <c r="U5" s="25"/>
      <c r="V5" s="25"/>
      <c r="W5" s="61"/>
      <c r="X5" s="34"/>
      <c r="Y5" s="34"/>
      <c r="Z5" s="34"/>
      <c r="AA5" s="34"/>
      <c r="AB5" s="17"/>
      <c r="AC5" s="17"/>
      <c r="AD5" s="17"/>
      <c r="AE5" s="17"/>
      <c r="AF5" s="17"/>
      <c r="AG5" s="17"/>
    </row>
    <row r="6" spans="1:33" customFormat="1" ht="15" customHeight="1">
      <c r="A6" s="19"/>
      <c r="B6" s="20"/>
      <c r="C6" s="17"/>
      <c r="D6" s="21"/>
      <c r="E6" s="18"/>
      <c r="F6" s="30"/>
      <c r="G6" s="23"/>
      <c r="H6" s="23"/>
      <c r="I6" s="23"/>
      <c r="J6" s="24"/>
      <c r="K6" s="5"/>
      <c r="L6" s="2"/>
      <c r="M6" s="2"/>
      <c r="N6" s="5"/>
      <c r="O6" s="39"/>
      <c r="P6" s="39"/>
      <c r="Q6" s="39"/>
      <c r="R6" s="39"/>
      <c r="S6" s="32"/>
      <c r="T6" s="32"/>
      <c r="U6" s="32"/>
      <c r="V6" s="32"/>
      <c r="W6" s="62"/>
      <c r="X6" s="38"/>
      <c r="Y6" s="38"/>
      <c r="Z6" s="38"/>
      <c r="AA6" s="38"/>
      <c r="AB6" s="17"/>
      <c r="AC6" s="39"/>
      <c r="AD6" s="39"/>
      <c r="AE6" s="17"/>
      <c r="AF6" s="17"/>
      <c r="AG6" s="17"/>
    </row>
    <row r="7" spans="1:33" customFormat="1" ht="15" customHeight="1" thickBot="1">
      <c r="A7" s="40"/>
      <c r="B7" s="41"/>
      <c r="C7" s="42"/>
      <c r="D7" s="43"/>
      <c r="E7" s="40"/>
      <c r="F7" s="8"/>
      <c r="G7" s="8"/>
      <c r="H7" s="8"/>
      <c r="I7" s="8"/>
      <c r="J7" s="16"/>
      <c r="K7" s="4"/>
      <c r="L7" s="1"/>
      <c r="M7" s="1"/>
      <c r="N7" s="4"/>
      <c r="O7" s="14"/>
      <c r="P7" s="14"/>
      <c r="Q7" s="14"/>
      <c r="R7" s="14"/>
      <c r="S7" s="14"/>
      <c r="T7" s="14"/>
      <c r="U7" s="14"/>
      <c r="V7" s="14"/>
      <c r="W7" s="63"/>
      <c r="X7" s="44"/>
      <c r="Y7" s="44"/>
      <c r="Z7" s="44"/>
      <c r="AA7" s="44"/>
      <c r="AB7" s="17"/>
      <c r="AC7" s="39"/>
      <c r="AD7" s="39"/>
      <c r="AE7" s="17"/>
      <c r="AF7" s="17"/>
      <c r="AG7" s="17"/>
    </row>
    <row r="8" spans="1:33" customFormat="1" ht="15" customHeight="1">
      <c r="A8" s="19"/>
      <c r="B8" s="20"/>
      <c r="C8" s="17"/>
      <c r="D8" s="21"/>
      <c r="E8" s="18"/>
      <c r="F8" s="30"/>
      <c r="G8" s="23"/>
      <c r="H8" s="23"/>
      <c r="I8" s="23"/>
      <c r="J8" s="24"/>
      <c r="K8" s="5"/>
      <c r="L8" s="3"/>
      <c r="M8" s="3"/>
      <c r="N8" s="5"/>
      <c r="O8" s="25"/>
      <c r="P8" s="25"/>
      <c r="Q8" s="25"/>
      <c r="R8" s="25"/>
      <c r="S8" s="25"/>
      <c r="T8" s="25"/>
      <c r="U8" s="25"/>
      <c r="V8" s="25"/>
      <c r="W8" s="19"/>
      <c r="X8" s="64"/>
      <c r="Y8" s="64"/>
      <c r="Z8" s="64"/>
      <c r="AA8" s="64"/>
      <c r="AB8" s="17"/>
      <c r="AC8" s="17"/>
      <c r="AD8" s="17"/>
      <c r="AE8" s="17"/>
      <c r="AF8" s="17"/>
      <c r="AG8" s="17"/>
    </row>
    <row r="9" spans="1:33" customFormat="1" ht="15" customHeight="1">
      <c r="A9" s="19"/>
      <c r="B9" s="20"/>
      <c r="C9" s="17"/>
      <c r="D9" s="21"/>
      <c r="E9" s="18"/>
      <c r="F9" s="23"/>
      <c r="G9" s="23"/>
      <c r="H9" s="23"/>
      <c r="I9" s="23"/>
      <c r="J9" s="24"/>
      <c r="K9" s="5"/>
      <c r="L9" s="3"/>
      <c r="M9" s="3"/>
      <c r="N9" s="5"/>
      <c r="O9" s="25"/>
      <c r="P9" s="25"/>
      <c r="Q9" s="25"/>
      <c r="R9" s="25"/>
      <c r="S9" s="25"/>
      <c r="T9" s="25"/>
      <c r="U9" s="25"/>
      <c r="V9" s="25"/>
      <c r="W9" s="19"/>
      <c r="X9" s="64"/>
      <c r="Y9" s="64"/>
      <c r="Z9" s="64"/>
      <c r="AA9" s="64"/>
      <c r="AB9" s="17"/>
      <c r="AC9" s="17"/>
      <c r="AD9" s="17"/>
      <c r="AE9" s="17"/>
      <c r="AF9" s="17"/>
      <c r="AG9" s="17"/>
    </row>
    <row r="10" spans="1:33" customFormat="1" ht="15" customHeight="1">
      <c r="A10" s="19"/>
      <c r="B10" s="20"/>
      <c r="C10" s="17"/>
      <c r="D10" s="21"/>
      <c r="E10" s="18"/>
      <c r="F10" s="23"/>
      <c r="G10" s="23"/>
      <c r="H10" s="23"/>
      <c r="I10" s="23"/>
      <c r="J10" s="24"/>
      <c r="K10" s="5"/>
      <c r="L10" s="2"/>
      <c r="M10" s="2"/>
      <c r="N10" s="5"/>
      <c r="O10" s="39"/>
      <c r="P10" s="39"/>
      <c r="Q10" s="39"/>
      <c r="R10" s="39"/>
      <c r="S10" s="32"/>
      <c r="T10" s="32"/>
      <c r="U10" s="32"/>
      <c r="V10" s="32"/>
      <c r="W10" s="62"/>
      <c r="X10" s="38"/>
      <c r="Y10" s="38"/>
      <c r="Z10" s="38"/>
      <c r="AA10" s="38"/>
      <c r="AB10" s="17"/>
      <c r="AC10" s="17"/>
      <c r="AD10" s="17"/>
      <c r="AE10" s="17"/>
      <c r="AF10" s="17"/>
      <c r="AG10" s="17"/>
    </row>
    <row r="11" spans="1:33" customFormat="1" ht="15" customHeight="1" thickBot="1">
      <c r="A11" s="40"/>
      <c r="B11" s="41"/>
      <c r="C11" s="42"/>
      <c r="D11" s="43"/>
      <c r="E11" s="40"/>
      <c r="F11" s="8"/>
      <c r="G11" s="8"/>
      <c r="H11" s="8"/>
      <c r="I11" s="8"/>
      <c r="J11" s="16"/>
      <c r="K11" s="4"/>
      <c r="L11" s="1"/>
      <c r="M11" s="1"/>
      <c r="N11" s="4"/>
      <c r="O11" s="14"/>
      <c r="P11" s="14"/>
      <c r="Q11" s="14"/>
      <c r="R11" s="14"/>
      <c r="S11" s="14"/>
      <c r="T11" s="14"/>
      <c r="U11" s="14"/>
      <c r="V11" s="14"/>
      <c r="W11" s="63"/>
      <c r="X11" s="44"/>
      <c r="Y11" s="44"/>
      <c r="Z11" s="44"/>
      <c r="AA11" s="44"/>
      <c r="AB11" s="17"/>
      <c r="AC11" s="17"/>
      <c r="AD11" s="17"/>
      <c r="AE11" s="17"/>
      <c r="AF11" s="17"/>
      <c r="AG11" s="17"/>
    </row>
    <row r="12" spans="1:33" customFormat="1" ht="15" customHeight="1">
      <c r="A12" s="19"/>
      <c r="B12" s="20"/>
      <c r="C12" s="17"/>
      <c r="D12" s="21"/>
      <c r="E12" s="18"/>
      <c r="F12" s="30"/>
      <c r="G12" s="23"/>
      <c r="H12" s="30"/>
      <c r="I12" s="30"/>
      <c r="J12" s="24"/>
      <c r="K12" s="5"/>
      <c r="L12" s="3"/>
      <c r="M12" s="3"/>
      <c r="N12" s="5"/>
      <c r="O12" s="25"/>
      <c r="P12" s="25"/>
      <c r="Q12" s="25"/>
      <c r="R12" s="25"/>
      <c r="S12" s="25"/>
      <c r="T12" s="25"/>
      <c r="U12" s="25"/>
      <c r="V12" s="25"/>
      <c r="W12" s="19"/>
      <c r="X12" s="64"/>
      <c r="Y12" s="64"/>
      <c r="Z12" s="64"/>
      <c r="AA12" s="64"/>
      <c r="AB12" s="17"/>
      <c r="AC12" s="17"/>
      <c r="AD12" s="17"/>
      <c r="AE12" s="17"/>
      <c r="AF12" s="17"/>
      <c r="AG12" s="17"/>
    </row>
    <row r="13" spans="1:33" customFormat="1" ht="15" customHeight="1">
      <c r="A13" s="19"/>
      <c r="B13" s="20"/>
      <c r="C13" s="17"/>
      <c r="D13" s="21"/>
      <c r="E13" s="18"/>
      <c r="F13" s="23"/>
      <c r="G13" s="23"/>
      <c r="H13" s="23"/>
      <c r="I13" s="23"/>
      <c r="J13" s="24"/>
      <c r="K13" s="5"/>
      <c r="L13" s="3"/>
      <c r="M13" s="3"/>
      <c r="N13" s="5"/>
      <c r="O13" s="25"/>
      <c r="P13" s="25"/>
      <c r="Q13" s="25"/>
      <c r="R13" s="25"/>
      <c r="S13" s="25"/>
      <c r="T13" s="25"/>
      <c r="U13" s="25"/>
      <c r="V13" s="25"/>
      <c r="W13" s="19"/>
      <c r="X13" s="64"/>
      <c r="Y13" s="64"/>
      <c r="Z13" s="64"/>
      <c r="AA13" s="64"/>
      <c r="AB13" s="17"/>
      <c r="AC13" s="17"/>
      <c r="AD13" s="17"/>
      <c r="AE13" s="17"/>
      <c r="AF13" s="17"/>
      <c r="AG13" s="17"/>
    </row>
    <row r="14" spans="1:33" customFormat="1" ht="15" customHeight="1">
      <c r="A14" s="19"/>
      <c r="B14" s="20"/>
      <c r="C14" s="17"/>
      <c r="D14" s="21"/>
      <c r="E14" s="18"/>
      <c r="F14" s="30"/>
      <c r="G14" s="23"/>
      <c r="H14" s="23"/>
      <c r="I14" s="23"/>
      <c r="J14" s="24"/>
      <c r="K14" s="5"/>
      <c r="L14" s="2"/>
      <c r="M14" s="2"/>
      <c r="N14" s="5"/>
      <c r="O14" s="39"/>
      <c r="P14" s="39"/>
      <c r="Q14" s="39"/>
      <c r="R14" s="39"/>
      <c r="S14" s="32"/>
      <c r="T14" s="32"/>
      <c r="U14" s="32"/>
      <c r="V14" s="32"/>
      <c r="W14" s="62"/>
      <c r="X14" s="38"/>
      <c r="Y14" s="38"/>
      <c r="Z14" s="38"/>
      <c r="AA14" s="38"/>
      <c r="AB14" s="17"/>
      <c r="AC14" s="17"/>
      <c r="AD14" s="17"/>
      <c r="AE14" s="17"/>
      <c r="AF14" s="17"/>
      <c r="AG14" s="17"/>
    </row>
    <row r="15" spans="1:33" customFormat="1" ht="15" customHeight="1" thickBot="1">
      <c r="A15" s="40"/>
      <c r="B15" s="41"/>
      <c r="C15" s="42"/>
      <c r="D15" s="43"/>
      <c r="E15" s="40"/>
      <c r="F15" s="8"/>
      <c r="G15" s="8"/>
      <c r="H15" s="8"/>
      <c r="I15" s="8"/>
      <c r="J15" s="16"/>
      <c r="K15" s="4"/>
      <c r="L15" s="1"/>
      <c r="M15" s="1"/>
      <c r="N15" s="4"/>
      <c r="O15" s="14"/>
      <c r="P15" s="14"/>
      <c r="Q15" s="14"/>
      <c r="R15" s="14"/>
      <c r="S15" s="14"/>
      <c r="T15" s="14"/>
      <c r="U15" s="14"/>
      <c r="V15" s="14"/>
      <c r="W15" s="63"/>
      <c r="X15" s="44"/>
      <c r="Y15" s="44"/>
      <c r="Z15" s="44"/>
      <c r="AA15" s="44"/>
      <c r="AB15" s="17"/>
      <c r="AC15" s="17"/>
      <c r="AD15" s="17"/>
      <c r="AE15" s="17"/>
      <c r="AF15" s="17"/>
      <c r="AG15" s="17"/>
    </row>
    <row r="16" spans="1:33" customFormat="1" ht="15" customHeight="1">
      <c r="A16" s="19"/>
      <c r="B16" s="20"/>
      <c r="C16" s="17"/>
      <c r="D16" s="21"/>
      <c r="E16" s="18"/>
      <c r="F16" s="30"/>
      <c r="G16" s="23"/>
      <c r="H16" s="30"/>
      <c r="I16" s="30"/>
      <c r="J16" s="24"/>
      <c r="K16" s="5"/>
      <c r="L16" s="3"/>
      <c r="M16" s="3"/>
      <c r="N16" s="5"/>
      <c r="O16" s="25"/>
      <c r="P16" s="25"/>
      <c r="Q16" s="25"/>
      <c r="R16" s="25"/>
      <c r="S16" s="25"/>
      <c r="T16" s="25"/>
      <c r="U16" s="25"/>
      <c r="V16" s="25"/>
      <c r="W16" s="19"/>
      <c r="X16" s="64"/>
      <c r="Y16" s="64"/>
      <c r="Z16" s="64"/>
      <c r="AA16" s="64"/>
      <c r="AB16" s="17"/>
      <c r="AC16" s="17"/>
      <c r="AD16" s="17"/>
      <c r="AE16" s="17"/>
      <c r="AF16" s="17"/>
      <c r="AG16" s="17"/>
    </row>
    <row r="17" spans="1:33" customFormat="1" ht="15" customHeight="1">
      <c r="A17" s="19"/>
      <c r="B17" s="20"/>
      <c r="C17" s="17"/>
      <c r="D17" s="21"/>
      <c r="E17" s="18"/>
      <c r="F17" s="23"/>
      <c r="G17" s="23"/>
      <c r="H17" s="23"/>
      <c r="I17" s="23"/>
      <c r="J17" s="24"/>
      <c r="K17" s="5"/>
      <c r="L17" s="3"/>
      <c r="M17" s="3"/>
      <c r="N17" s="5"/>
      <c r="O17" s="25"/>
      <c r="P17" s="25"/>
      <c r="Q17" s="25"/>
      <c r="R17" s="25"/>
      <c r="S17" s="25"/>
      <c r="T17" s="25"/>
      <c r="U17" s="25"/>
      <c r="V17" s="25"/>
      <c r="W17" s="61"/>
      <c r="X17" s="34"/>
      <c r="Y17" s="34"/>
      <c r="Z17" s="34"/>
      <c r="AA17" s="34"/>
      <c r="AB17" s="17"/>
      <c r="AC17" s="17"/>
      <c r="AD17" s="17"/>
      <c r="AE17" s="17"/>
      <c r="AF17" s="17"/>
      <c r="AG17" s="17"/>
    </row>
    <row r="18" spans="1:33" customFormat="1" ht="15" customHeight="1">
      <c r="A18" s="19"/>
      <c r="B18" s="20"/>
      <c r="C18" s="17"/>
      <c r="D18" s="21"/>
      <c r="E18" s="18"/>
      <c r="F18" s="30"/>
      <c r="G18" s="23"/>
      <c r="H18" s="23"/>
      <c r="I18" s="23"/>
      <c r="J18" s="24"/>
      <c r="K18" s="5"/>
      <c r="L18" s="2"/>
      <c r="M18" s="2"/>
      <c r="N18" s="5"/>
      <c r="O18" s="39"/>
      <c r="P18" s="39"/>
      <c r="Q18" s="39"/>
      <c r="R18" s="39"/>
      <c r="S18" s="32"/>
      <c r="T18" s="32"/>
      <c r="U18" s="32"/>
      <c r="V18" s="32"/>
      <c r="W18" s="62"/>
      <c r="X18" s="38"/>
      <c r="Y18" s="38"/>
      <c r="Z18" s="38"/>
      <c r="AA18" s="38"/>
      <c r="AB18" s="17"/>
      <c r="AC18" s="17"/>
      <c r="AD18" s="17"/>
      <c r="AE18" s="17"/>
      <c r="AF18" s="17"/>
      <c r="AG18" s="17"/>
    </row>
    <row r="19" spans="1:33" customFormat="1" ht="15" customHeight="1" thickBot="1">
      <c r="A19" s="40"/>
      <c r="B19" s="41"/>
      <c r="C19" s="42"/>
      <c r="D19" s="43"/>
      <c r="E19" s="40"/>
      <c r="F19" s="8"/>
      <c r="G19" s="8"/>
      <c r="H19" s="8"/>
      <c r="I19" s="8"/>
      <c r="J19" s="16"/>
      <c r="K19" s="4"/>
      <c r="L19" s="1"/>
      <c r="M19" s="1"/>
      <c r="N19" s="4"/>
      <c r="O19" s="14"/>
      <c r="P19" s="14"/>
      <c r="Q19" s="14"/>
      <c r="R19" s="14"/>
      <c r="S19" s="14"/>
      <c r="T19" s="14"/>
      <c r="U19" s="14"/>
      <c r="V19" s="14"/>
      <c r="W19" s="63"/>
      <c r="X19" s="44"/>
      <c r="Y19" s="44"/>
      <c r="Z19" s="44"/>
      <c r="AA19" s="44"/>
      <c r="AB19" s="17"/>
      <c r="AC19" s="17"/>
      <c r="AD19" s="17"/>
      <c r="AE19" s="17"/>
      <c r="AF19" s="17"/>
      <c r="AG19" s="17"/>
    </row>
    <row r="20" spans="1:33" customFormat="1" ht="15" customHeight="1">
      <c r="A20" s="19"/>
      <c r="B20" s="20"/>
      <c r="C20" s="17"/>
      <c r="D20" s="21"/>
      <c r="E20" s="18"/>
      <c r="F20" s="30"/>
      <c r="G20" s="23"/>
      <c r="H20" s="23"/>
      <c r="I20" s="23"/>
      <c r="J20" s="24"/>
      <c r="K20" s="5"/>
      <c r="L20" s="3"/>
      <c r="M20" s="3"/>
      <c r="N20" s="5"/>
      <c r="O20" s="25"/>
      <c r="P20" s="25"/>
      <c r="Q20" s="25"/>
      <c r="R20" s="25"/>
      <c r="S20" s="25"/>
      <c r="T20" s="25"/>
      <c r="U20" s="25"/>
      <c r="V20" s="25"/>
      <c r="W20" s="19"/>
      <c r="X20" s="64"/>
      <c r="Y20" s="64"/>
      <c r="Z20" s="64"/>
      <c r="AA20" s="64"/>
      <c r="AB20" s="17"/>
      <c r="AC20" s="17"/>
      <c r="AD20" s="17"/>
      <c r="AE20" s="17"/>
      <c r="AF20" s="17"/>
      <c r="AG20" s="17"/>
    </row>
    <row r="21" spans="1:33" customFormat="1" ht="15" customHeight="1">
      <c r="A21" s="19"/>
      <c r="B21" s="20"/>
      <c r="C21" s="17"/>
      <c r="D21" s="21"/>
      <c r="E21" s="18"/>
      <c r="F21" s="23"/>
      <c r="G21" s="23"/>
      <c r="H21" s="23"/>
      <c r="I21" s="23"/>
      <c r="J21" s="24"/>
      <c r="K21" s="5"/>
      <c r="L21" s="3"/>
      <c r="M21" s="3"/>
      <c r="N21" s="5"/>
      <c r="O21" s="25"/>
      <c r="P21" s="25"/>
      <c r="Q21" s="25"/>
      <c r="R21" s="25"/>
      <c r="S21" s="25"/>
      <c r="T21" s="25"/>
      <c r="U21" s="25"/>
      <c r="V21" s="25"/>
      <c r="W21" s="19"/>
      <c r="X21" s="64"/>
      <c r="Y21" s="64"/>
      <c r="Z21" s="64"/>
      <c r="AA21" s="64"/>
      <c r="AB21" s="17"/>
      <c r="AC21" s="17"/>
      <c r="AD21" s="17"/>
      <c r="AE21" s="17"/>
      <c r="AF21" s="17"/>
      <c r="AG21" s="17"/>
    </row>
    <row r="22" spans="1:33" customFormat="1" ht="15" customHeight="1">
      <c r="A22" s="19"/>
      <c r="B22" s="20"/>
      <c r="C22" s="17"/>
      <c r="D22" s="21"/>
      <c r="E22" s="18"/>
      <c r="F22" s="23"/>
      <c r="G22" s="23"/>
      <c r="H22" s="23"/>
      <c r="I22" s="23"/>
      <c r="J22" s="24"/>
      <c r="K22" s="5"/>
      <c r="L22" s="2"/>
      <c r="M22" s="2"/>
      <c r="N22" s="5"/>
      <c r="O22" s="39"/>
      <c r="P22" s="39"/>
      <c r="Q22" s="39"/>
      <c r="R22" s="39"/>
      <c r="S22" s="32"/>
      <c r="T22" s="32"/>
      <c r="U22" s="32"/>
      <c r="V22" s="32"/>
      <c r="W22" s="62"/>
      <c r="X22" s="38"/>
      <c r="Y22" s="38"/>
      <c r="Z22" s="38"/>
      <c r="AA22" s="38"/>
      <c r="AB22" s="17"/>
      <c r="AC22" s="17"/>
      <c r="AD22" s="17"/>
      <c r="AE22" s="17"/>
      <c r="AF22" s="17"/>
      <c r="AG22" s="17"/>
    </row>
    <row r="23" spans="1:33" customFormat="1" ht="15" customHeight="1" thickBot="1">
      <c r="A23" s="40"/>
      <c r="B23" s="41"/>
      <c r="C23" s="42"/>
      <c r="D23" s="43"/>
      <c r="E23" s="40"/>
      <c r="F23" s="8"/>
      <c r="G23" s="8"/>
      <c r="H23" s="8"/>
      <c r="I23" s="8"/>
      <c r="J23" s="16"/>
      <c r="K23" s="4"/>
      <c r="L23" s="1"/>
      <c r="M23" s="1"/>
      <c r="N23" s="4"/>
      <c r="O23" s="14"/>
      <c r="P23" s="14"/>
      <c r="Q23" s="14"/>
      <c r="R23" s="14"/>
      <c r="S23" s="14"/>
      <c r="T23" s="14"/>
      <c r="U23" s="14"/>
      <c r="V23" s="14"/>
      <c r="W23" s="63"/>
      <c r="X23" s="44"/>
      <c r="Y23" s="44"/>
      <c r="Z23" s="44"/>
      <c r="AA23" s="44"/>
      <c r="AB23" s="17"/>
      <c r="AC23" s="17"/>
      <c r="AD23" s="17"/>
      <c r="AE23" s="17"/>
      <c r="AF23" s="17"/>
      <c r="AG23" s="17"/>
    </row>
    <row r="24" spans="1:33" customFormat="1" ht="15" customHeight="1">
      <c r="A24" s="19"/>
      <c r="B24" s="20"/>
      <c r="C24" s="17"/>
      <c r="D24" s="21"/>
      <c r="E24" s="18"/>
      <c r="F24" s="30"/>
      <c r="G24" s="23"/>
      <c r="H24" s="30"/>
      <c r="I24" s="30"/>
      <c r="J24" s="24"/>
      <c r="K24" s="5"/>
      <c r="L24" s="3"/>
      <c r="M24" s="3"/>
      <c r="N24" s="5"/>
      <c r="O24" s="25"/>
      <c r="P24" s="25"/>
      <c r="Q24" s="25"/>
      <c r="R24" s="25"/>
      <c r="S24" s="25"/>
      <c r="T24" s="25"/>
      <c r="U24" s="25"/>
      <c r="V24" s="25"/>
      <c r="W24" s="19"/>
      <c r="X24" s="64"/>
      <c r="Y24" s="64"/>
      <c r="Z24" s="64"/>
      <c r="AA24" s="64"/>
      <c r="AB24" s="17"/>
      <c r="AC24" s="17"/>
      <c r="AD24" s="17"/>
      <c r="AE24" s="17"/>
      <c r="AF24" s="17"/>
      <c r="AG24" s="17"/>
    </row>
    <row r="25" spans="1:33" customFormat="1" ht="15" customHeight="1">
      <c r="A25" s="19"/>
      <c r="B25" s="20"/>
      <c r="C25" s="17"/>
      <c r="D25" s="21"/>
      <c r="E25" s="18"/>
      <c r="F25" s="23"/>
      <c r="G25" s="23"/>
      <c r="H25" s="23"/>
      <c r="I25" s="23"/>
      <c r="J25" s="24"/>
      <c r="K25" s="5"/>
      <c r="L25" s="3"/>
      <c r="M25" s="3"/>
      <c r="N25" s="5"/>
      <c r="O25" s="25"/>
      <c r="P25" s="25"/>
      <c r="Q25" s="25"/>
      <c r="R25" s="25"/>
      <c r="S25" s="25"/>
      <c r="T25" s="25"/>
      <c r="U25" s="25"/>
      <c r="V25" s="25"/>
      <c r="W25" s="19"/>
      <c r="X25" s="64"/>
      <c r="Y25" s="64"/>
      <c r="Z25" s="64"/>
      <c r="AA25" s="64"/>
      <c r="AB25" s="17"/>
      <c r="AC25" s="17"/>
      <c r="AD25" s="17"/>
      <c r="AE25" s="17"/>
      <c r="AF25" s="17"/>
      <c r="AG25" s="17"/>
    </row>
    <row r="26" spans="1:33" customFormat="1" ht="15" customHeight="1">
      <c r="A26" s="19"/>
      <c r="B26" s="20"/>
      <c r="C26" s="17"/>
      <c r="D26" s="21"/>
      <c r="E26" s="18"/>
      <c r="F26" s="30"/>
      <c r="G26" s="23"/>
      <c r="H26" s="23"/>
      <c r="I26" s="23"/>
      <c r="J26" s="24"/>
      <c r="K26" s="5"/>
      <c r="L26" s="2"/>
      <c r="M26" s="2"/>
      <c r="N26" s="5"/>
      <c r="O26" s="39"/>
      <c r="P26" s="39"/>
      <c r="Q26" s="39"/>
      <c r="R26" s="39"/>
      <c r="S26" s="32"/>
      <c r="T26" s="32"/>
      <c r="U26" s="32"/>
      <c r="V26" s="32"/>
      <c r="W26" s="62"/>
      <c r="X26" s="38"/>
      <c r="Y26" s="38"/>
      <c r="Z26" s="38"/>
      <c r="AA26" s="38"/>
      <c r="AB26" s="17"/>
      <c r="AC26" s="17"/>
      <c r="AD26" s="17"/>
      <c r="AE26" s="17"/>
      <c r="AF26" s="17"/>
      <c r="AG26" s="17"/>
    </row>
    <row r="27" spans="1:33" customFormat="1" ht="15" customHeight="1" thickBot="1">
      <c r="A27" s="40"/>
      <c r="B27" s="41"/>
      <c r="C27" s="42"/>
      <c r="D27" s="43"/>
      <c r="E27" s="40"/>
      <c r="F27" s="8"/>
      <c r="G27" s="8"/>
      <c r="H27" s="8"/>
      <c r="I27" s="8"/>
      <c r="J27" s="16"/>
      <c r="K27" s="4"/>
      <c r="L27" s="1"/>
      <c r="M27" s="1"/>
      <c r="N27" s="4"/>
      <c r="O27" s="14"/>
      <c r="P27" s="14"/>
      <c r="Q27" s="14"/>
      <c r="R27" s="14"/>
      <c r="S27" s="14"/>
      <c r="T27" s="14"/>
      <c r="U27" s="14"/>
      <c r="V27" s="14"/>
      <c r="W27" s="63"/>
      <c r="X27" s="44"/>
      <c r="Y27" s="44"/>
      <c r="Z27" s="44"/>
      <c r="AA27" s="44"/>
      <c r="AB27" s="17"/>
      <c r="AC27" s="17"/>
      <c r="AD27" s="17"/>
      <c r="AE27" s="17"/>
      <c r="AF27" s="17"/>
      <c r="AG27" s="17"/>
    </row>
    <row r="28" spans="1:33" customFormat="1" ht="15" customHeight="1">
      <c r="A28" s="19"/>
      <c r="B28" s="20"/>
      <c r="C28" s="17"/>
      <c r="D28" s="21"/>
      <c r="E28" s="18"/>
      <c r="F28" s="30"/>
      <c r="G28" s="23"/>
      <c r="H28" s="30"/>
      <c r="I28" s="30"/>
      <c r="J28" s="24"/>
      <c r="K28" s="5"/>
      <c r="L28" s="3"/>
      <c r="M28" s="3"/>
      <c r="N28" s="5"/>
      <c r="O28" s="25"/>
      <c r="P28" s="25"/>
      <c r="Q28" s="25"/>
      <c r="R28" s="25"/>
      <c r="S28" s="25"/>
      <c r="T28" s="25"/>
      <c r="U28" s="25"/>
      <c r="V28" s="25"/>
      <c r="W28" s="19"/>
      <c r="X28" s="64"/>
      <c r="Y28" s="64"/>
      <c r="Z28" s="64"/>
      <c r="AA28" s="64"/>
      <c r="AB28" s="17"/>
      <c r="AC28" s="17"/>
      <c r="AD28" s="17"/>
      <c r="AE28" s="17"/>
      <c r="AF28" s="17"/>
      <c r="AG28" s="17"/>
    </row>
    <row r="29" spans="1:33" customFormat="1" ht="15" customHeight="1">
      <c r="A29" s="19"/>
      <c r="B29" s="20"/>
      <c r="C29" s="17"/>
      <c r="D29" s="21"/>
      <c r="E29" s="18"/>
      <c r="F29" s="23"/>
      <c r="G29" s="23"/>
      <c r="H29" s="23"/>
      <c r="I29" s="23"/>
      <c r="J29" s="24"/>
      <c r="K29" s="5"/>
      <c r="L29" s="3"/>
      <c r="M29" s="3"/>
      <c r="N29" s="5"/>
      <c r="O29" s="25"/>
      <c r="P29" s="25"/>
      <c r="Q29" s="25"/>
      <c r="R29" s="25"/>
      <c r="S29" s="25"/>
      <c r="T29" s="25"/>
      <c r="U29" s="25"/>
      <c r="V29" s="25"/>
      <c r="W29" s="61"/>
      <c r="X29" s="34"/>
      <c r="Y29" s="34"/>
      <c r="Z29" s="34"/>
      <c r="AA29" s="34"/>
      <c r="AB29" s="17"/>
      <c r="AC29" s="17"/>
      <c r="AD29" s="17"/>
      <c r="AE29" s="17"/>
      <c r="AF29" s="17"/>
      <c r="AG29" s="17"/>
    </row>
    <row r="30" spans="1:33" customFormat="1" ht="15" customHeight="1">
      <c r="A30" s="19"/>
      <c r="B30" s="20"/>
      <c r="C30" s="17"/>
      <c r="D30" s="21"/>
      <c r="E30" s="18"/>
      <c r="F30" s="30"/>
      <c r="G30" s="23"/>
      <c r="H30" s="23"/>
      <c r="I30" s="23"/>
      <c r="J30" s="24"/>
      <c r="K30" s="5"/>
      <c r="L30" s="2"/>
      <c r="M30" s="2"/>
      <c r="N30" s="5"/>
      <c r="O30" s="39"/>
      <c r="P30" s="39"/>
      <c r="Q30" s="39"/>
      <c r="R30" s="39"/>
      <c r="S30" s="32"/>
      <c r="T30" s="32"/>
      <c r="U30" s="32"/>
      <c r="V30" s="32"/>
      <c r="W30" s="62"/>
      <c r="X30" s="38"/>
      <c r="Y30" s="38"/>
      <c r="Z30" s="38"/>
      <c r="AA30" s="38"/>
      <c r="AB30" s="17"/>
      <c r="AC30" s="17"/>
      <c r="AD30" s="17"/>
      <c r="AE30" s="17"/>
      <c r="AF30" s="17"/>
      <c r="AG30" s="17"/>
    </row>
    <row r="31" spans="1:33" customFormat="1" ht="15" customHeight="1" thickBot="1">
      <c r="A31" s="40"/>
      <c r="B31" s="41"/>
      <c r="C31" s="42"/>
      <c r="D31" s="43"/>
      <c r="E31" s="40"/>
      <c r="F31" s="8"/>
      <c r="G31" s="8"/>
      <c r="H31" s="8"/>
      <c r="I31" s="8"/>
      <c r="J31" s="16"/>
      <c r="K31" s="4"/>
      <c r="L31" s="1"/>
      <c r="M31" s="1"/>
      <c r="N31" s="4"/>
      <c r="O31" s="14"/>
      <c r="P31" s="14"/>
      <c r="Q31" s="14"/>
      <c r="R31" s="14"/>
      <c r="S31" s="14"/>
      <c r="T31" s="14"/>
      <c r="U31" s="14"/>
      <c r="V31" s="14"/>
      <c r="W31" s="63"/>
      <c r="X31" s="44"/>
      <c r="Y31" s="44"/>
      <c r="Z31" s="44"/>
      <c r="AA31" s="44"/>
      <c r="AB31" s="17"/>
      <c r="AC31" s="17"/>
      <c r="AD31" s="17"/>
      <c r="AE31" s="17"/>
      <c r="AF31" s="17"/>
      <c r="AG31" s="17"/>
    </row>
    <row r="32" spans="1:33" customFormat="1" ht="15" customHeight="1">
      <c r="A32" s="19"/>
      <c r="B32" s="20"/>
      <c r="C32" s="17"/>
      <c r="D32" s="21"/>
      <c r="E32" s="18"/>
      <c r="F32" s="30"/>
      <c r="G32" s="23"/>
      <c r="H32" s="23"/>
      <c r="I32" s="23"/>
      <c r="J32" s="24"/>
      <c r="K32" s="5"/>
      <c r="L32" s="3"/>
      <c r="M32" s="3"/>
      <c r="N32" s="5"/>
      <c r="O32" s="25"/>
      <c r="P32" s="25"/>
      <c r="Q32" s="25"/>
      <c r="R32" s="25"/>
      <c r="S32" s="25"/>
      <c r="T32" s="25"/>
      <c r="U32" s="25"/>
      <c r="V32" s="25"/>
      <c r="W32" s="19"/>
      <c r="X32" s="64"/>
      <c r="Y32" s="64"/>
      <c r="Z32" s="64"/>
      <c r="AA32" s="64"/>
      <c r="AB32" s="17"/>
      <c r="AC32" s="17"/>
      <c r="AD32" s="17"/>
      <c r="AE32" s="17"/>
      <c r="AF32" s="17"/>
      <c r="AG32" s="17"/>
    </row>
    <row r="33" spans="1:33" customFormat="1" ht="15" customHeight="1">
      <c r="A33" s="19"/>
      <c r="B33" s="20"/>
      <c r="C33" s="17"/>
      <c r="D33" s="21"/>
      <c r="E33" s="18"/>
      <c r="F33" s="23"/>
      <c r="G33" s="23"/>
      <c r="H33" s="23"/>
      <c r="I33" s="23"/>
      <c r="J33" s="24"/>
      <c r="K33" s="5"/>
      <c r="L33" s="3"/>
      <c r="M33" s="3"/>
      <c r="N33" s="5"/>
      <c r="O33" s="25"/>
      <c r="P33" s="25"/>
      <c r="Q33" s="25"/>
      <c r="R33" s="25"/>
      <c r="S33" s="25"/>
      <c r="T33" s="25"/>
      <c r="U33" s="25"/>
      <c r="V33" s="25"/>
      <c r="W33" s="19"/>
      <c r="X33" s="64"/>
      <c r="Y33" s="64"/>
      <c r="Z33" s="64"/>
      <c r="AA33" s="64"/>
      <c r="AB33" s="17"/>
      <c r="AC33" s="17"/>
      <c r="AD33" s="17"/>
      <c r="AE33" s="17"/>
      <c r="AF33" s="17"/>
      <c r="AG33" s="17"/>
    </row>
    <row r="34" spans="1:33" customFormat="1" ht="15" customHeight="1">
      <c r="A34" s="19"/>
      <c r="B34" s="20"/>
      <c r="C34" s="17"/>
      <c r="D34" s="21"/>
      <c r="E34" s="18"/>
      <c r="F34" s="23"/>
      <c r="G34" s="23"/>
      <c r="H34" s="23"/>
      <c r="I34" s="23"/>
      <c r="J34" s="24"/>
      <c r="K34" s="5"/>
      <c r="L34" s="2"/>
      <c r="M34" s="2"/>
      <c r="N34" s="5"/>
      <c r="O34" s="39"/>
      <c r="P34" s="39"/>
      <c r="Q34" s="39"/>
      <c r="R34" s="39"/>
      <c r="S34" s="32"/>
      <c r="T34" s="32"/>
      <c r="U34" s="32"/>
      <c r="V34" s="32"/>
      <c r="W34" s="62"/>
      <c r="X34" s="38"/>
      <c r="Y34" s="38"/>
      <c r="Z34" s="38"/>
      <c r="AA34" s="38"/>
      <c r="AB34" s="17"/>
      <c r="AC34" s="17"/>
      <c r="AD34" s="17"/>
      <c r="AE34" s="17"/>
      <c r="AF34" s="17"/>
      <c r="AG34" s="17"/>
    </row>
    <row r="35" spans="1:33" customFormat="1" ht="15" customHeight="1" thickBot="1">
      <c r="A35" s="40"/>
      <c r="B35" s="41"/>
      <c r="C35" s="42"/>
      <c r="D35" s="43"/>
      <c r="E35" s="40"/>
      <c r="F35" s="8"/>
      <c r="G35" s="8"/>
      <c r="H35" s="8"/>
      <c r="I35" s="8"/>
      <c r="J35" s="16"/>
      <c r="K35" s="4"/>
      <c r="L35" s="1"/>
      <c r="M35" s="1"/>
      <c r="N35" s="4"/>
      <c r="O35" s="14"/>
      <c r="P35" s="14"/>
      <c r="Q35" s="14"/>
      <c r="R35" s="14"/>
      <c r="S35" s="14"/>
      <c r="T35" s="14"/>
      <c r="U35" s="14"/>
      <c r="V35" s="14"/>
      <c r="W35" s="63"/>
      <c r="X35" s="44"/>
      <c r="Y35" s="44"/>
      <c r="Z35" s="44"/>
      <c r="AA35" s="44"/>
      <c r="AB35" s="17"/>
      <c r="AC35" s="17"/>
      <c r="AD35" s="17"/>
      <c r="AE35" s="17"/>
      <c r="AF35" s="17"/>
      <c r="AG35" s="17"/>
    </row>
    <row r="36" spans="1:33" customFormat="1" ht="15" customHeight="1">
      <c r="A36" s="19"/>
      <c r="B36" s="20"/>
      <c r="C36" s="17"/>
      <c r="D36" s="21"/>
      <c r="E36" s="18"/>
      <c r="F36" s="30"/>
      <c r="G36" s="23"/>
      <c r="H36" s="30"/>
      <c r="I36" s="30"/>
      <c r="J36" s="24"/>
      <c r="K36" s="5"/>
      <c r="L36" s="3"/>
      <c r="M36" s="3"/>
      <c r="N36" s="5"/>
      <c r="O36" s="25"/>
      <c r="P36" s="25"/>
      <c r="Q36" s="25"/>
      <c r="R36" s="25"/>
      <c r="S36" s="25"/>
      <c r="T36" s="25"/>
      <c r="U36" s="25"/>
      <c r="V36" s="25"/>
      <c r="W36" s="19"/>
      <c r="X36" s="64"/>
      <c r="Y36" s="64"/>
      <c r="Z36" s="64"/>
      <c r="AA36" s="64"/>
      <c r="AB36" s="17"/>
      <c r="AC36" s="17"/>
      <c r="AD36" s="17"/>
      <c r="AE36" s="17"/>
      <c r="AF36" s="17"/>
      <c r="AG36" s="17"/>
    </row>
    <row r="37" spans="1:33" customFormat="1" ht="15" customHeight="1">
      <c r="A37" s="19"/>
      <c r="B37" s="20"/>
      <c r="C37" s="17"/>
      <c r="D37" s="21"/>
      <c r="E37" s="18"/>
      <c r="F37" s="23"/>
      <c r="G37" s="23"/>
      <c r="H37" s="23"/>
      <c r="I37" s="23"/>
      <c r="J37" s="24"/>
      <c r="K37" s="5"/>
      <c r="L37" s="3"/>
      <c r="M37" s="3"/>
      <c r="N37" s="5"/>
      <c r="O37" s="25"/>
      <c r="P37" s="25"/>
      <c r="Q37" s="25"/>
      <c r="R37" s="25"/>
      <c r="S37" s="25"/>
      <c r="T37" s="25"/>
      <c r="U37" s="25"/>
      <c r="V37" s="25"/>
      <c r="W37" s="19"/>
      <c r="X37" s="64"/>
      <c r="Y37" s="64"/>
      <c r="Z37" s="64"/>
      <c r="AA37" s="64"/>
      <c r="AB37" s="17"/>
      <c r="AC37" s="17"/>
      <c r="AD37" s="17"/>
      <c r="AE37" s="17"/>
      <c r="AF37" s="17"/>
      <c r="AG37" s="17"/>
    </row>
    <row r="38" spans="1:33" customFormat="1" ht="15" customHeight="1">
      <c r="A38" s="19"/>
      <c r="B38" s="20"/>
      <c r="C38" s="17"/>
      <c r="D38" s="21"/>
      <c r="E38" s="18"/>
      <c r="F38" s="30"/>
      <c r="G38" s="23"/>
      <c r="H38" s="23"/>
      <c r="I38" s="23"/>
      <c r="J38" s="24"/>
      <c r="K38" s="5"/>
      <c r="L38" s="2"/>
      <c r="M38" s="2"/>
      <c r="N38" s="5"/>
      <c r="O38" s="39"/>
      <c r="P38" s="39"/>
      <c r="Q38" s="39"/>
      <c r="R38" s="39"/>
      <c r="S38" s="32"/>
      <c r="T38" s="32"/>
      <c r="U38" s="32"/>
      <c r="V38" s="32"/>
      <c r="W38" s="62"/>
      <c r="X38" s="38"/>
      <c r="Y38" s="38"/>
      <c r="Z38" s="38"/>
      <c r="AA38" s="38"/>
      <c r="AB38" s="17"/>
      <c r="AC38" s="17"/>
      <c r="AD38" s="17"/>
      <c r="AE38" s="17"/>
      <c r="AF38" s="17"/>
      <c r="AG38" s="17"/>
    </row>
    <row r="39" spans="1:33" customFormat="1" ht="15" customHeight="1" thickBot="1">
      <c r="A39" s="40"/>
      <c r="B39" s="41"/>
      <c r="C39" s="42"/>
      <c r="D39" s="43"/>
      <c r="E39" s="40"/>
      <c r="F39" s="8"/>
      <c r="G39" s="8"/>
      <c r="H39" s="8"/>
      <c r="I39" s="8"/>
      <c r="J39" s="16"/>
      <c r="K39" s="4"/>
      <c r="L39" s="1"/>
      <c r="M39" s="1"/>
      <c r="N39" s="4"/>
      <c r="O39" s="14"/>
      <c r="P39" s="14"/>
      <c r="Q39" s="14"/>
      <c r="R39" s="14"/>
      <c r="S39" s="14"/>
      <c r="T39" s="14"/>
      <c r="U39" s="14"/>
      <c r="V39" s="14"/>
      <c r="W39" s="63"/>
      <c r="X39" s="44"/>
      <c r="Y39" s="44"/>
      <c r="Z39" s="44"/>
      <c r="AA39" s="44"/>
    </row>
    <row r="40" spans="1:33" customFormat="1" ht="15" customHeight="1">
      <c r="A40" s="19"/>
      <c r="B40" s="20"/>
      <c r="C40" s="17"/>
      <c r="D40" s="21"/>
      <c r="E40" s="18"/>
      <c r="F40" s="30"/>
      <c r="G40" s="23"/>
      <c r="H40" s="30"/>
      <c r="I40" s="30"/>
      <c r="J40" s="24"/>
      <c r="K40" s="5"/>
      <c r="L40" s="3"/>
      <c r="M40" s="3"/>
      <c r="N40" s="5"/>
      <c r="O40" s="25"/>
      <c r="P40" s="25"/>
      <c r="Q40" s="25"/>
      <c r="R40" s="25"/>
      <c r="S40" s="25"/>
      <c r="T40" s="25"/>
      <c r="U40" s="25"/>
      <c r="V40" s="25"/>
      <c r="W40" s="19"/>
      <c r="X40" s="64"/>
      <c r="Y40" s="64"/>
      <c r="Z40" s="64"/>
      <c r="AA40" s="64"/>
      <c r="AB40" s="17"/>
      <c r="AC40" s="17"/>
      <c r="AD40" s="17"/>
      <c r="AE40" s="17"/>
      <c r="AF40" s="17"/>
      <c r="AG40" s="17"/>
    </row>
    <row r="41" spans="1:33" customFormat="1" ht="15" customHeight="1">
      <c r="A41" s="19"/>
      <c r="B41" s="20"/>
      <c r="C41" s="17"/>
      <c r="D41" s="21"/>
      <c r="E41" s="18"/>
      <c r="F41" s="23"/>
      <c r="G41" s="23"/>
      <c r="H41" s="23"/>
      <c r="I41" s="23"/>
      <c r="J41" s="24"/>
      <c r="K41" s="5"/>
      <c r="L41" s="3"/>
      <c r="M41" s="3"/>
      <c r="N41" s="5"/>
      <c r="O41" s="25"/>
      <c r="P41" s="25"/>
      <c r="Q41" s="25"/>
      <c r="R41" s="25"/>
      <c r="S41" s="25"/>
      <c r="T41" s="25"/>
      <c r="U41" s="25"/>
      <c r="V41" s="25"/>
      <c r="W41" s="61"/>
      <c r="X41" s="34"/>
      <c r="Y41" s="34"/>
      <c r="Z41" s="34"/>
      <c r="AA41" s="34"/>
      <c r="AB41" s="17"/>
      <c r="AC41" s="17"/>
      <c r="AD41" s="17"/>
      <c r="AE41" s="17"/>
      <c r="AF41" s="17"/>
      <c r="AG41" s="17"/>
    </row>
    <row r="42" spans="1:33" customFormat="1" ht="15" customHeight="1">
      <c r="A42" s="19"/>
      <c r="B42" s="20"/>
      <c r="C42" s="17"/>
      <c r="D42" s="21"/>
      <c r="E42" s="18"/>
      <c r="F42" s="30"/>
      <c r="G42" s="23"/>
      <c r="H42" s="23"/>
      <c r="I42" s="23"/>
      <c r="J42" s="24"/>
      <c r="K42" s="5"/>
      <c r="L42" s="2"/>
      <c r="M42" s="2"/>
      <c r="N42" s="5"/>
      <c r="O42" s="39"/>
      <c r="P42" s="39"/>
      <c r="Q42" s="39"/>
      <c r="R42" s="39"/>
      <c r="S42" s="32"/>
      <c r="T42" s="32"/>
      <c r="U42" s="32"/>
      <c r="V42" s="32"/>
      <c r="W42" s="62"/>
      <c r="X42" s="38"/>
      <c r="Y42" s="38"/>
      <c r="Z42" s="38"/>
      <c r="AA42" s="38"/>
      <c r="AB42" s="17"/>
      <c r="AC42" s="17"/>
      <c r="AD42" s="17"/>
      <c r="AE42" s="17"/>
      <c r="AF42" s="17"/>
      <c r="AG42" s="17"/>
    </row>
    <row r="43" spans="1:33" customFormat="1" ht="15" customHeight="1" thickBot="1">
      <c r="A43" s="40"/>
      <c r="B43" s="41"/>
      <c r="C43" s="42"/>
      <c r="D43" s="43"/>
      <c r="E43" s="40"/>
      <c r="F43" s="8"/>
      <c r="G43" s="8"/>
      <c r="H43" s="8"/>
      <c r="I43" s="8"/>
      <c r="J43" s="16"/>
      <c r="K43" s="4"/>
      <c r="L43" s="1"/>
      <c r="M43" s="1"/>
      <c r="N43" s="4"/>
      <c r="O43" s="14"/>
      <c r="P43" s="14"/>
      <c r="Q43" s="14"/>
      <c r="R43" s="14"/>
      <c r="S43" s="14"/>
      <c r="T43" s="14"/>
      <c r="U43" s="14"/>
      <c r="V43" s="14"/>
      <c r="W43" s="63"/>
      <c r="X43" s="44"/>
      <c r="Y43" s="44"/>
      <c r="Z43" s="44"/>
      <c r="AA43" s="44"/>
      <c r="AB43" s="17"/>
      <c r="AC43" s="17"/>
      <c r="AD43" s="17"/>
      <c r="AE43" s="17"/>
      <c r="AF43" s="17"/>
      <c r="AG43" s="17"/>
    </row>
    <row r="44" spans="1:33" customFormat="1" ht="15" customHeight="1">
      <c r="A44" s="19"/>
      <c r="B44" s="20"/>
      <c r="C44" s="17"/>
      <c r="D44" s="21"/>
      <c r="E44" s="18"/>
      <c r="F44" s="30"/>
      <c r="G44" s="23"/>
      <c r="H44" s="23"/>
      <c r="I44" s="23"/>
      <c r="J44" s="24"/>
      <c r="K44" s="5"/>
      <c r="L44" s="3"/>
      <c r="M44" s="3"/>
      <c r="N44" s="5"/>
      <c r="O44" s="25"/>
      <c r="P44" s="25"/>
      <c r="Q44" s="25"/>
      <c r="R44" s="25"/>
      <c r="S44" s="25"/>
      <c r="T44" s="25"/>
      <c r="U44" s="25"/>
      <c r="V44" s="25"/>
      <c r="W44" s="19"/>
      <c r="X44" s="64"/>
      <c r="Y44" s="64"/>
      <c r="Z44" s="64"/>
      <c r="AA44" s="64"/>
      <c r="AB44" s="17"/>
      <c r="AC44" s="17"/>
      <c r="AD44" s="17"/>
      <c r="AE44" s="17"/>
      <c r="AF44" s="17"/>
      <c r="AG44" s="17"/>
    </row>
    <row r="45" spans="1:33" customFormat="1" ht="15" customHeight="1">
      <c r="A45" s="19"/>
      <c r="B45" s="20"/>
      <c r="C45" s="17"/>
      <c r="D45" s="21"/>
      <c r="E45" s="18"/>
      <c r="F45" s="23"/>
      <c r="G45" s="23"/>
      <c r="H45" s="23"/>
      <c r="I45" s="23"/>
      <c r="J45" s="24"/>
      <c r="K45" s="5"/>
      <c r="L45" s="3"/>
      <c r="M45" s="3"/>
      <c r="N45" s="5"/>
      <c r="O45" s="25"/>
      <c r="P45" s="25"/>
      <c r="Q45" s="25"/>
      <c r="R45" s="25"/>
      <c r="S45" s="25"/>
      <c r="T45" s="25"/>
      <c r="U45" s="25"/>
      <c r="V45" s="25"/>
      <c r="W45" s="19"/>
      <c r="X45" s="64"/>
      <c r="Y45" s="64"/>
      <c r="Z45" s="64"/>
      <c r="AA45" s="64"/>
      <c r="AB45" s="17"/>
      <c r="AC45" s="17"/>
      <c r="AD45" s="17"/>
      <c r="AE45" s="17"/>
      <c r="AF45" s="17"/>
      <c r="AG45" s="17"/>
    </row>
    <row r="46" spans="1:33" customFormat="1" ht="15" customHeight="1">
      <c r="A46" s="19"/>
      <c r="B46" s="20"/>
      <c r="C46" s="17"/>
      <c r="D46" s="21"/>
      <c r="E46" s="18"/>
      <c r="F46" s="23"/>
      <c r="G46" s="23"/>
      <c r="H46" s="23"/>
      <c r="I46" s="23"/>
      <c r="J46" s="24"/>
      <c r="K46" s="5"/>
      <c r="L46" s="2"/>
      <c r="M46" s="2"/>
      <c r="N46" s="5"/>
      <c r="O46" s="39"/>
      <c r="P46" s="39"/>
      <c r="Q46" s="39"/>
      <c r="R46" s="39"/>
      <c r="S46" s="32"/>
      <c r="T46" s="32"/>
      <c r="U46" s="32"/>
      <c r="V46" s="32"/>
      <c r="W46" s="62"/>
      <c r="X46" s="38"/>
      <c r="Y46" s="38"/>
      <c r="Z46" s="38"/>
      <c r="AA46" s="38"/>
      <c r="AB46" s="17"/>
      <c r="AC46" s="17"/>
      <c r="AD46" s="17"/>
      <c r="AE46" s="17"/>
      <c r="AF46" s="17"/>
      <c r="AG46" s="17"/>
    </row>
    <row r="47" spans="1:33" customFormat="1" ht="15" customHeight="1" thickBot="1">
      <c r="A47" s="40"/>
      <c r="B47" s="41"/>
      <c r="C47" s="42"/>
      <c r="D47" s="43"/>
      <c r="E47" s="40"/>
      <c r="F47" s="8"/>
      <c r="G47" s="8"/>
      <c r="H47" s="8"/>
      <c r="I47" s="8"/>
      <c r="J47" s="16"/>
      <c r="K47" s="4"/>
      <c r="L47" s="1"/>
      <c r="M47" s="1"/>
      <c r="N47" s="4"/>
      <c r="O47" s="14"/>
      <c r="P47" s="14"/>
      <c r="Q47" s="14"/>
      <c r="R47" s="14"/>
      <c r="S47" s="14"/>
      <c r="T47" s="14"/>
      <c r="U47" s="14"/>
      <c r="V47" s="14"/>
      <c r="W47" s="63"/>
      <c r="X47" s="44"/>
      <c r="Y47" s="44"/>
      <c r="Z47" s="44"/>
      <c r="AA47" s="44"/>
      <c r="AB47" s="17"/>
      <c r="AC47" s="17"/>
      <c r="AD47" s="17"/>
      <c r="AE47" s="17"/>
      <c r="AF47" s="17"/>
      <c r="AG47" s="17"/>
    </row>
    <row r="48" spans="1:33" customFormat="1" ht="15" customHeight="1">
      <c r="A48" s="19"/>
      <c r="B48" s="20"/>
      <c r="C48" s="17"/>
      <c r="D48" s="21"/>
      <c r="E48" s="18"/>
      <c r="F48" s="30"/>
      <c r="G48" s="23"/>
      <c r="H48" s="30"/>
      <c r="I48" s="30"/>
      <c r="J48" s="24"/>
      <c r="K48" s="5"/>
      <c r="L48" s="3"/>
      <c r="M48" s="3"/>
      <c r="N48" s="5"/>
      <c r="O48" s="25"/>
      <c r="P48" s="25"/>
      <c r="Q48" s="25"/>
      <c r="R48" s="25"/>
      <c r="S48" s="25"/>
      <c r="T48" s="25"/>
      <c r="U48" s="25"/>
      <c r="V48" s="25"/>
      <c r="W48" s="19"/>
      <c r="X48" s="64"/>
      <c r="Y48" s="64"/>
      <c r="Z48" s="64"/>
      <c r="AA48" s="64"/>
      <c r="AB48" s="17"/>
      <c r="AC48" s="17"/>
      <c r="AD48" s="17"/>
      <c r="AE48" s="17"/>
      <c r="AF48" s="17"/>
      <c r="AG48" s="17"/>
    </row>
    <row r="49" spans="1:33" customFormat="1" ht="15" customHeight="1">
      <c r="A49" s="19"/>
      <c r="B49" s="20"/>
      <c r="C49" s="17"/>
      <c r="D49" s="21"/>
      <c r="E49" s="18"/>
      <c r="F49" s="23"/>
      <c r="G49" s="23"/>
      <c r="H49" s="23"/>
      <c r="I49" s="23"/>
      <c r="J49" s="24"/>
      <c r="K49" s="5"/>
      <c r="L49" s="3"/>
      <c r="M49" s="3"/>
      <c r="N49" s="5"/>
      <c r="O49" s="25"/>
      <c r="P49" s="25"/>
      <c r="Q49" s="25"/>
      <c r="R49" s="25"/>
      <c r="S49" s="25"/>
      <c r="T49" s="25"/>
      <c r="U49" s="25"/>
      <c r="V49" s="25"/>
      <c r="W49" s="19"/>
      <c r="X49" s="64"/>
      <c r="Y49" s="64"/>
      <c r="Z49" s="64"/>
      <c r="AA49" s="64"/>
      <c r="AB49" s="17"/>
      <c r="AC49" s="17"/>
      <c r="AD49" s="17"/>
      <c r="AE49" s="17"/>
      <c r="AF49" s="17"/>
      <c r="AG49" s="17"/>
    </row>
    <row r="50" spans="1:33" customFormat="1" ht="15" customHeight="1">
      <c r="A50" s="19"/>
      <c r="B50" s="20"/>
      <c r="C50" s="17"/>
      <c r="D50" s="21"/>
      <c r="E50" s="18"/>
      <c r="F50" s="30"/>
      <c r="G50" s="23"/>
      <c r="H50" s="23"/>
      <c r="I50" s="23"/>
      <c r="J50" s="24"/>
      <c r="K50" s="5"/>
      <c r="L50" s="2"/>
      <c r="M50" s="2"/>
      <c r="N50" s="5"/>
      <c r="O50" s="39"/>
      <c r="P50" s="39"/>
      <c r="Q50" s="39"/>
      <c r="R50" s="39"/>
      <c r="S50" s="32"/>
      <c r="T50" s="32"/>
      <c r="U50" s="32"/>
      <c r="V50" s="32"/>
      <c r="W50" s="62"/>
      <c r="X50" s="38"/>
      <c r="Y50" s="38"/>
      <c r="Z50" s="38"/>
      <c r="AA50" s="38"/>
      <c r="AB50" s="17"/>
      <c r="AC50" s="17"/>
      <c r="AD50" s="17"/>
      <c r="AE50" s="17"/>
      <c r="AF50" s="17"/>
      <c r="AG50" s="17"/>
    </row>
    <row r="51" spans="1:33" customFormat="1" ht="15" customHeight="1" thickBot="1">
      <c r="A51" s="40"/>
      <c r="B51" s="41"/>
      <c r="C51" s="42"/>
      <c r="D51" s="43"/>
      <c r="E51" s="40"/>
      <c r="F51" s="8"/>
      <c r="G51" s="8"/>
      <c r="H51" s="8"/>
      <c r="I51" s="8"/>
      <c r="J51" s="16"/>
      <c r="K51" s="4"/>
      <c r="L51" s="1"/>
      <c r="M51" s="1"/>
      <c r="N51" s="4"/>
      <c r="O51" s="14"/>
      <c r="P51" s="14"/>
      <c r="Q51" s="14"/>
      <c r="R51" s="14"/>
      <c r="S51" s="14"/>
      <c r="T51" s="14"/>
      <c r="U51" s="14"/>
      <c r="V51" s="14"/>
      <c r="W51" s="63"/>
      <c r="X51" s="44"/>
      <c r="Y51" s="44"/>
      <c r="Z51" s="44"/>
      <c r="AA51" s="44"/>
      <c r="AB51" s="17"/>
      <c r="AC51" s="17"/>
      <c r="AD51" s="17"/>
      <c r="AE51" s="17"/>
      <c r="AF51" s="17"/>
      <c r="AG51" s="17"/>
    </row>
    <row r="52" spans="1:33" customFormat="1" ht="15" customHeight="1">
      <c r="A52" s="19"/>
      <c r="B52" s="20"/>
      <c r="C52" s="17"/>
      <c r="D52" s="21"/>
      <c r="E52" s="18"/>
      <c r="F52" s="30"/>
      <c r="G52" s="23"/>
      <c r="H52" s="30"/>
      <c r="I52" s="30"/>
      <c r="J52" s="24"/>
      <c r="K52" s="5"/>
      <c r="L52" s="3"/>
      <c r="M52" s="3"/>
      <c r="N52" s="5"/>
      <c r="O52" s="25"/>
      <c r="P52" s="25"/>
      <c r="Q52" s="25"/>
      <c r="R52" s="25"/>
      <c r="S52" s="25"/>
      <c r="T52" s="25"/>
      <c r="U52" s="25"/>
      <c r="V52" s="25"/>
      <c r="W52" s="19"/>
      <c r="X52" s="64"/>
      <c r="Y52" s="64"/>
      <c r="Z52" s="64"/>
      <c r="AA52" s="64"/>
      <c r="AB52" s="17"/>
      <c r="AC52" s="17"/>
      <c r="AD52" s="17"/>
      <c r="AE52" s="17"/>
      <c r="AF52" s="17"/>
      <c r="AG52" s="17"/>
    </row>
    <row r="53" spans="1:33" customFormat="1" ht="15" customHeight="1">
      <c r="A53" s="19"/>
      <c r="B53" s="20"/>
      <c r="C53" s="17"/>
      <c r="D53" s="21"/>
      <c r="E53" s="18"/>
      <c r="F53" s="23"/>
      <c r="G53" s="23"/>
      <c r="H53" s="23"/>
      <c r="I53" s="23"/>
      <c r="J53" s="24"/>
      <c r="K53" s="5"/>
      <c r="L53" s="3"/>
      <c r="M53" s="3"/>
      <c r="N53" s="5"/>
      <c r="O53" s="25"/>
      <c r="P53" s="25"/>
      <c r="Q53" s="25"/>
      <c r="R53" s="25"/>
      <c r="S53" s="25"/>
      <c r="T53" s="25"/>
      <c r="U53" s="25"/>
      <c r="V53" s="25"/>
      <c r="W53" s="61"/>
      <c r="X53" s="34"/>
      <c r="Y53" s="34"/>
      <c r="Z53" s="34"/>
      <c r="AA53" s="34"/>
      <c r="AB53" s="17"/>
      <c r="AC53" s="17"/>
      <c r="AD53" s="17"/>
      <c r="AE53" s="17"/>
      <c r="AF53" s="17"/>
      <c r="AG53" s="17"/>
    </row>
    <row r="54" spans="1:33" customFormat="1" ht="15" customHeight="1">
      <c r="A54" s="19"/>
      <c r="B54" s="20"/>
      <c r="C54" s="17"/>
      <c r="D54" s="21"/>
      <c r="E54" s="18"/>
      <c r="F54" s="30"/>
      <c r="G54" s="23"/>
      <c r="H54" s="23"/>
      <c r="I54" s="23"/>
      <c r="J54" s="24"/>
      <c r="K54" s="5"/>
      <c r="L54" s="2"/>
      <c r="M54" s="2"/>
      <c r="N54" s="5"/>
      <c r="O54" s="39"/>
      <c r="P54" s="39"/>
      <c r="Q54" s="39"/>
      <c r="R54" s="39"/>
      <c r="S54" s="32"/>
      <c r="T54" s="32"/>
      <c r="U54" s="32"/>
      <c r="V54" s="32"/>
      <c r="W54" s="62"/>
      <c r="X54" s="38"/>
      <c r="Y54" s="38"/>
      <c r="Z54" s="38"/>
      <c r="AA54" s="38"/>
      <c r="AB54" s="17"/>
      <c r="AC54" s="17"/>
      <c r="AD54" s="17"/>
      <c r="AE54" s="17"/>
      <c r="AF54" s="17"/>
      <c r="AG54" s="17"/>
    </row>
    <row r="55" spans="1:33" customFormat="1" ht="15" customHeight="1" thickBot="1">
      <c r="A55" s="40"/>
      <c r="B55" s="41"/>
      <c r="C55" s="42"/>
      <c r="D55" s="43"/>
      <c r="E55" s="40"/>
      <c r="F55" s="8"/>
      <c r="G55" s="8"/>
      <c r="H55" s="8"/>
      <c r="I55" s="8"/>
      <c r="J55" s="16"/>
      <c r="K55" s="4"/>
      <c r="L55" s="1"/>
      <c r="M55" s="1"/>
      <c r="N55" s="4"/>
      <c r="O55" s="14"/>
      <c r="P55" s="14"/>
      <c r="Q55" s="14"/>
      <c r="R55" s="14"/>
      <c r="S55" s="14"/>
      <c r="T55" s="14"/>
      <c r="U55" s="14"/>
      <c r="V55" s="14"/>
      <c r="W55" s="63"/>
      <c r="X55" s="44"/>
      <c r="Y55" s="44"/>
      <c r="Z55" s="44"/>
      <c r="AA55" s="44"/>
      <c r="AB55" s="17"/>
      <c r="AC55" s="17"/>
      <c r="AD55" s="17"/>
      <c r="AE55" s="17"/>
      <c r="AF55" s="17"/>
      <c r="AG55" s="17"/>
    </row>
    <row r="56" spans="1:33">
      <c r="B56" s="20"/>
      <c r="F56" s="30"/>
      <c r="G56" s="23"/>
      <c r="H56" s="23"/>
      <c r="I56" s="23"/>
      <c r="J56" s="24"/>
      <c r="K56" s="5"/>
      <c r="L56" s="3"/>
      <c r="M56" s="3"/>
      <c r="N56" s="5"/>
      <c r="O56" s="25"/>
      <c r="P56" s="25"/>
      <c r="Q56" s="25"/>
      <c r="R56" s="25"/>
      <c r="S56" s="25"/>
      <c r="T56" s="25"/>
      <c r="U56" s="25"/>
      <c r="V56" s="25"/>
      <c r="W56" s="19"/>
      <c r="X56" s="64"/>
      <c r="Y56" s="64"/>
      <c r="Z56" s="64"/>
      <c r="AA56" s="64"/>
    </row>
    <row r="57" spans="1:33">
      <c r="B57" s="20"/>
      <c r="F57" s="23"/>
      <c r="G57" s="23"/>
      <c r="H57" s="23"/>
      <c r="I57" s="23"/>
      <c r="J57" s="24"/>
      <c r="K57" s="5"/>
      <c r="L57" s="3"/>
      <c r="M57" s="3"/>
      <c r="N57" s="5"/>
      <c r="O57" s="25"/>
      <c r="P57" s="25"/>
      <c r="Q57" s="25"/>
      <c r="R57" s="25"/>
      <c r="S57" s="25"/>
      <c r="T57" s="25"/>
      <c r="U57" s="25"/>
      <c r="V57" s="25"/>
      <c r="W57" s="19"/>
      <c r="X57" s="64"/>
      <c r="Y57" s="64"/>
      <c r="Z57" s="64"/>
      <c r="AA57" s="64"/>
    </row>
    <row r="58" spans="1:33">
      <c r="B58" s="20"/>
      <c r="F58" s="23"/>
      <c r="G58" s="23"/>
      <c r="H58" s="23"/>
      <c r="I58" s="23"/>
      <c r="J58" s="24"/>
      <c r="K58" s="5"/>
      <c r="L58" s="2"/>
      <c r="M58" s="2"/>
      <c r="N58" s="5"/>
      <c r="O58" s="39"/>
      <c r="P58" s="39"/>
      <c r="Q58" s="39"/>
      <c r="R58" s="39"/>
      <c r="S58" s="32"/>
      <c r="T58" s="32"/>
      <c r="W58" s="62"/>
      <c r="X58" s="38"/>
      <c r="Y58" s="38"/>
      <c r="Z58" s="38"/>
      <c r="AA58" s="38"/>
    </row>
    <row r="59" spans="1:33" ht="15.75" thickBot="1">
      <c r="A59" s="40"/>
      <c r="B59" s="41"/>
      <c r="C59" s="42"/>
      <c r="D59" s="43"/>
      <c r="E59" s="40"/>
      <c r="F59" s="8"/>
      <c r="G59" s="8"/>
      <c r="H59" s="8"/>
      <c r="I59" s="8"/>
      <c r="J59" s="16"/>
      <c r="K59" s="4"/>
      <c r="L59" s="1"/>
      <c r="M59" s="1"/>
      <c r="N59" s="4"/>
      <c r="O59" s="14"/>
      <c r="P59" s="14"/>
      <c r="Q59" s="14"/>
      <c r="R59" s="14"/>
      <c r="S59" s="14"/>
      <c r="T59" s="14"/>
      <c r="U59" s="14"/>
      <c r="V59" s="14"/>
      <c r="W59" s="63"/>
      <c r="X59" s="44"/>
      <c r="Y59" s="44"/>
      <c r="Z59" s="44"/>
      <c r="AA59" s="44"/>
    </row>
    <row r="60" spans="1:33">
      <c r="B60" s="20"/>
      <c r="F60" s="30"/>
      <c r="G60" s="23"/>
      <c r="H60" s="30"/>
      <c r="I60" s="30"/>
      <c r="J60" s="24"/>
      <c r="K60" s="5"/>
      <c r="L60" s="3"/>
      <c r="M60" s="3"/>
      <c r="N60" s="5"/>
      <c r="O60" s="25"/>
      <c r="P60" s="25"/>
      <c r="Q60" s="25"/>
      <c r="R60" s="25"/>
      <c r="S60" s="25"/>
      <c r="T60" s="25"/>
      <c r="U60" s="25"/>
      <c r="V60" s="25"/>
      <c r="W60" s="19"/>
      <c r="X60" s="64"/>
      <c r="Y60" s="64"/>
      <c r="Z60" s="64"/>
      <c r="AA60" s="64"/>
    </row>
    <row r="61" spans="1:33">
      <c r="B61" s="20"/>
      <c r="F61" s="23"/>
      <c r="G61" s="23"/>
      <c r="H61" s="23"/>
      <c r="I61" s="23"/>
      <c r="J61" s="24"/>
      <c r="K61" s="5"/>
      <c r="L61" s="3"/>
      <c r="M61" s="3"/>
      <c r="N61" s="5"/>
      <c r="O61" s="25"/>
      <c r="P61" s="25"/>
      <c r="Q61" s="25"/>
      <c r="R61" s="25"/>
      <c r="S61" s="25"/>
      <c r="T61" s="25"/>
      <c r="U61" s="25"/>
      <c r="V61" s="25"/>
      <c r="W61" s="19"/>
      <c r="X61" s="64"/>
      <c r="Y61" s="64"/>
      <c r="Z61" s="64"/>
      <c r="AA61" s="64"/>
    </row>
    <row r="62" spans="1:33">
      <c r="B62" s="20"/>
      <c r="F62" s="30"/>
      <c r="G62" s="23"/>
      <c r="H62" s="23"/>
      <c r="I62" s="23"/>
      <c r="J62" s="24"/>
      <c r="K62" s="5"/>
      <c r="L62" s="2"/>
      <c r="M62" s="2"/>
      <c r="N62" s="5"/>
      <c r="O62" s="39"/>
      <c r="P62" s="39"/>
      <c r="Q62" s="39"/>
      <c r="R62" s="39"/>
      <c r="S62" s="32"/>
      <c r="T62" s="32"/>
      <c r="W62" s="62"/>
      <c r="X62" s="38"/>
      <c r="Y62" s="38"/>
      <c r="Z62" s="38"/>
      <c r="AA62" s="38"/>
    </row>
    <row r="63" spans="1:33" ht="15.75" thickBot="1">
      <c r="A63" s="40"/>
      <c r="B63" s="41"/>
      <c r="C63" s="42"/>
      <c r="D63" s="43"/>
      <c r="E63" s="40"/>
      <c r="F63" s="8"/>
      <c r="G63" s="8"/>
      <c r="H63" s="8"/>
      <c r="I63" s="8"/>
      <c r="J63" s="16"/>
      <c r="K63" s="4"/>
      <c r="L63" s="1"/>
      <c r="M63" s="1"/>
      <c r="N63" s="4"/>
      <c r="O63" s="14"/>
      <c r="P63" s="14"/>
      <c r="Q63" s="14"/>
      <c r="R63" s="14"/>
      <c r="S63" s="14"/>
      <c r="T63" s="14"/>
      <c r="U63" s="14"/>
      <c r="V63" s="14"/>
      <c r="W63" s="63"/>
      <c r="X63" s="44"/>
      <c r="Y63" s="44"/>
      <c r="Z63" s="44"/>
      <c r="AA63" s="44"/>
    </row>
    <row r="64" spans="1:33">
      <c r="K64" s="22"/>
      <c r="U64" s="45"/>
      <c r="V64" s="45"/>
    </row>
    <row r="65" spans="5:13">
      <c r="K65" s="22"/>
    </row>
    <row r="66" spans="5:13">
      <c r="K66" s="22"/>
    </row>
    <row r="67" spans="5:13">
      <c r="K67" s="22"/>
    </row>
    <row r="68" spans="5:13">
      <c r="K68" s="22"/>
    </row>
    <row r="69" spans="5:13">
      <c r="K69" s="22"/>
    </row>
    <row r="70" spans="5:13">
      <c r="K70" s="22"/>
    </row>
    <row r="71" spans="5:13">
      <c r="K71" s="22"/>
    </row>
    <row r="72" spans="5:13">
      <c r="K72" s="22"/>
    </row>
    <row r="73" spans="5:13">
      <c r="K73" s="22"/>
    </row>
    <row r="74" spans="5:13">
      <c r="K74" s="22"/>
    </row>
    <row r="75" spans="5:13">
      <c r="E75" s="19"/>
      <c r="K75" s="22"/>
      <c r="L75" s="30"/>
      <c r="M75" s="30"/>
    </row>
    <row r="76" spans="5:13">
      <c r="E76" s="19"/>
      <c r="K76" s="22"/>
      <c r="L76" s="30"/>
      <c r="M76" s="30"/>
    </row>
    <row r="77" spans="5:13">
      <c r="E77" s="19"/>
      <c r="K77" s="22"/>
      <c r="L77" s="30"/>
      <c r="M77" s="30"/>
    </row>
    <row r="78" spans="5:13">
      <c r="E78" s="19"/>
      <c r="K78" s="22"/>
      <c r="L78" s="30"/>
      <c r="M78" s="30"/>
    </row>
    <row r="79" spans="5:13">
      <c r="E79" s="19"/>
      <c r="K79" s="22"/>
      <c r="L79" s="30"/>
      <c r="M79" s="30"/>
    </row>
    <row r="80" spans="5:13">
      <c r="E80" s="19"/>
      <c r="K80" s="22"/>
      <c r="L80" s="30"/>
      <c r="M80" s="30"/>
    </row>
    <row r="81" spans="5:13">
      <c r="E81" s="19"/>
      <c r="K81" s="22"/>
      <c r="L81" s="30"/>
      <c r="M81" s="30"/>
    </row>
    <row r="82" spans="5:13">
      <c r="E82" s="19"/>
      <c r="K82" s="22"/>
      <c r="L82" s="30"/>
      <c r="M82" s="30"/>
    </row>
    <row r="83" spans="5:13">
      <c r="E83" s="19"/>
      <c r="K83" s="22"/>
      <c r="L83" s="30"/>
      <c r="M83" s="30"/>
    </row>
    <row r="84" spans="5:13">
      <c r="E84" s="19"/>
      <c r="K84" s="22"/>
      <c r="L84" s="30"/>
      <c r="M84" s="30"/>
    </row>
    <row r="85" spans="5:13">
      <c r="E85" s="19"/>
      <c r="K85" s="22"/>
      <c r="L85" s="30"/>
      <c r="M85" s="30"/>
    </row>
    <row r="86" spans="5:13">
      <c r="E86" s="19"/>
      <c r="K86" s="22"/>
      <c r="L86" s="30"/>
      <c r="M86" s="30"/>
    </row>
    <row r="87" spans="5:13">
      <c r="K87" s="22"/>
    </row>
    <row r="88" spans="5:13">
      <c r="K88" s="22"/>
    </row>
    <row r="89" spans="5:13">
      <c r="K89" s="22"/>
    </row>
    <row r="90" spans="5:13">
      <c r="K90" s="22"/>
    </row>
    <row r="91" spans="5:13">
      <c r="K91" s="22"/>
    </row>
    <row r="92" spans="5:13">
      <c r="K92" s="22"/>
    </row>
    <row r="93" spans="5:13">
      <c r="K93" s="22"/>
    </row>
    <row r="94" spans="5:13">
      <c r="K94" s="22"/>
    </row>
    <row r="95" spans="5:13">
      <c r="K95" s="22"/>
    </row>
    <row r="96" spans="5:13">
      <c r="K96" s="22"/>
    </row>
    <row r="97" spans="11:11">
      <c r="K97" s="22"/>
    </row>
    <row r="98" spans="11:11">
      <c r="K98" s="22"/>
    </row>
    <row r="99" spans="11:11">
      <c r="K99" s="22"/>
    </row>
    <row r="100" spans="11:11">
      <c r="K100" s="22"/>
    </row>
    <row r="101" spans="11:11">
      <c r="K101" s="22"/>
    </row>
  </sheetData>
  <sortState ref="A3:AF446">
    <sortCondition ref="F60:F67"/>
  </sortState>
  <mergeCells count="30">
    <mergeCell ref="K56:K59"/>
    <mergeCell ref="N56:N59"/>
    <mergeCell ref="K60:K63"/>
    <mergeCell ref="N60:N63"/>
    <mergeCell ref="N4:N7"/>
    <mergeCell ref="K4:K7"/>
    <mergeCell ref="K8:K11"/>
    <mergeCell ref="N8:N11"/>
    <mergeCell ref="K12:K15"/>
    <mergeCell ref="N12:N15"/>
    <mergeCell ref="K16:K19"/>
    <mergeCell ref="N16:N19"/>
    <mergeCell ref="K20:K23"/>
    <mergeCell ref="N20:N23"/>
    <mergeCell ref="K24:K27"/>
    <mergeCell ref="N24:N27"/>
    <mergeCell ref="K52:K55"/>
    <mergeCell ref="N52:N55"/>
    <mergeCell ref="K28:K31"/>
    <mergeCell ref="N28:N31"/>
    <mergeCell ref="K32:K35"/>
    <mergeCell ref="N32:N35"/>
    <mergeCell ref="K36:K39"/>
    <mergeCell ref="N36:N39"/>
    <mergeCell ref="K40:K43"/>
    <mergeCell ref="N40:N43"/>
    <mergeCell ref="K44:K47"/>
    <mergeCell ref="N44:N47"/>
    <mergeCell ref="K48:K51"/>
    <mergeCell ref="N48:N51"/>
  </mergeCells>
  <pageMargins left="0.23" right="0.23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7"/>
  <dimension ref="A1:AC183"/>
  <sheetViews>
    <sheetView zoomScale="80" zoomScaleNormal="80" workbookViewId="0">
      <selection activeCell="M3" sqref="M3 M3:M6"/>
    </sheetView>
  </sheetViews>
  <sheetFormatPr defaultRowHeight="15"/>
  <cols>
    <col min="1" max="2" width="9.140625" style="17" customWidth="1"/>
    <col min="3" max="3" width="11.7109375" style="17" customWidth="1"/>
    <col min="4" max="4" width="14.28515625" style="17" customWidth="1"/>
    <col min="5" max="5" width="11.28515625" style="17" customWidth="1"/>
    <col min="6" max="7" width="9.140625" style="17" customWidth="1"/>
    <col min="8" max="8" width="11.42578125" style="17" bestFit="1" customWidth="1"/>
    <col min="9" max="9" width="12.140625" style="17" bestFit="1" customWidth="1"/>
    <col min="10" max="10" width="18" style="17" bestFit="1" customWidth="1"/>
    <col min="11" max="12" width="9.140625" style="17" customWidth="1"/>
    <col min="13" max="13" width="12.140625" style="17" customWidth="1"/>
  </cols>
  <sheetData>
    <row r="1" spans="1:29">
      <c r="H1" s="19" t="s">
        <v>30</v>
      </c>
      <c r="I1" s="19" t="s">
        <v>31</v>
      </c>
      <c r="J1" s="19" t="s">
        <v>32</v>
      </c>
      <c r="L1" s="45" t="s">
        <v>33</v>
      </c>
      <c r="M1" s="17">
        <v>100</v>
      </c>
    </row>
    <row r="2" spans="1:29">
      <c r="B2" s="46" t="s">
        <v>34</v>
      </c>
      <c r="C2" s="17" t="s">
        <v>35</v>
      </c>
      <c r="D2" s="17" t="s">
        <v>36</v>
      </c>
      <c r="E2" s="17" t="s">
        <v>37</v>
      </c>
      <c r="F2" s="17" t="s">
        <v>38</v>
      </c>
      <c r="H2" s="17" t="s">
        <v>39</v>
      </c>
      <c r="I2" s="17" t="s">
        <v>39</v>
      </c>
      <c r="J2" s="17" t="s">
        <v>40</v>
      </c>
      <c r="L2" s="17" t="s">
        <v>41</v>
      </c>
      <c r="M2" s="48">
        <f>AC148</f>
        <v>4.073776223776223E-2</v>
      </c>
    </row>
    <row r="3" spans="1:29">
      <c r="B3" s="47" t="s">
        <v>42</v>
      </c>
      <c r="C3" s="17" t="s">
        <v>43</v>
      </c>
      <c r="D3" s="17" t="s">
        <v>39</v>
      </c>
      <c r="E3" s="17" t="s">
        <v>44</v>
      </c>
      <c r="F3" s="17" t="s">
        <v>39</v>
      </c>
      <c r="L3" s="17" t="s">
        <v>45</v>
      </c>
      <c r="M3" s="46">
        <f>SUM(J4:J147)</f>
        <v>7.7626906618957034E-2</v>
      </c>
      <c r="AB3" s="17">
        <f>MAX(AB4:AB148)</f>
        <v>2.903</v>
      </c>
    </row>
    <row r="4" spans="1:29">
      <c r="B4" s="49">
        <v>0.28000000000000003</v>
      </c>
      <c r="C4" s="50">
        <v>27.97</v>
      </c>
      <c r="D4" s="17">
        <v>3.5960000000000001</v>
      </c>
      <c r="E4" s="50">
        <v>86.78</v>
      </c>
      <c r="F4" s="17">
        <f t="shared" ref="F4:F35" si="0">IF(C4=MEDIAN($M$1-1,$M$1+1,C4),IF(D4&lt;=AVERAGE($AB$3,AVERAGEIF($B$4:$B$200,"&gt;20",$D$4:$D$200)),D4,0),0)</f>
        <v>0</v>
      </c>
      <c r="H4" s="51">
        <f t="shared" ref="H4:H35" si="1">IF(MATCH(F4,$F$4:$F$200,0)&gt;=MATCH(MAX($F$4:$F$200),$F$4:$F$200,0),$M$4+($M$5-$M$4)*(1-EXP(-B4/$M$6)),0)</f>
        <v>0</v>
      </c>
      <c r="I4" s="51">
        <f t="shared" ref="I4:I35" si="2">IF(H4&gt;0,D4-H4,0)</f>
        <v>0</v>
      </c>
      <c r="J4" s="51">
        <f t="shared" ref="J4:J35" si="3">I4^2</f>
        <v>0</v>
      </c>
      <c r="L4" s="17" t="s">
        <v>46</v>
      </c>
      <c r="M4" s="47">
        <v>5.1799421936728196</v>
      </c>
      <c r="AB4" s="17">
        <f t="array" ref="AB4">MAX(IF($C$4:$C$200=MEDIAN($M$1-1,$M$1+1,C4),$D$4:$D$200,0))</f>
        <v>0</v>
      </c>
      <c r="AC4" s="17">
        <f t="shared" ref="AC4:AC35" si="4">ABS(D4-D5)</f>
        <v>1.599</v>
      </c>
    </row>
    <row r="5" spans="1:29">
      <c r="B5" s="47">
        <v>0.55200000000000005</v>
      </c>
      <c r="C5" s="50">
        <v>27.97</v>
      </c>
      <c r="D5" s="17">
        <v>1.9970000000000001</v>
      </c>
      <c r="E5" s="50">
        <v>86.78</v>
      </c>
      <c r="F5" s="17">
        <f t="shared" si="0"/>
        <v>0</v>
      </c>
      <c r="H5" s="51">
        <f t="shared" si="1"/>
        <v>0</v>
      </c>
      <c r="I5" s="51">
        <f t="shared" si="2"/>
        <v>0</v>
      </c>
      <c r="J5" s="51">
        <f t="shared" si="3"/>
        <v>0</v>
      </c>
      <c r="L5" s="17" t="s">
        <v>47</v>
      </c>
      <c r="M5" s="49">
        <v>0.307324368206433</v>
      </c>
      <c r="AB5" s="17">
        <f t="array" ref="AB5">MAX(IF($C$4:$C$200=MEDIAN($M$1-1,$M$1+1,C5),$D$4:$D$200,0))</f>
        <v>0</v>
      </c>
      <c r="AC5" s="17">
        <f t="shared" si="4"/>
        <v>0.70799999999999996</v>
      </c>
    </row>
    <row r="6" spans="1:29">
      <c r="B6" s="50">
        <v>0.76</v>
      </c>
      <c r="C6" s="50">
        <v>110</v>
      </c>
      <c r="D6" s="17">
        <v>2.7050000000000001</v>
      </c>
      <c r="E6" s="50">
        <v>197.1</v>
      </c>
      <c r="F6" s="17">
        <f t="shared" si="0"/>
        <v>0</v>
      </c>
      <c r="H6" s="51">
        <f t="shared" si="1"/>
        <v>0</v>
      </c>
      <c r="I6" s="51">
        <f t="shared" si="2"/>
        <v>0</v>
      </c>
      <c r="J6" s="51">
        <f t="shared" si="3"/>
        <v>0</v>
      </c>
      <c r="L6" s="17" t="s">
        <v>48</v>
      </c>
      <c r="M6" s="47">
        <v>2.79895709811337</v>
      </c>
      <c r="AB6" s="17">
        <f t="array" ref="AB6">MAX(IF($C$4:$C$200=MEDIAN($M$1-1,$M$1+1,C6),$D$4:$D$200,0))</f>
        <v>0</v>
      </c>
      <c r="AC6" s="17">
        <f t="shared" si="4"/>
        <v>0.19799999999999995</v>
      </c>
    </row>
    <row r="7" spans="1:29">
      <c r="B7" s="50">
        <v>0.94</v>
      </c>
      <c r="C7" s="50">
        <v>110</v>
      </c>
      <c r="D7" s="17">
        <v>2.903</v>
      </c>
      <c r="E7" s="50">
        <v>197.1</v>
      </c>
      <c r="F7" s="17">
        <f t="shared" si="0"/>
        <v>0</v>
      </c>
      <c r="H7" s="51">
        <f t="shared" si="1"/>
        <v>0</v>
      </c>
      <c r="I7" s="51">
        <f t="shared" si="2"/>
        <v>0</v>
      </c>
      <c r="J7" s="51">
        <f t="shared" si="3"/>
        <v>0</v>
      </c>
      <c r="M7" s="19"/>
      <c r="AB7" s="17">
        <f t="array" ref="AB7">MAX(IF($C$4:$C$200=MEDIAN($M$1-1,$M$1+1,C7),$D$4:$D$200,0))</f>
        <v>0</v>
      </c>
      <c r="AC7" s="17">
        <f t="shared" si="4"/>
        <v>0</v>
      </c>
    </row>
    <row r="8" spans="1:29">
      <c r="B8" s="50">
        <v>1.1879999999999999</v>
      </c>
      <c r="C8" s="50">
        <v>99.71</v>
      </c>
      <c r="D8" s="17">
        <v>2.903</v>
      </c>
      <c r="E8" s="50">
        <v>218.4</v>
      </c>
      <c r="F8" s="17">
        <f t="shared" si="0"/>
        <v>0</v>
      </c>
      <c r="H8" s="51">
        <f t="shared" si="1"/>
        <v>0</v>
      </c>
      <c r="I8" s="51">
        <f t="shared" si="2"/>
        <v>0</v>
      </c>
      <c r="J8" s="51">
        <f t="shared" si="3"/>
        <v>0</v>
      </c>
      <c r="AB8" s="17">
        <f t="array" ref="AB8">MAX(IF($C$4:$C$200=MEDIAN($M$1-1,$M$1+1,C8),$D$4:$D$200,0))</f>
        <v>2.903</v>
      </c>
      <c r="AC8" s="17">
        <f t="shared" si="4"/>
        <v>6.0000000000002274E-3</v>
      </c>
    </row>
    <row r="9" spans="1:29">
      <c r="B9" s="50">
        <v>1.48</v>
      </c>
      <c r="C9" s="50">
        <v>99.71</v>
      </c>
      <c r="D9" s="17">
        <v>2.8969999999999998</v>
      </c>
      <c r="E9" s="50">
        <v>218.4</v>
      </c>
      <c r="F9" s="17">
        <f t="shared" si="0"/>
        <v>0</v>
      </c>
      <c r="H9" s="51">
        <f t="shared" si="1"/>
        <v>0</v>
      </c>
      <c r="I9" s="51">
        <f t="shared" si="2"/>
        <v>0</v>
      </c>
      <c r="J9" s="51">
        <f t="shared" si="3"/>
        <v>0</v>
      </c>
      <c r="AB9" s="17">
        <f t="array" ref="AB9">MAX(IF($C$4:$C$200=MEDIAN($M$1-1,$M$1+1,C9),$D$4:$D$200,0))</f>
        <v>2.903</v>
      </c>
      <c r="AC9" s="17">
        <f t="shared" si="4"/>
        <v>0.15299999999999958</v>
      </c>
    </row>
    <row r="10" spans="1:29">
      <c r="B10" s="50">
        <v>1.768</v>
      </c>
      <c r="C10" s="50">
        <v>99.7</v>
      </c>
      <c r="D10" s="17">
        <v>2.7440000000000002</v>
      </c>
      <c r="E10" s="50">
        <v>249.2</v>
      </c>
      <c r="F10" s="17">
        <f t="shared" si="0"/>
        <v>0</v>
      </c>
      <c r="H10" s="51">
        <f t="shared" si="1"/>
        <v>0</v>
      </c>
      <c r="I10" s="51">
        <f t="shared" si="2"/>
        <v>0</v>
      </c>
      <c r="J10" s="51">
        <f t="shared" si="3"/>
        <v>0</v>
      </c>
      <c r="AB10" s="17">
        <f t="array" ref="AB10">MAX(IF($C$4:$C$200=MEDIAN($M$1-1,$M$1+1,C10),$D$4:$D$200,0))</f>
        <v>2.7440000000000002</v>
      </c>
      <c r="AC10" s="17">
        <f t="shared" si="4"/>
        <v>0.12800000000000011</v>
      </c>
    </row>
    <row r="11" spans="1:29">
      <c r="B11" s="50">
        <v>1.944</v>
      </c>
      <c r="C11" s="50">
        <v>99.7</v>
      </c>
      <c r="D11" s="17">
        <v>2.6160000000000001</v>
      </c>
      <c r="E11" s="50">
        <v>249.2</v>
      </c>
      <c r="F11" s="17">
        <f t="shared" si="0"/>
        <v>0</v>
      </c>
      <c r="H11" s="51">
        <f t="shared" si="1"/>
        <v>0</v>
      </c>
      <c r="I11" s="51">
        <f t="shared" si="2"/>
        <v>0</v>
      </c>
      <c r="J11" s="51">
        <f t="shared" si="3"/>
        <v>0</v>
      </c>
      <c r="AB11" s="17">
        <f t="array" ref="AB11">MAX(IF($C$4:$C$200=MEDIAN($M$1-1,$M$1+1,C11),$D$4:$D$200,0))</f>
        <v>2.7440000000000002</v>
      </c>
      <c r="AC11" s="17">
        <f t="shared" si="4"/>
        <v>0</v>
      </c>
    </row>
    <row r="12" spans="1:29" ht="15.75" customHeight="1">
      <c r="A12"/>
      <c r="B12" s="50">
        <v>2.1040000000000001</v>
      </c>
      <c r="C12" s="50">
        <v>99.76</v>
      </c>
      <c r="D12" s="17">
        <v>2.6160000000000001</v>
      </c>
      <c r="E12" s="50">
        <v>273.89999999999998</v>
      </c>
      <c r="F12" s="17">
        <f t="shared" si="0"/>
        <v>0</v>
      </c>
      <c r="G12"/>
      <c r="H12" s="51">
        <f t="shared" si="1"/>
        <v>0</v>
      </c>
      <c r="I12" s="51">
        <f t="shared" si="2"/>
        <v>0</v>
      </c>
      <c r="J12" s="51">
        <f t="shared" si="3"/>
        <v>0</v>
      </c>
      <c r="K12"/>
      <c r="L12" s="52"/>
      <c r="M12"/>
      <c r="AB12" s="17">
        <f t="array" ref="AB12">MAX(IF($C$4:$C$200=MEDIAN($M$1-1,$M$1+1,C12),$D$4:$D$200,0))</f>
        <v>2.6160000000000001</v>
      </c>
      <c r="AC12" s="17">
        <f t="shared" si="4"/>
        <v>0.16700000000000026</v>
      </c>
    </row>
    <row r="13" spans="1:29" ht="15.75" customHeight="1">
      <c r="A13"/>
      <c r="B13" s="17">
        <v>2.3919999999999999</v>
      </c>
      <c r="C13" s="50">
        <v>99.76</v>
      </c>
      <c r="D13" s="17">
        <v>2.4489999999999998</v>
      </c>
      <c r="E13" s="50">
        <v>273.89999999999998</v>
      </c>
      <c r="F13" s="17">
        <f t="shared" si="0"/>
        <v>0</v>
      </c>
      <c r="G13"/>
      <c r="H13" s="51">
        <f t="shared" si="1"/>
        <v>0</v>
      </c>
      <c r="I13" s="51">
        <f t="shared" si="2"/>
        <v>0</v>
      </c>
      <c r="J13" s="51">
        <f t="shared" si="3"/>
        <v>0</v>
      </c>
      <c r="K13"/>
      <c r="L13" s="52"/>
      <c r="M13"/>
      <c r="AB13" s="17">
        <f t="array" ref="AB13">MAX(IF($C$4:$C$200=MEDIAN($M$1-1,$M$1+1,C13),$D$4:$D$200,0))</f>
        <v>2.6160000000000001</v>
      </c>
      <c r="AC13" s="17">
        <f t="shared" si="4"/>
        <v>0.16100000000000003</v>
      </c>
    </row>
    <row r="14" spans="1:29">
      <c r="B14" s="17">
        <v>2.6360000000000001</v>
      </c>
      <c r="C14" s="50">
        <v>99.74</v>
      </c>
      <c r="D14" s="17">
        <v>2.2879999999999998</v>
      </c>
      <c r="E14" s="50">
        <v>288.2</v>
      </c>
      <c r="F14" s="17">
        <f t="shared" si="0"/>
        <v>0</v>
      </c>
      <c r="H14" s="51">
        <f t="shared" si="1"/>
        <v>0</v>
      </c>
      <c r="I14" s="51">
        <f t="shared" si="2"/>
        <v>0</v>
      </c>
      <c r="J14" s="51">
        <f t="shared" si="3"/>
        <v>0</v>
      </c>
      <c r="AB14" s="17">
        <f t="array" ref="AB14">MAX(IF($C$4:$C$200=MEDIAN($M$1-1,$M$1+1,C14),$D$4:$D$200,0))</f>
        <v>2.2879999999999998</v>
      </c>
      <c r="AC14" s="17">
        <f t="shared" si="4"/>
        <v>0.121</v>
      </c>
    </row>
    <row r="15" spans="1:29">
      <c r="B15" s="17">
        <v>2.8239999999999998</v>
      </c>
      <c r="C15" s="50">
        <v>99.74</v>
      </c>
      <c r="D15" s="17">
        <v>2.1669999999999998</v>
      </c>
      <c r="E15" s="50">
        <v>288.2</v>
      </c>
      <c r="F15" s="17">
        <f t="shared" si="0"/>
        <v>0</v>
      </c>
      <c r="H15" s="51">
        <f t="shared" si="1"/>
        <v>0</v>
      </c>
      <c r="I15" s="51">
        <f t="shared" si="2"/>
        <v>0</v>
      </c>
      <c r="J15" s="51">
        <f t="shared" si="3"/>
        <v>0</v>
      </c>
      <c r="AB15" s="17">
        <f t="array" ref="AB15">MAX(IF($C$4:$C$200=MEDIAN($M$1-1,$M$1+1,C15),$D$4:$D$200,0))</f>
        <v>2.2879999999999998</v>
      </c>
      <c r="AC15" s="17">
        <f t="shared" si="4"/>
        <v>0.18599999999999972</v>
      </c>
    </row>
    <row r="16" spans="1:29">
      <c r="B16" s="17">
        <v>2.988</v>
      </c>
      <c r="C16" s="50">
        <v>99.74</v>
      </c>
      <c r="D16" s="17">
        <v>1.9810000000000001</v>
      </c>
      <c r="E16" s="50">
        <v>288.2</v>
      </c>
      <c r="F16" s="17">
        <f t="shared" si="0"/>
        <v>0</v>
      </c>
      <c r="H16" s="51">
        <f t="shared" si="1"/>
        <v>0</v>
      </c>
      <c r="I16" s="51">
        <f t="shared" si="2"/>
        <v>0</v>
      </c>
      <c r="J16" s="51">
        <f t="shared" si="3"/>
        <v>0</v>
      </c>
      <c r="AB16" s="17">
        <f t="array" ref="AB16">MAX(IF($C$4:$C$200=MEDIAN($M$1-1,$M$1+1,C16),$D$4:$D$200,0))</f>
        <v>2.2879999999999998</v>
      </c>
      <c r="AC16" s="17">
        <f t="shared" si="4"/>
        <v>1.9000000000000128E-2</v>
      </c>
    </row>
    <row r="17" spans="2:29">
      <c r="B17" s="17">
        <v>3.1920000000000002</v>
      </c>
      <c r="C17" s="50">
        <v>99.75</v>
      </c>
      <c r="D17" s="17">
        <v>1.962</v>
      </c>
      <c r="E17" s="50">
        <v>297.3</v>
      </c>
      <c r="F17" s="17">
        <f t="shared" si="0"/>
        <v>0</v>
      </c>
      <c r="H17" s="51">
        <f t="shared" si="1"/>
        <v>0</v>
      </c>
      <c r="I17" s="51">
        <f t="shared" si="2"/>
        <v>0</v>
      </c>
      <c r="J17" s="51">
        <f t="shared" si="3"/>
        <v>0</v>
      </c>
      <c r="AB17" s="17">
        <f t="array" ref="AB17">MAX(IF($C$4:$C$200=MEDIAN($M$1-1,$M$1+1,C17),$D$4:$D$200,0))</f>
        <v>1.962</v>
      </c>
      <c r="AC17" s="17">
        <f t="shared" si="4"/>
        <v>0.18799999999999994</v>
      </c>
    </row>
    <row r="18" spans="2:29">
      <c r="B18" s="17">
        <v>3.48</v>
      </c>
      <c r="C18" s="50">
        <v>99.84</v>
      </c>
      <c r="D18" s="17">
        <v>1.774</v>
      </c>
      <c r="E18" s="50">
        <v>297.3</v>
      </c>
      <c r="F18" s="17">
        <f t="shared" si="0"/>
        <v>0</v>
      </c>
      <c r="H18" s="51">
        <f t="shared" si="1"/>
        <v>0</v>
      </c>
      <c r="I18" s="51">
        <f t="shared" si="2"/>
        <v>0</v>
      </c>
      <c r="J18" s="51">
        <f t="shared" si="3"/>
        <v>0</v>
      </c>
      <c r="AB18" s="17">
        <f t="array" ref="AB18">MAX(IF($C$4:$C$200=MEDIAN($M$1-1,$M$1+1,C18),$D$4:$D$200,0))</f>
        <v>1.774</v>
      </c>
      <c r="AC18" s="17">
        <f t="shared" si="4"/>
        <v>0.18399999999999994</v>
      </c>
    </row>
    <row r="19" spans="2:29">
      <c r="B19" s="17">
        <v>3.7360000000000002</v>
      </c>
      <c r="C19" s="50">
        <v>99.84</v>
      </c>
      <c r="D19" s="17">
        <v>1.59</v>
      </c>
      <c r="E19" s="50">
        <v>302.89999999999998</v>
      </c>
      <c r="F19" s="17">
        <f t="shared" si="0"/>
        <v>1.59</v>
      </c>
      <c r="H19" s="51">
        <f t="shared" si="1"/>
        <v>1.5898720288912718</v>
      </c>
      <c r="I19" s="51">
        <f t="shared" si="2"/>
        <v>1.2797110872830864E-4</v>
      </c>
      <c r="J19" s="51">
        <f t="shared" si="3"/>
        <v>1.6376604669152592E-8</v>
      </c>
      <c r="AB19" s="17">
        <f t="array" ref="AB19">MAX(IF($C$4:$C$200=MEDIAN($M$1-1,$M$1+1,C19),$D$4:$D$200,0))</f>
        <v>1.774</v>
      </c>
      <c r="AC19" s="17">
        <f t="shared" si="4"/>
        <v>0</v>
      </c>
    </row>
    <row r="20" spans="2:29">
      <c r="B20" s="17">
        <v>3.8959999999999999</v>
      </c>
      <c r="C20" s="50">
        <v>99.84</v>
      </c>
      <c r="D20" s="17">
        <v>1.59</v>
      </c>
      <c r="E20" s="50">
        <v>302.89999999999998</v>
      </c>
      <c r="F20" s="17">
        <f t="shared" si="0"/>
        <v>1.59</v>
      </c>
      <c r="H20" s="51">
        <f t="shared" si="1"/>
        <v>1.5186124343847607</v>
      </c>
      <c r="I20" s="51">
        <f t="shared" si="2"/>
        <v>7.1387565615239401E-2</v>
      </c>
      <c r="J20" s="51">
        <f t="shared" si="3"/>
        <v>5.0961845244701107E-3</v>
      </c>
      <c r="AB20" s="17">
        <f t="array" ref="AB20">MAX(IF($C$4:$C$200=MEDIAN($M$1-1,$M$1+1,C20),$D$4:$D$200,0))</f>
        <v>1.774</v>
      </c>
      <c r="AC20" s="17">
        <f t="shared" si="4"/>
        <v>0.10400000000000009</v>
      </c>
    </row>
    <row r="21" spans="2:29">
      <c r="B21" s="17">
        <v>4.0759999999999996</v>
      </c>
      <c r="C21" s="50">
        <v>99.84</v>
      </c>
      <c r="D21" s="17">
        <v>1.486</v>
      </c>
      <c r="E21" s="50">
        <v>306.2</v>
      </c>
      <c r="F21" s="17">
        <f t="shared" si="0"/>
        <v>1.486</v>
      </c>
      <c r="H21" s="51">
        <f t="shared" si="1"/>
        <v>1.4431668423209336</v>
      </c>
      <c r="I21" s="51">
        <f t="shared" si="2"/>
        <v>4.2833157679066369E-2</v>
      </c>
      <c r="J21" s="51">
        <f t="shared" si="3"/>
        <v>1.8346793967597623E-3</v>
      </c>
      <c r="AB21" s="17">
        <f t="array" ref="AB21">MAX(IF($C$4:$C$200=MEDIAN($M$1-1,$M$1+1,C21),$D$4:$D$200,0))</f>
        <v>1.774</v>
      </c>
      <c r="AC21" s="17">
        <f t="shared" si="4"/>
        <v>0.14900000000000002</v>
      </c>
    </row>
    <row r="22" spans="2:29">
      <c r="B22" s="17">
        <v>4.38</v>
      </c>
      <c r="C22" s="50">
        <v>99.84</v>
      </c>
      <c r="D22" s="17">
        <v>1.337</v>
      </c>
      <c r="E22" s="50">
        <v>306.2</v>
      </c>
      <c r="F22" s="17">
        <f t="shared" si="0"/>
        <v>1.337</v>
      </c>
      <c r="H22" s="51">
        <f t="shared" si="1"/>
        <v>1.3262642557034905</v>
      </c>
      <c r="I22" s="51">
        <f t="shared" si="2"/>
        <v>1.0735744296509475E-2</v>
      </c>
      <c r="J22" s="51">
        <f t="shared" si="3"/>
        <v>1.1525620560003573E-4</v>
      </c>
      <c r="AB22" s="17">
        <f t="array" ref="AB22">MAX(IF($C$4:$C$200=MEDIAN($M$1-1,$M$1+1,C22),$D$4:$D$200,0))</f>
        <v>1.774</v>
      </c>
      <c r="AC22" s="17">
        <f t="shared" si="4"/>
        <v>0.18399999999999994</v>
      </c>
    </row>
    <row r="23" spans="2:29">
      <c r="B23" s="17">
        <v>4.6479999999999997</v>
      </c>
      <c r="C23" s="50">
        <v>99.94</v>
      </c>
      <c r="D23" s="17">
        <v>1.153</v>
      </c>
      <c r="E23" s="50">
        <v>307.8</v>
      </c>
      <c r="F23" s="17">
        <f t="shared" si="0"/>
        <v>1.153</v>
      </c>
      <c r="H23" s="51">
        <f t="shared" si="1"/>
        <v>1.233226084041485</v>
      </c>
      <c r="I23" s="51">
        <f t="shared" si="2"/>
        <v>-8.0226084041485013E-2</v>
      </c>
      <c r="J23" s="51">
        <f t="shared" si="3"/>
        <v>6.4362245606314162E-3</v>
      </c>
      <c r="AB23" s="17">
        <f t="array" ref="AB23">MAX(IF($C$4:$C$200=MEDIAN($M$1-1,$M$1+1,C23),$D$4:$D$200,0))</f>
        <v>1.153</v>
      </c>
      <c r="AC23" s="17">
        <f t="shared" si="4"/>
        <v>0</v>
      </c>
    </row>
    <row r="24" spans="2:29">
      <c r="B24" s="17">
        <v>4.8559999999999999</v>
      </c>
      <c r="C24" s="50">
        <v>99.94</v>
      </c>
      <c r="D24" s="17">
        <v>1.153</v>
      </c>
      <c r="E24" s="50">
        <v>307.8</v>
      </c>
      <c r="F24" s="17">
        <f t="shared" si="0"/>
        <v>1.153</v>
      </c>
      <c r="H24" s="51">
        <f t="shared" si="1"/>
        <v>1.1669136511387972</v>
      </c>
      <c r="I24" s="51">
        <f t="shared" si="2"/>
        <v>-1.3913651138797167E-2</v>
      </c>
      <c r="J24" s="51">
        <f t="shared" si="3"/>
        <v>1.9358968801215171E-4</v>
      </c>
      <c r="AB24" s="17">
        <f t="array" ref="AB24">MAX(IF($C$4:$C$200=MEDIAN($M$1-1,$M$1+1,C24),$D$4:$D$200,0))</f>
        <v>1.153</v>
      </c>
      <c r="AC24" s="17">
        <f t="shared" si="4"/>
        <v>8.2999999999999963E-2</v>
      </c>
    </row>
    <row r="25" spans="2:29">
      <c r="B25" s="17">
        <v>5.016</v>
      </c>
      <c r="C25" s="50">
        <v>99.9</v>
      </c>
      <c r="D25" s="17">
        <v>1.07</v>
      </c>
      <c r="E25" s="50">
        <v>308.3</v>
      </c>
      <c r="F25" s="17">
        <f t="shared" si="0"/>
        <v>1.07</v>
      </c>
      <c r="H25" s="51">
        <f t="shared" si="1"/>
        <v>1.1191540351638283</v>
      </c>
      <c r="I25" s="51">
        <f t="shared" si="2"/>
        <v>-4.9154035163828214E-2</v>
      </c>
      <c r="J25" s="51">
        <f t="shared" si="3"/>
        <v>2.4161191728868606E-3</v>
      </c>
      <c r="AB25" s="17">
        <f t="array" ref="AB25">MAX(IF($C$4:$C$200=MEDIAN($M$1-1,$M$1+1,C25),$D$4:$D$200,0))</f>
        <v>1.07</v>
      </c>
      <c r="AC25" s="17">
        <f t="shared" si="4"/>
        <v>7.5600000000000112E-2</v>
      </c>
    </row>
    <row r="26" spans="2:29">
      <c r="B26" s="17">
        <v>5.2839999999999998</v>
      </c>
      <c r="C26" s="50">
        <v>99.9</v>
      </c>
      <c r="D26" s="17">
        <v>0.99439999999999995</v>
      </c>
      <c r="E26" s="50">
        <v>308.3</v>
      </c>
      <c r="F26" s="17">
        <f t="shared" si="0"/>
        <v>0.99439999999999995</v>
      </c>
      <c r="H26" s="51">
        <f t="shared" si="1"/>
        <v>1.0450268478375699</v>
      </c>
      <c r="I26" s="51">
        <f t="shared" si="2"/>
        <v>-5.0626847837569988E-2</v>
      </c>
      <c r="J26" s="51">
        <f t="shared" si="3"/>
        <v>2.563077721968465E-3</v>
      </c>
      <c r="AB26" s="17">
        <f t="array" ref="AB26">MAX(IF($C$4:$C$200=MEDIAN($M$1-1,$M$1+1,C26),$D$4:$D$200,0))</f>
        <v>1.07</v>
      </c>
      <c r="AC26" s="17">
        <f t="shared" si="4"/>
        <v>3.2499999999999973E-2</v>
      </c>
    </row>
    <row r="27" spans="2:29">
      <c r="B27" s="17">
        <v>5.5919999999999996</v>
      </c>
      <c r="C27" s="50">
        <v>99.9</v>
      </c>
      <c r="D27" s="17">
        <v>0.96189999999999998</v>
      </c>
      <c r="E27" s="50">
        <v>309.3</v>
      </c>
      <c r="F27" s="17">
        <f t="shared" si="0"/>
        <v>0.96189999999999998</v>
      </c>
      <c r="H27" s="51">
        <f t="shared" si="1"/>
        <v>0.96815634546644436</v>
      </c>
      <c r="I27" s="51">
        <f t="shared" si="2"/>
        <v>-6.2563454664443796E-3</v>
      </c>
      <c r="J27" s="51">
        <f t="shared" si="3"/>
        <v>3.9141858595499145E-5</v>
      </c>
      <c r="AB27" s="17">
        <f t="array" ref="AB27">MAX(IF($C$4:$C$200=MEDIAN($M$1-1,$M$1+1,C27),$D$4:$D$200,0))</f>
        <v>1.07</v>
      </c>
      <c r="AC27" s="17">
        <f t="shared" si="4"/>
        <v>5.2799999999999958E-2</v>
      </c>
    </row>
    <row r="28" spans="2:29">
      <c r="B28" s="17">
        <v>5.7880000000000003</v>
      </c>
      <c r="C28" s="50">
        <v>99.9</v>
      </c>
      <c r="D28" s="17">
        <v>0.90910000000000002</v>
      </c>
      <c r="E28" s="50">
        <v>309.3</v>
      </c>
      <c r="F28" s="17">
        <f t="shared" si="0"/>
        <v>0.90910000000000002</v>
      </c>
      <c r="H28" s="51">
        <f t="shared" si="1"/>
        <v>0.9234639492764023</v>
      </c>
      <c r="I28" s="51">
        <f t="shared" si="2"/>
        <v>-1.4363949276402277E-2</v>
      </c>
      <c r="J28" s="51">
        <f t="shared" si="3"/>
        <v>2.0632303881505749E-4</v>
      </c>
      <c r="AB28" s="17">
        <f t="array" ref="AB28">MAX(IF($C$4:$C$200=MEDIAN($M$1-1,$M$1+1,C28),$D$4:$D$200,0))</f>
        <v>1.07</v>
      </c>
      <c r="AC28" s="17">
        <f t="shared" si="4"/>
        <v>4.4000000000000039E-2</v>
      </c>
    </row>
    <row r="29" spans="2:29">
      <c r="B29" s="17">
        <v>5.96</v>
      </c>
      <c r="C29" s="50">
        <v>99.94</v>
      </c>
      <c r="D29" s="17">
        <v>0.86509999999999998</v>
      </c>
      <c r="E29" s="50">
        <v>312.39999999999998</v>
      </c>
      <c r="F29" s="17">
        <f t="shared" si="0"/>
        <v>0.86509999999999998</v>
      </c>
      <c r="H29" s="51">
        <f t="shared" si="1"/>
        <v>0.88674116249323198</v>
      </c>
      <c r="I29" s="51">
        <f t="shared" si="2"/>
        <v>-2.1641162493232002E-2</v>
      </c>
      <c r="J29" s="51">
        <f t="shared" si="3"/>
        <v>4.6833991405847156E-4</v>
      </c>
      <c r="AB29" s="17">
        <f t="array" ref="AB29">MAX(IF($C$4:$C$200=MEDIAN($M$1-1,$M$1+1,C29),$D$4:$D$200,0))</f>
        <v>1.153</v>
      </c>
      <c r="AC29" s="17">
        <f t="shared" si="4"/>
        <v>0</v>
      </c>
    </row>
    <row r="30" spans="2:29">
      <c r="B30" s="17">
        <v>6.1239999999999997</v>
      </c>
      <c r="C30" s="50">
        <v>99.94</v>
      </c>
      <c r="D30" s="17">
        <v>0.86509999999999998</v>
      </c>
      <c r="E30" s="50">
        <v>312.39999999999998</v>
      </c>
      <c r="F30" s="17">
        <f t="shared" si="0"/>
        <v>0.86509999999999998</v>
      </c>
      <c r="H30" s="51">
        <f t="shared" si="1"/>
        <v>0.85376672120568475</v>
      </c>
      <c r="I30" s="51">
        <f t="shared" si="2"/>
        <v>1.1333278794315227E-2</v>
      </c>
      <c r="J30" s="51">
        <f t="shared" si="3"/>
        <v>1.2844320822967521E-4</v>
      </c>
      <c r="AB30" s="17">
        <f t="array" ref="AB30">MAX(IF($C$4:$C$200=MEDIAN($M$1-1,$M$1+1,C30),$D$4:$D$200,0))</f>
        <v>1.153</v>
      </c>
      <c r="AC30" s="17">
        <f t="shared" si="4"/>
        <v>8.77E-2</v>
      </c>
    </row>
    <row r="31" spans="2:29">
      <c r="B31" s="17">
        <v>6.44</v>
      </c>
      <c r="C31" s="50">
        <v>99.9</v>
      </c>
      <c r="D31" s="17">
        <v>0.77739999999999998</v>
      </c>
      <c r="E31" s="50">
        <v>313.3</v>
      </c>
      <c r="F31" s="17">
        <f t="shared" si="0"/>
        <v>0.77739999999999998</v>
      </c>
      <c r="H31" s="51">
        <f t="shared" si="1"/>
        <v>0.79542891796318038</v>
      </c>
      <c r="I31" s="51">
        <f t="shared" si="2"/>
        <v>-1.8028917963180402E-2</v>
      </c>
      <c r="J31" s="51">
        <f t="shared" si="3"/>
        <v>3.2504188292308895E-4</v>
      </c>
      <c r="Q31" s="17"/>
      <c r="AB31" s="17">
        <f t="array" ref="AB31">MAX(IF($C$4:$C$200=MEDIAN($M$1-1,$M$1+1,C31),$D$4:$D$200,0))</f>
        <v>1.07</v>
      </c>
      <c r="AC31" s="17">
        <f t="shared" si="4"/>
        <v>4.9699999999999966E-2</v>
      </c>
    </row>
    <row r="32" spans="2:29">
      <c r="B32" s="17">
        <v>6.7</v>
      </c>
      <c r="C32" s="50">
        <v>99.9</v>
      </c>
      <c r="D32" s="17">
        <v>0.72770000000000001</v>
      </c>
      <c r="E32" s="50">
        <v>313.3</v>
      </c>
      <c r="F32" s="17">
        <f t="shared" si="0"/>
        <v>0.72770000000000001</v>
      </c>
      <c r="H32" s="51">
        <f t="shared" si="1"/>
        <v>0.75213021269407854</v>
      </c>
      <c r="I32" s="51">
        <f t="shared" si="2"/>
        <v>-2.4430212694078524E-2</v>
      </c>
      <c r="J32" s="51">
        <f t="shared" si="3"/>
        <v>5.968352922779154E-4</v>
      </c>
      <c r="AB32" s="17">
        <f t="array" ref="AB32">MAX(IF($C$4:$C$200=MEDIAN($M$1-1,$M$1+1,C32),$D$4:$D$200,0))</f>
        <v>1.07</v>
      </c>
      <c r="AC32" s="17">
        <f t="shared" si="4"/>
        <v>3.8499999999999979E-2</v>
      </c>
    </row>
    <row r="33" spans="2:29">
      <c r="B33" s="17">
        <v>6.9039999999999999</v>
      </c>
      <c r="C33" s="50">
        <v>99.86</v>
      </c>
      <c r="D33" s="17">
        <v>0.68920000000000003</v>
      </c>
      <c r="E33" s="50">
        <v>311</v>
      </c>
      <c r="F33" s="17">
        <f t="shared" si="0"/>
        <v>0.68920000000000003</v>
      </c>
      <c r="H33" s="51">
        <f t="shared" si="1"/>
        <v>0.72086409847993771</v>
      </c>
      <c r="I33" s="51">
        <f t="shared" si="2"/>
        <v>-3.1664098479937675E-2</v>
      </c>
      <c r="J33" s="51">
        <f t="shared" si="3"/>
        <v>1.0026151325471914E-3</v>
      </c>
      <c r="AB33" s="17">
        <f t="array" ref="AB33">MAX(IF($C$4:$C$200=MEDIAN($M$1-1,$M$1+1,C33),$D$4:$D$200,0))</f>
        <v>0.68920000000000003</v>
      </c>
      <c r="AC33" s="17">
        <f t="shared" si="4"/>
        <v>0</v>
      </c>
    </row>
    <row r="34" spans="2:29">
      <c r="B34" s="17">
        <v>7.0640000000000001</v>
      </c>
      <c r="C34" s="50">
        <v>99.86</v>
      </c>
      <c r="D34" s="17">
        <v>0.68920000000000003</v>
      </c>
      <c r="E34" s="50">
        <v>311</v>
      </c>
      <c r="F34" s="17">
        <f t="shared" si="0"/>
        <v>0.68920000000000003</v>
      </c>
      <c r="H34" s="51">
        <f t="shared" si="1"/>
        <v>0.69788742915609614</v>
      </c>
      <c r="I34" s="51">
        <f t="shared" si="2"/>
        <v>-8.6874291560961048E-3</v>
      </c>
      <c r="J34" s="51">
        <f t="shared" si="3"/>
        <v>7.5471425342188685E-5</v>
      </c>
      <c r="AB34" s="17">
        <f t="array" ref="AB34">MAX(IF($C$4:$C$200=MEDIAN($M$1-1,$M$1+1,C34),$D$4:$D$200,0))</f>
        <v>0.68920000000000003</v>
      </c>
      <c r="AC34" s="17">
        <f t="shared" si="4"/>
        <v>1.1199999999999988E-2</v>
      </c>
    </row>
    <row r="35" spans="2:29">
      <c r="B35" s="17">
        <v>7.3639999999999999</v>
      </c>
      <c r="C35" s="50">
        <v>99.95</v>
      </c>
      <c r="D35" s="17">
        <v>0.67800000000000005</v>
      </c>
      <c r="E35" s="50">
        <v>308.89999999999998</v>
      </c>
      <c r="F35" s="17">
        <f t="shared" si="0"/>
        <v>0.67800000000000005</v>
      </c>
      <c r="H35" s="51">
        <f t="shared" si="1"/>
        <v>0.65819116845695991</v>
      </c>
      <c r="I35" s="51">
        <f t="shared" si="2"/>
        <v>1.980883154304014E-2</v>
      </c>
      <c r="J35" s="51">
        <f t="shared" si="3"/>
        <v>3.9238980710054199E-4</v>
      </c>
      <c r="AB35" s="17">
        <f t="array" ref="AB35">MAX(IF($C$4:$C$200=MEDIAN($M$1-1,$M$1+1,C35),$D$4:$D$200,0))</f>
        <v>0.67800000000000005</v>
      </c>
      <c r="AC35" s="17">
        <f t="shared" si="4"/>
        <v>1.9600000000000062E-2</v>
      </c>
    </row>
    <row r="36" spans="2:29">
      <c r="B36" s="17">
        <v>7.6559999999999997</v>
      </c>
      <c r="C36" s="50">
        <v>99.95</v>
      </c>
      <c r="D36" s="17">
        <v>0.65839999999999999</v>
      </c>
      <c r="E36" s="50">
        <v>308.89999999999998</v>
      </c>
      <c r="F36" s="17">
        <f t="shared" ref="F36:F67" si="5">IF(C36=MEDIAN($M$1-1,$M$1+1,C36),IF(D36&lt;=AVERAGE($AB$3,AVERAGEIF($B$4:$B$200,"&gt;20",$D$4:$D$200)),D36,0),0)</f>
        <v>0.65839999999999999</v>
      </c>
      <c r="H36" s="51">
        <f t="shared" ref="H36:H67" si="6">IF(MATCH(F36,$F$4:$F$200,0)&gt;=MATCH(MAX($F$4:$F$200),$F$4:$F$200,0),$M$4+($M$5-$M$4)*(1-EXP(-B36/$M$6)),0)</f>
        <v>0.62343178849520164</v>
      </c>
      <c r="I36" s="51">
        <f t="shared" ref="I36:I67" si="7">IF(H36&gt;0,D36-H36,0)</f>
        <v>3.4968211504798341E-2</v>
      </c>
      <c r="J36" s="51">
        <f t="shared" ref="J36:J67" si="8">I36^2</f>
        <v>1.2227758158443111E-3</v>
      </c>
      <c r="AB36" s="17">
        <f t="array" ref="AB36">MAX(IF($C$4:$C$200=MEDIAN($M$1-1,$M$1+1,C36),$D$4:$D$200,0))</f>
        <v>0.67800000000000005</v>
      </c>
      <c r="AC36" s="17">
        <f t="shared" ref="AC36:AC67" si="9">ABS(D36-D37)</f>
        <v>0</v>
      </c>
    </row>
    <row r="37" spans="2:29">
      <c r="B37" s="17">
        <v>7.82</v>
      </c>
      <c r="C37" s="50">
        <v>99.94</v>
      </c>
      <c r="D37" s="17">
        <v>0.65839999999999999</v>
      </c>
      <c r="E37" s="50">
        <v>310.60000000000002</v>
      </c>
      <c r="F37" s="17">
        <f t="shared" si="5"/>
        <v>0.65839999999999999</v>
      </c>
      <c r="H37" s="51">
        <f t="shared" si="6"/>
        <v>0.60544220712019126</v>
      </c>
      <c r="I37" s="51">
        <f t="shared" si="7"/>
        <v>5.2957792879808729E-2</v>
      </c>
      <c r="J37" s="51">
        <f t="shared" si="8"/>
        <v>2.8045278267007203E-3</v>
      </c>
      <c r="AB37" s="17">
        <f t="array" ref="AB37">MAX(IF($C$4:$C$200=MEDIAN($M$1-1,$M$1+1,C37),$D$4:$D$200,0))</f>
        <v>1.153</v>
      </c>
      <c r="AC37" s="17">
        <f t="shared" si="9"/>
        <v>1.4900000000000024E-2</v>
      </c>
    </row>
    <row r="38" spans="2:29">
      <c r="B38" s="17">
        <v>8.0039999999999996</v>
      </c>
      <c r="C38" s="50">
        <v>99.94</v>
      </c>
      <c r="D38" s="17">
        <v>0.64349999999999996</v>
      </c>
      <c r="E38" s="50">
        <v>310.60000000000002</v>
      </c>
      <c r="F38" s="17">
        <f t="shared" si="5"/>
        <v>0.64349999999999996</v>
      </c>
      <c r="H38" s="51">
        <f t="shared" si="6"/>
        <v>0.58647459099046273</v>
      </c>
      <c r="I38" s="51">
        <f t="shared" si="7"/>
        <v>5.7025409009537231E-2</v>
      </c>
      <c r="J38" s="51">
        <f t="shared" si="8"/>
        <v>3.2518972727050102E-3</v>
      </c>
      <c r="AB38" s="17">
        <f t="array" ref="AB38">MAX(IF($C$4:$C$200=MEDIAN($M$1-1,$M$1+1,C38),$D$4:$D$200,0))</f>
        <v>1.153</v>
      </c>
      <c r="AC38" s="17">
        <f t="shared" si="9"/>
        <v>4.599999999999993E-2</v>
      </c>
    </row>
    <row r="39" spans="2:29">
      <c r="B39" s="17">
        <v>8.1999999999999993</v>
      </c>
      <c r="C39" s="50">
        <v>99.94</v>
      </c>
      <c r="D39" s="17">
        <v>0.59750000000000003</v>
      </c>
      <c r="E39" s="50">
        <v>310.60000000000002</v>
      </c>
      <c r="F39" s="17">
        <f t="shared" si="5"/>
        <v>0.59750000000000003</v>
      </c>
      <c r="H39" s="51">
        <f t="shared" si="6"/>
        <v>0.56759552220669818</v>
      </c>
      <c r="I39" s="51">
        <f t="shared" si="7"/>
        <v>2.9904477793301854E-2</v>
      </c>
      <c r="J39" s="51">
        <f t="shared" si="8"/>
        <v>8.942777920900837E-4</v>
      </c>
      <c r="AB39" s="17">
        <f t="array" ref="AB39">MAX(IF($C$4:$C$200=MEDIAN($M$1-1,$M$1+1,C39),$D$4:$D$200,0))</f>
        <v>1.153</v>
      </c>
      <c r="AC39" s="17">
        <f t="shared" si="9"/>
        <v>3.1900000000000039E-2</v>
      </c>
    </row>
    <row r="40" spans="2:29">
      <c r="B40" s="17">
        <v>8.4879999999999995</v>
      </c>
      <c r="C40" s="50">
        <v>99.96</v>
      </c>
      <c r="D40" s="17">
        <v>0.56559999999999999</v>
      </c>
      <c r="E40" s="50">
        <v>314.89999999999998</v>
      </c>
      <c r="F40" s="17">
        <f t="shared" si="5"/>
        <v>0.56559999999999999</v>
      </c>
      <c r="H40" s="51">
        <f t="shared" si="6"/>
        <v>0.54214654184160338</v>
      </c>
      <c r="I40" s="51">
        <f t="shared" si="7"/>
        <v>2.3453458158396612E-2</v>
      </c>
      <c r="J40" s="51">
        <f t="shared" si="8"/>
        <v>5.5006469958766055E-4</v>
      </c>
      <c r="AB40" s="17">
        <f t="array" ref="AB40">MAX(IF($C$4:$C$200=MEDIAN($M$1-1,$M$1+1,C40),$D$4:$D$200,0))</f>
        <v>0.56559999999999999</v>
      </c>
      <c r="AC40" s="17">
        <f t="shared" si="9"/>
        <v>2.6200000000000001E-2</v>
      </c>
    </row>
    <row r="41" spans="2:29">
      <c r="B41" s="17">
        <v>8.7439999999999998</v>
      </c>
      <c r="C41" s="50">
        <v>99.96</v>
      </c>
      <c r="D41" s="17">
        <v>0.53939999999999999</v>
      </c>
      <c r="E41" s="50">
        <v>314.89999999999998</v>
      </c>
      <c r="F41" s="17">
        <f t="shared" si="5"/>
        <v>0.53939999999999999</v>
      </c>
      <c r="H41" s="51">
        <f t="shared" si="6"/>
        <v>0.52162200646733581</v>
      </c>
      <c r="I41" s="51">
        <f t="shared" si="7"/>
        <v>1.7777993532664182E-2</v>
      </c>
      <c r="J41" s="51">
        <f t="shared" si="8"/>
        <v>3.1605705404744947E-4</v>
      </c>
      <c r="AB41" s="17">
        <f t="array" ref="AB41">MAX(IF($C$4:$C$200=MEDIAN($M$1-1,$M$1+1,C41),$D$4:$D$200,0))</f>
        <v>0.56559999999999999</v>
      </c>
      <c r="AC41" s="17">
        <f t="shared" si="9"/>
        <v>2.6399999999999979E-2</v>
      </c>
    </row>
    <row r="42" spans="2:29">
      <c r="B42" s="17">
        <v>8.92</v>
      </c>
      <c r="C42" s="50">
        <v>99.97</v>
      </c>
      <c r="D42" s="17">
        <v>0.51300000000000001</v>
      </c>
      <c r="E42" s="50">
        <v>315.39999999999998</v>
      </c>
      <c r="F42" s="17">
        <f t="shared" si="5"/>
        <v>0.51300000000000001</v>
      </c>
      <c r="H42" s="51">
        <f t="shared" si="6"/>
        <v>0.50856177070130215</v>
      </c>
      <c r="I42" s="51">
        <f t="shared" si="7"/>
        <v>4.43822929869786E-3</v>
      </c>
      <c r="J42" s="51">
        <f t="shared" si="8"/>
        <v>1.9697879307820097E-5</v>
      </c>
      <c r="AB42" s="17">
        <f t="array" ref="AB42">MAX(IF($C$4:$C$200=MEDIAN($M$1-1,$M$1+1,C42),$D$4:$D$200,0))</f>
        <v>0.51300000000000001</v>
      </c>
      <c r="AC42" s="17">
        <f t="shared" si="9"/>
        <v>0</v>
      </c>
    </row>
    <row r="43" spans="2:29">
      <c r="B43" s="17">
        <v>9.0640000000000001</v>
      </c>
      <c r="C43" s="50">
        <v>99.97</v>
      </c>
      <c r="D43" s="17">
        <v>0.51300000000000001</v>
      </c>
      <c r="E43" s="50">
        <v>315.39999999999998</v>
      </c>
      <c r="F43" s="17">
        <f t="shared" si="5"/>
        <v>0.51300000000000001</v>
      </c>
      <c r="H43" s="51">
        <f t="shared" si="6"/>
        <v>0.49847037779906689</v>
      </c>
      <c r="I43" s="51">
        <f t="shared" si="7"/>
        <v>1.4529622200933123E-2</v>
      </c>
      <c r="J43" s="51">
        <f t="shared" si="8"/>
        <v>2.1110992130184871E-4</v>
      </c>
      <c r="AB43" s="17">
        <f t="array" ref="AB43">MAX(IF($C$4:$C$200=MEDIAN($M$1-1,$M$1+1,C43),$D$4:$D$200,0))</f>
        <v>0.51300000000000001</v>
      </c>
      <c r="AC43" s="17">
        <f t="shared" si="9"/>
        <v>5.8000000000000274E-3</v>
      </c>
    </row>
    <row r="44" spans="2:29">
      <c r="B44" s="17">
        <v>9.3520000000000003</v>
      </c>
      <c r="C44" s="50">
        <v>99.99</v>
      </c>
      <c r="D44" s="17">
        <v>0.50719999999999998</v>
      </c>
      <c r="E44" s="50">
        <v>314.89999999999998</v>
      </c>
      <c r="F44" s="17">
        <f t="shared" si="5"/>
        <v>0.50719999999999998</v>
      </c>
      <c r="H44" s="51">
        <f t="shared" si="6"/>
        <v>0.47978036559362636</v>
      </c>
      <c r="I44" s="51">
        <f t="shared" si="7"/>
        <v>2.7419634406373627E-2</v>
      </c>
      <c r="J44" s="51">
        <f t="shared" si="8"/>
        <v>7.518363509791884E-4</v>
      </c>
      <c r="AB44" s="17">
        <f t="array" ref="AB44">MAX(IF($C$4:$C$200=MEDIAN($M$1-1,$M$1+1,C44),$D$4:$D$200,0))</f>
        <v>0.50719999999999998</v>
      </c>
      <c r="AC44" s="17">
        <f t="shared" si="9"/>
        <v>3.6099999999999965E-2</v>
      </c>
    </row>
    <row r="45" spans="2:29">
      <c r="B45" s="17">
        <v>9.6280000000000001</v>
      </c>
      <c r="C45" s="50">
        <v>99.99</v>
      </c>
      <c r="D45" s="17">
        <v>0.47110000000000002</v>
      </c>
      <c r="E45" s="50">
        <v>314.89999999999998</v>
      </c>
      <c r="F45" s="17">
        <f t="shared" si="5"/>
        <v>0.47110000000000002</v>
      </c>
      <c r="H45" s="51">
        <f t="shared" si="6"/>
        <v>0.46358634851719049</v>
      </c>
      <c r="I45" s="51">
        <f t="shared" si="7"/>
        <v>7.5136514828095247E-3</v>
      </c>
      <c r="J45" s="51">
        <f t="shared" si="8"/>
        <v>5.6454958605125771E-5</v>
      </c>
      <c r="AB45" s="17">
        <f t="array" ref="AB45">MAX(IF($C$4:$C$200=MEDIAN($M$1-1,$M$1+1,C45),$D$4:$D$200,0))</f>
        <v>0.50719999999999998</v>
      </c>
      <c r="AC45" s="17">
        <f t="shared" si="9"/>
        <v>1.3300000000000034E-2</v>
      </c>
    </row>
    <row r="46" spans="2:29">
      <c r="B46" s="17">
        <v>9.9719999999999995</v>
      </c>
      <c r="C46" s="50">
        <v>99.91</v>
      </c>
      <c r="D46" s="17">
        <v>0.45779999999999998</v>
      </c>
      <c r="E46" s="50">
        <v>315.89999999999998</v>
      </c>
      <c r="F46" s="17">
        <f t="shared" si="5"/>
        <v>0.45779999999999998</v>
      </c>
      <c r="H46" s="51">
        <f t="shared" si="6"/>
        <v>0.44551457410449657</v>
      </c>
      <c r="I46" s="51">
        <f t="shared" si="7"/>
        <v>1.228542589550341E-2</v>
      </c>
      <c r="J46" s="51">
        <f t="shared" si="8"/>
        <v>1.5093168943390578E-4</v>
      </c>
      <c r="S46" s="53"/>
      <c r="V46" s="17"/>
      <c r="AB46" s="17">
        <f t="array" ref="AB46">MAX(IF($C$4:$C$200=MEDIAN($M$1-1,$M$1+1,C46),$D$4:$D$200,0))</f>
        <v>0.45779999999999998</v>
      </c>
      <c r="AC46" s="17">
        <f t="shared" si="9"/>
        <v>1.7799999999999983E-2</v>
      </c>
    </row>
    <row r="47" spans="2:29">
      <c r="B47" s="17">
        <v>10.151999999999999</v>
      </c>
      <c r="C47" s="50">
        <v>99.91</v>
      </c>
      <c r="D47" s="17">
        <v>0.44</v>
      </c>
      <c r="E47" s="50">
        <v>315.89999999999998</v>
      </c>
      <c r="F47" s="17">
        <f t="shared" si="5"/>
        <v>0.44</v>
      </c>
      <c r="H47" s="51">
        <f t="shared" si="6"/>
        <v>0.43690733839194174</v>
      </c>
      <c r="I47" s="51">
        <f t="shared" si="7"/>
        <v>3.092661608058267E-3</v>
      </c>
      <c r="J47" s="51">
        <f t="shared" si="8"/>
        <v>9.5645558219575449E-6</v>
      </c>
      <c r="S47" s="23"/>
      <c r="T47" s="54"/>
      <c r="U47" s="23"/>
      <c r="AB47" s="17">
        <f t="array" ref="AB47">MAX(IF($C$4:$C$200=MEDIAN($M$1-1,$M$1+1,C47),$D$4:$D$200,0))</f>
        <v>0.45779999999999998</v>
      </c>
      <c r="AC47" s="17">
        <f t="shared" si="9"/>
        <v>2.2399999999999975E-2</v>
      </c>
    </row>
    <row r="48" spans="2:29">
      <c r="B48" s="17">
        <v>10.44</v>
      </c>
      <c r="C48" s="50">
        <v>99.92</v>
      </c>
      <c r="D48" s="17">
        <v>0.41760000000000003</v>
      </c>
      <c r="E48" s="50">
        <v>317.7</v>
      </c>
      <c r="F48" s="17">
        <f t="shared" si="5"/>
        <v>0.41760000000000003</v>
      </c>
      <c r="H48" s="51">
        <f t="shared" si="6"/>
        <v>0.42423688139654914</v>
      </c>
      <c r="I48" s="51">
        <f t="shared" si="7"/>
        <v>-6.6368813965491102E-3</v>
      </c>
      <c r="J48" s="51">
        <f t="shared" si="8"/>
        <v>4.4048194671859669E-5</v>
      </c>
      <c r="AB48" s="17">
        <f t="array" ref="AB48">MAX(IF($C$4:$C$200=MEDIAN($M$1-1,$M$1+1,C48),$D$4:$D$200,0))</f>
        <v>0.41760000000000003</v>
      </c>
      <c r="AC48" s="17">
        <f t="shared" si="9"/>
        <v>4.6000000000000485E-3</v>
      </c>
    </row>
    <row r="49" spans="2:29">
      <c r="B49" s="17">
        <v>10.708</v>
      </c>
      <c r="C49" s="50">
        <v>99.92</v>
      </c>
      <c r="D49" s="17">
        <v>0.41299999999999998</v>
      </c>
      <c r="E49" s="50">
        <v>316.2</v>
      </c>
      <c r="F49" s="17">
        <f t="shared" si="5"/>
        <v>0.41299999999999998</v>
      </c>
      <c r="H49" s="51">
        <f t="shared" si="6"/>
        <v>0.41356174088523012</v>
      </c>
      <c r="I49" s="51">
        <f t="shared" si="7"/>
        <v>-5.617408852301442E-4</v>
      </c>
      <c r="J49" s="51">
        <f t="shared" si="8"/>
        <v>3.1555282213914603E-7</v>
      </c>
      <c r="AB49" s="17">
        <f t="array" ref="AB49">MAX(IF($C$4:$C$200=MEDIAN($M$1-1,$M$1+1,C49),$D$4:$D$200,0))</f>
        <v>0.41760000000000003</v>
      </c>
      <c r="AC49" s="17">
        <f t="shared" si="9"/>
        <v>1.8600000000000005E-2</v>
      </c>
    </row>
    <row r="50" spans="2:29">
      <c r="B50" s="17">
        <v>10.884</v>
      </c>
      <c r="C50" s="50">
        <v>99.92</v>
      </c>
      <c r="D50" s="17">
        <v>0.39439999999999997</v>
      </c>
      <c r="E50" s="50">
        <v>316.2</v>
      </c>
      <c r="F50" s="17">
        <f t="shared" si="5"/>
        <v>0.39439999999999997</v>
      </c>
      <c r="H50" s="51">
        <f t="shared" si="6"/>
        <v>0.40708717053714327</v>
      </c>
      <c r="I50" s="51">
        <f t="shared" si="7"/>
        <v>-1.26871705371433E-2</v>
      </c>
      <c r="J50" s="51">
        <f t="shared" si="8"/>
        <v>1.60964296238557E-4</v>
      </c>
      <c r="AB50" s="17">
        <f t="array" ref="AB50">MAX(IF($C$4:$C$200=MEDIAN($M$1-1,$M$1+1,C50),$D$4:$D$200,0))</f>
        <v>0.41760000000000003</v>
      </c>
      <c r="AC50" s="17">
        <f t="shared" si="9"/>
        <v>0</v>
      </c>
    </row>
    <row r="51" spans="2:29">
      <c r="B51" s="17">
        <v>11.06</v>
      </c>
      <c r="C51" s="50">
        <v>99.92</v>
      </c>
      <c r="D51" s="17">
        <v>0.39439999999999997</v>
      </c>
      <c r="E51" s="50">
        <v>316.2</v>
      </c>
      <c r="F51" s="17">
        <f t="shared" si="5"/>
        <v>0.39439999999999997</v>
      </c>
      <c r="H51" s="51">
        <f t="shared" si="6"/>
        <v>0.40100718883649034</v>
      </c>
      <c r="I51" s="51">
        <f t="shared" si="7"/>
        <v>-6.607188836490363E-3</v>
      </c>
      <c r="J51" s="51">
        <f t="shared" si="8"/>
        <v>4.3654944321042876E-5</v>
      </c>
      <c r="AB51" s="17">
        <f t="array" ref="AB51">MAX(IF($C$4:$C$200=MEDIAN($M$1-1,$M$1+1,C51),$D$4:$D$200,0))</f>
        <v>0.41760000000000003</v>
      </c>
      <c r="AC51" s="17">
        <f t="shared" si="9"/>
        <v>2.3000000000000242E-3</v>
      </c>
    </row>
    <row r="52" spans="2:29">
      <c r="B52" s="17">
        <v>11.368</v>
      </c>
      <c r="C52" s="50">
        <v>99.87</v>
      </c>
      <c r="D52" s="17">
        <v>0.3967</v>
      </c>
      <c r="E52" s="50">
        <v>315.7</v>
      </c>
      <c r="F52" s="17">
        <f t="shared" si="5"/>
        <v>0.3967</v>
      </c>
      <c r="H52" s="51">
        <f t="shared" si="6"/>
        <v>0.39124519713357842</v>
      </c>
      <c r="I52" s="51">
        <f t="shared" si="7"/>
        <v>5.454802866421582E-3</v>
      </c>
      <c r="J52" s="51">
        <f t="shared" si="8"/>
        <v>2.9754874311521107E-5</v>
      </c>
      <c r="AB52" s="17">
        <f t="array" ref="AB52">MAX(IF($C$4:$C$200=MEDIAN($M$1-1,$M$1+1,C52),$D$4:$D$200,0))</f>
        <v>0.3967</v>
      </c>
      <c r="AC52" s="17">
        <f t="shared" si="9"/>
        <v>1.9199999999999995E-2</v>
      </c>
    </row>
    <row r="53" spans="2:29">
      <c r="B53" s="17">
        <v>11.624000000000001</v>
      </c>
      <c r="C53" s="50">
        <v>99.87</v>
      </c>
      <c r="D53" s="17">
        <v>0.3775</v>
      </c>
      <c r="E53" s="50">
        <v>315.7</v>
      </c>
      <c r="F53" s="17">
        <f t="shared" si="5"/>
        <v>0.3775</v>
      </c>
      <c r="H53" s="51">
        <f t="shared" si="6"/>
        <v>0.38391013164428145</v>
      </c>
      <c r="I53" s="51">
        <f t="shared" si="7"/>
        <v>-6.4101316442814471E-3</v>
      </c>
      <c r="J53" s="51">
        <f t="shared" si="8"/>
        <v>4.1089787697018369E-5</v>
      </c>
      <c r="AB53" s="17">
        <f t="array" ref="AB53">MAX(IF($C$4:$C$200=MEDIAN($M$1-1,$M$1+1,C53),$D$4:$D$200,0))</f>
        <v>0.3967</v>
      </c>
      <c r="AC53" s="17">
        <f t="shared" si="9"/>
        <v>0</v>
      </c>
    </row>
    <row r="54" spans="2:29">
      <c r="B54" s="17">
        <v>11.816000000000001</v>
      </c>
      <c r="C54" s="50">
        <v>99.86</v>
      </c>
      <c r="D54" s="17">
        <v>0.3775</v>
      </c>
      <c r="E54" s="50">
        <v>315.10000000000002</v>
      </c>
      <c r="F54" s="17">
        <f t="shared" si="5"/>
        <v>0.3775</v>
      </c>
      <c r="H54" s="51">
        <f t="shared" si="6"/>
        <v>0.37883271812992358</v>
      </c>
      <c r="I54" s="51">
        <f t="shared" si="7"/>
        <v>-1.3327181299235824E-3</v>
      </c>
      <c r="J54" s="51">
        <f t="shared" si="8"/>
        <v>1.7761376138270108E-6</v>
      </c>
      <c r="AB54" s="17">
        <f t="array" ref="AB54">MAX(IF($C$4:$C$200=MEDIAN($M$1-1,$M$1+1,C54),$D$4:$D$200,0))</f>
        <v>0.68920000000000003</v>
      </c>
      <c r="AC54" s="17">
        <f t="shared" si="9"/>
        <v>5.3000000000000269E-3</v>
      </c>
    </row>
    <row r="55" spans="2:29">
      <c r="B55" s="17">
        <v>11.972</v>
      </c>
      <c r="C55" s="50">
        <v>99.86</v>
      </c>
      <c r="D55" s="17">
        <v>0.37219999999999998</v>
      </c>
      <c r="E55" s="50">
        <v>315.10000000000002</v>
      </c>
      <c r="F55" s="17">
        <f t="shared" si="5"/>
        <v>0.37219999999999998</v>
      </c>
      <c r="H55" s="51">
        <f t="shared" si="6"/>
        <v>0.37495622862347222</v>
      </c>
      <c r="I55" s="51">
        <f t="shared" si="7"/>
        <v>-2.7562286234722455E-3</v>
      </c>
      <c r="J55" s="51">
        <f t="shared" si="8"/>
        <v>7.5967962248477094E-6</v>
      </c>
      <c r="AB55" s="17">
        <f t="array" ref="AB55">MAX(IF($C$4:$C$200=MEDIAN($M$1-1,$M$1+1,C55),$D$4:$D$200,0))</f>
        <v>0.68920000000000003</v>
      </c>
      <c r="AC55" s="17">
        <f t="shared" si="9"/>
        <v>8.0000000000002292E-4</v>
      </c>
    </row>
    <row r="56" spans="2:29">
      <c r="B56" s="17">
        <v>12.228</v>
      </c>
      <c r="C56" s="50">
        <v>99.92</v>
      </c>
      <c r="D56" s="17">
        <v>0.373</v>
      </c>
      <c r="E56" s="50">
        <v>314.5</v>
      </c>
      <c r="F56" s="17">
        <f t="shared" si="5"/>
        <v>0.373</v>
      </c>
      <c r="H56" s="51">
        <f t="shared" si="6"/>
        <v>0.36904489371813387</v>
      </c>
      <c r="I56" s="51">
        <f t="shared" si="7"/>
        <v>3.9551062818661276E-3</v>
      </c>
      <c r="J56" s="51">
        <f t="shared" si="8"/>
        <v>1.5642865700856904E-5</v>
      </c>
      <c r="AB56" s="17">
        <f t="array" ref="AB56">MAX(IF($C$4:$C$200=MEDIAN($M$1-1,$M$1+1,C56),$D$4:$D$200,0))</f>
        <v>0.41760000000000003</v>
      </c>
      <c r="AC56" s="17">
        <f t="shared" si="9"/>
        <v>9.000000000000119E-4</v>
      </c>
    </row>
    <row r="57" spans="2:29">
      <c r="B57" s="17">
        <v>12.548</v>
      </c>
      <c r="C57" s="50">
        <v>99.92</v>
      </c>
      <c r="D57" s="17">
        <v>0.37390000000000001</v>
      </c>
      <c r="E57" s="50">
        <v>314.5</v>
      </c>
      <c r="F57" s="17">
        <f t="shared" si="5"/>
        <v>0.37390000000000001</v>
      </c>
      <c r="H57" s="51">
        <f t="shared" si="6"/>
        <v>0.36237692154889523</v>
      </c>
      <c r="I57" s="51">
        <f t="shared" si="7"/>
        <v>1.1523078451104785E-2</v>
      </c>
      <c r="J57" s="51">
        <f t="shared" si="8"/>
        <v>1.3278133699031543E-4</v>
      </c>
      <c r="AB57" s="17">
        <f t="array" ref="AB57">MAX(IF($C$4:$C$200=MEDIAN($M$1-1,$M$1+1,C57),$D$4:$D$200,0))</f>
        <v>0.41760000000000003</v>
      </c>
      <c r="AC57" s="17">
        <f t="shared" si="9"/>
        <v>1.9900000000000029E-2</v>
      </c>
    </row>
    <row r="58" spans="2:29">
      <c r="B58" s="17">
        <v>12.776</v>
      </c>
      <c r="C58" s="50">
        <v>99.87</v>
      </c>
      <c r="D58" s="17">
        <v>0.35399999999999998</v>
      </c>
      <c r="E58" s="50">
        <v>309.39999999999998</v>
      </c>
      <c r="F58" s="17">
        <f t="shared" si="5"/>
        <v>0.35399999999999998</v>
      </c>
      <c r="H58" s="51">
        <f t="shared" si="6"/>
        <v>0.35807019238378501</v>
      </c>
      <c r="I58" s="51">
        <f t="shared" si="7"/>
        <v>-4.0701923837850318E-3</v>
      </c>
      <c r="J58" s="51">
        <f t="shared" si="8"/>
        <v>1.6566466041021679E-5</v>
      </c>
      <c r="AB58" s="17">
        <f t="array" ref="AB58">MAX(IF($C$4:$C$200=MEDIAN($M$1-1,$M$1+1,C58),$D$4:$D$200,0))</f>
        <v>0.3967</v>
      </c>
      <c r="AC58" s="17">
        <f t="shared" si="9"/>
        <v>8.0999999999999961E-3</v>
      </c>
    </row>
    <row r="59" spans="2:29">
      <c r="B59" s="17">
        <v>12.936</v>
      </c>
      <c r="C59" s="50">
        <v>99.87</v>
      </c>
      <c r="D59" s="17">
        <v>0.34589999999999999</v>
      </c>
      <c r="E59" s="50">
        <v>309.39999999999998</v>
      </c>
      <c r="F59" s="17">
        <f t="shared" si="5"/>
        <v>0.34589999999999999</v>
      </c>
      <c r="H59" s="51">
        <f t="shared" si="6"/>
        <v>0.35525070507378054</v>
      </c>
      <c r="I59" s="51">
        <f t="shared" si="7"/>
        <v>-9.3507050737805519E-3</v>
      </c>
      <c r="J59" s="51">
        <f t="shared" si="8"/>
        <v>8.7435685376825354E-5</v>
      </c>
      <c r="AB59" s="17">
        <f t="array" ref="AB59">MAX(IF($C$4:$C$200=MEDIAN($M$1-1,$M$1+1,C59),$D$4:$D$200,0))</f>
        <v>0.3967</v>
      </c>
      <c r="AC59" s="17">
        <f t="shared" si="9"/>
        <v>1.7199999999999993E-2</v>
      </c>
    </row>
    <row r="60" spans="2:29">
      <c r="B60" s="17">
        <v>13.108000000000001</v>
      </c>
      <c r="C60" s="50">
        <v>99.86</v>
      </c>
      <c r="D60" s="17">
        <v>0.32869999999999999</v>
      </c>
      <c r="E60" s="50">
        <v>304.8</v>
      </c>
      <c r="F60" s="17">
        <f t="shared" si="5"/>
        <v>0.32869999999999999</v>
      </c>
      <c r="H60" s="51">
        <f t="shared" si="6"/>
        <v>0.35239422789855634</v>
      </c>
      <c r="I60" s="51">
        <f t="shared" si="7"/>
        <v>-2.3694227898556353E-2</v>
      </c>
      <c r="J60" s="51">
        <f t="shared" si="8"/>
        <v>5.6141643570872617E-4</v>
      </c>
      <c r="AB60" s="17">
        <f t="array" ref="AB60">MAX(IF($C$4:$C$200=MEDIAN($M$1-1,$M$1+1,C60),$D$4:$D$200,0))</f>
        <v>0.68920000000000003</v>
      </c>
      <c r="AC60" s="17">
        <f t="shared" si="9"/>
        <v>1.9000000000000128E-3</v>
      </c>
    </row>
    <row r="61" spans="2:29">
      <c r="B61" s="17">
        <v>13.412000000000001</v>
      </c>
      <c r="C61" s="50">
        <v>99.86</v>
      </c>
      <c r="D61" s="17">
        <v>0.3306</v>
      </c>
      <c r="E61" s="50">
        <v>304.8</v>
      </c>
      <c r="F61" s="17">
        <f t="shared" si="5"/>
        <v>0.3306</v>
      </c>
      <c r="H61" s="51">
        <f t="shared" si="6"/>
        <v>0.34775557130966472</v>
      </c>
      <c r="I61" s="51">
        <f t="shared" si="7"/>
        <v>-1.7155571309664719E-2</v>
      </c>
      <c r="J61" s="51">
        <f t="shared" si="8"/>
        <v>2.9431362696099125E-4</v>
      </c>
      <c r="AB61" s="17">
        <f t="array" ref="AB61">MAX(IF($C$4:$C$200=MEDIAN($M$1-1,$M$1+1,C61),$D$4:$D$200,0))</f>
        <v>0.68920000000000003</v>
      </c>
      <c r="AC61" s="17">
        <f t="shared" si="9"/>
        <v>4.0000000000000036E-3</v>
      </c>
    </row>
    <row r="62" spans="2:29">
      <c r="B62" s="17">
        <v>13.7</v>
      </c>
      <c r="C62" s="50">
        <v>99.9</v>
      </c>
      <c r="D62" s="50">
        <v>0.33460000000000001</v>
      </c>
      <c r="E62" s="50">
        <v>301.3</v>
      </c>
      <c r="F62" s="17">
        <f t="shared" si="5"/>
        <v>0.33460000000000001</v>
      </c>
      <c r="H62" s="51">
        <f t="shared" si="6"/>
        <v>0.34380226001067182</v>
      </c>
      <c r="I62" s="51">
        <f t="shared" si="7"/>
        <v>-9.2022600106718144E-3</v>
      </c>
      <c r="J62" s="51">
        <f t="shared" si="8"/>
        <v>8.4681589304009628E-5</v>
      </c>
      <c r="AB62" s="17">
        <f t="array" ref="AB62">MAX(IF($C$4:$C$200=MEDIAN($M$1-1,$M$1+1,C62),$D$4:$D$200,0))</f>
        <v>1.07</v>
      </c>
      <c r="AC62" s="17">
        <f t="shared" si="9"/>
        <v>5.8000000000000274E-3</v>
      </c>
    </row>
    <row r="63" spans="2:29">
      <c r="B63" s="17">
        <v>13.907999999999999</v>
      </c>
      <c r="C63" s="50">
        <v>99.9</v>
      </c>
      <c r="D63" s="50">
        <v>0.32879999999999998</v>
      </c>
      <c r="E63" s="50">
        <v>301.3</v>
      </c>
      <c r="F63" s="17">
        <f t="shared" si="5"/>
        <v>0.32879999999999998</v>
      </c>
      <c r="H63" s="51">
        <f t="shared" si="6"/>
        <v>0.34118973892843307</v>
      </c>
      <c r="I63" s="51">
        <f t="shared" si="7"/>
        <v>-1.2389738928433092E-2</v>
      </c>
      <c r="J63" s="51">
        <f t="shared" si="8"/>
        <v>1.5350563071473038E-4</v>
      </c>
      <c r="AB63" s="17">
        <f t="array" ref="AB63">MAX(IF($C$4:$C$200=MEDIAN($M$1-1,$M$1+1,C63),$D$4:$D$200,0))</f>
        <v>1.07</v>
      </c>
      <c r="AC63" s="17">
        <f t="shared" si="9"/>
        <v>1.8600000000000005E-2</v>
      </c>
    </row>
    <row r="64" spans="2:29">
      <c r="B64" s="17">
        <v>14.092000000000001</v>
      </c>
      <c r="C64" s="50">
        <v>99.9</v>
      </c>
      <c r="D64" s="50">
        <v>0.31019999999999998</v>
      </c>
      <c r="E64" s="50">
        <v>297.2</v>
      </c>
      <c r="F64" s="17">
        <f t="shared" si="5"/>
        <v>0.31019999999999998</v>
      </c>
      <c r="H64" s="51">
        <f t="shared" si="6"/>
        <v>0.33903506963964958</v>
      </c>
      <c r="I64" s="51">
        <f t="shared" si="7"/>
        <v>-2.8835069639649602E-2</v>
      </c>
      <c r="J64" s="51">
        <f t="shared" si="8"/>
        <v>8.314612411234422E-4</v>
      </c>
      <c r="AB64" s="17">
        <f t="array" ref="AB64">MAX(IF($C$4:$C$200=MEDIAN($M$1-1,$M$1+1,C64),$D$4:$D$200,0))</f>
        <v>1.07</v>
      </c>
      <c r="AC64" s="17">
        <f t="shared" si="9"/>
        <v>3.5000000000000031E-3</v>
      </c>
    </row>
    <row r="65" spans="2:29">
      <c r="B65" s="17">
        <v>14.42</v>
      </c>
      <c r="C65" s="50">
        <v>99.9</v>
      </c>
      <c r="D65" s="50">
        <v>0.30669999999999997</v>
      </c>
      <c r="E65" s="50">
        <v>297.2</v>
      </c>
      <c r="F65" s="17">
        <f t="shared" si="5"/>
        <v>0.30669999999999997</v>
      </c>
      <c r="H65" s="51">
        <f t="shared" si="6"/>
        <v>0.33552847796792573</v>
      </c>
      <c r="I65" s="51">
        <f t="shared" si="7"/>
        <v>-2.8828477967925759E-2</v>
      </c>
      <c r="J65" s="51">
        <f t="shared" si="8"/>
        <v>8.310811419471809E-4</v>
      </c>
      <c r="AB65" s="17">
        <f t="array" ref="AB65">MAX(IF($C$4:$C$200=MEDIAN($M$1-1,$M$1+1,C65),$D$4:$D$200,0))</f>
        <v>1.07</v>
      </c>
      <c r="AC65" s="17">
        <f t="shared" si="9"/>
        <v>6.5000000000000058E-3</v>
      </c>
    </row>
    <row r="66" spans="2:29">
      <c r="B66" s="17">
        <v>14.708</v>
      </c>
      <c r="C66" s="50">
        <v>99.95</v>
      </c>
      <c r="D66" s="50">
        <v>0.31319999999999998</v>
      </c>
      <c r="E66" s="50">
        <v>296.5</v>
      </c>
      <c r="F66" s="17">
        <f t="shared" si="5"/>
        <v>0.31319999999999998</v>
      </c>
      <c r="H66" s="51">
        <f t="shared" si="6"/>
        <v>0.33277071620868526</v>
      </c>
      <c r="I66" s="51">
        <f t="shared" si="7"/>
        <v>-1.9570716208685279E-2</v>
      </c>
      <c r="J66" s="51">
        <f t="shared" si="8"/>
        <v>3.8301293292089669E-4</v>
      </c>
      <c r="AB66" s="17">
        <f t="array" ref="AB66">MAX(IF($C$4:$C$200=MEDIAN($M$1-1,$M$1+1,C66),$D$4:$D$200,0))</f>
        <v>0.67800000000000005</v>
      </c>
      <c r="AC66" s="17">
        <f t="shared" si="9"/>
        <v>3.9999999999995595E-4</v>
      </c>
    </row>
    <row r="67" spans="2:29">
      <c r="B67" s="17">
        <v>14.916</v>
      </c>
      <c r="C67" s="50">
        <v>99.95</v>
      </c>
      <c r="D67" s="50">
        <v>0.31280000000000002</v>
      </c>
      <c r="E67" s="50">
        <v>296.5</v>
      </c>
      <c r="F67" s="17">
        <f t="shared" si="5"/>
        <v>0.31280000000000002</v>
      </c>
      <c r="H67" s="51">
        <f t="shared" si="6"/>
        <v>0.33094826657320109</v>
      </c>
      <c r="I67" s="51">
        <f t="shared" si="7"/>
        <v>-1.8148266573201066E-2</v>
      </c>
      <c r="J67" s="51">
        <f t="shared" si="8"/>
        <v>3.2935957961196719E-4</v>
      </c>
      <c r="AB67" s="17">
        <f t="array" ref="AB67">MAX(IF($C$4:$C$200=MEDIAN($M$1-1,$M$1+1,C67),$D$4:$D$200,0))</f>
        <v>0.67800000000000005</v>
      </c>
      <c r="AC67" s="17">
        <f t="shared" si="9"/>
        <v>2.1999999999999964E-2</v>
      </c>
    </row>
    <row r="68" spans="2:29">
      <c r="B68" s="17">
        <v>15.14</v>
      </c>
      <c r="C68" s="50">
        <v>99.95</v>
      </c>
      <c r="D68" s="50">
        <v>0.33479999999999999</v>
      </c>
      <c r="E68" s="50">
        <v>294.5</v>
      </c>
      <c r="F68" s="17">
        <f t="shared" ref="F68:F99" si="10">IF(C68=MEDIAN($M$1-1,$M$1+1,C68),IF(D68&lt;=AVERAGE($AB$3,AVERAGEIF($B$4:$B$200,"&gt;20",$D$4:$D$200)),D68,0),0)</f>
        <v>0.33479999999999999</v>
      </c>
      <c r="H68" s="51">
        <f t="shared" ref="H68:H99" si="11">IF(MATCH(F68,$F$4:$F$200,0)&gt;=MATCH(MAX($F$4:$F$200),$F$4:$F$200,0),$M$4+($M$5-$M$4)*(1-EXP(-B68/$M$6)),0)</f>
        <v>0.32913132491619201</v>
      </c>
      <c r="I68" s="51">
        <f t="shared" ref="I68:I99" si="12">IF(H68&gt;0,D68-H68,0)</f>
        <v>5.6686750838079725E-3</v>
      </c>
      <c r="J68" s="51">
        <f t="shared" ref="J68:J99" si="13">I68^2</f>
        <v>3.2133877205785324E-5</v>
      </c>
      <c r="AB68" s="17">
        <f t="array" ref="AB68">MAX(IF($C$4:$C$200=MEDIAN($M$1-1,$M$1+1,C68),$D$4:$D$200,0))</f>
        <v>0.67800000000000005</v>
      </c>
      <c r="AC68" s="17">
        <f t="shared" ref="AC68:AC99" si="14">ABS(D68-D69)</f>
        <v>8.0000000000002292E-4</v>
      </c>
    </row>
    <row r="69" spans="2:29">
      <c r="B69" s="17">
        <v>15.428000000000001</v>
      </c>
      <c r="C69" s="50">
        <v>99.95</v>
      </c>
      <c r="D69" s="50">
        <v>0.33560000000000001</v>
      </c>
      <c r="E69" s="50">
        <v>294.5</v>
      </c>
      <c r="F69" s="17">
        <f t="shared" si="10"/>
        <v>0.33560000000000001</v>
      </c>
      <c r="H69" s="51">
        <f t="shared" si="11"/>
        <v>0.32699906859581418</v>
      </c>
      <c r="I69" s="51">
        <f t="shared" si="12"/>
        <v>8.6009314041858298E-3</v>
      </c>
      <c r="J69" s="51">
        <f t="shared" si="13"/>
        <v>7.3976021019510024E-5</v>
      </c>
      <c r="AB69" s="17">
        <f t="array" ref="AB69">MAX(IF($C$4:$C$200=MEDIAN($M$1-1,$M$1+1,C69),$D$4:$D$200,0))</f>
        <v>0.67800000000000005</v>
      </c>
      <c r="AC69" s="17">
        <f t="shared" si="14"/>
        <v>3.7999999999999701E-3</v>
      </c>
    </row>
    <row r="70" spans="2:29">
      <c r="B70" s="17">
        <v>15.676</v>
      </c>
      <c r="C70" s="50">
        <v>99.88</v>
      </c>
      <c r="D70" s="50">
        <v>0.33939999999999998</v>
      </c>
      <c r="E70" s="50">
        <v>293</v>
      </c>
      <c r="F70" s="17">
        <f t="shared" si="10"/>
        <v>0.33939999999999998</v>
      </c>
      <c r="H70" s="51">
        <f t="shared" si="11"/>
        <v>0.32533080215443366</v>
      </c>
      <c r="I70" s="51">
        <f t="shared" si="12"/>
        <v>1.4069197845566317E-2</v>
      </c>
      <c r="J70" s="51">
        <f t="shared" si="13"/>
        <v>1.9794232801768791E-4</v>
      </c>
      <c r="AB70" s="17">
        <f t="array" ref="AB70">MAX(IF($C$4:$C$200=MEDIAN($M$1-1,$M$1+1,C70),$D$4:$D$200,0))</f>
        <v>0.33939999999999998</v>
      </c>
      <c r="AC70" s="17">
        <f t="shared" si="14"/>
        <v>6.6999999999999837E-3</v>
      </c>
    </row>
    <row r="71" spans="2:29">
      <c r="B71" s="17">
        <v>15.864000000000001</v>
      </c>
      <c r="C71" s="50">
        <v>99.88</v>
      </c>
      <c r="D71" s="50">
        <v>0.3327</v>
      </c>
      <c r="E71" s="50">
        <v>293</v>
      </c>
      <c r="F71" s="17">
        <f t="shared" si="10"/>
        <v>0.3327</v>
      </c>
      <c r="H71" s="51">
        <f t="shared" si="11"/>
        <v>0.32416107213184642</v>
      </c>
      <c r="I71" s="51">
        <f t="shared" si="12"/>
        <v>8.5389278681535785E-3</v>
      </c>
      <c r="J71" s="51">
        <f t="shared" si="13"/>
        <v>7.2913289137529821E-5</v>
      </c>
      <c r="Q71" s="17"/>
      <c r="V71" s="17"/>
      <c r="AB71" s="17">
        <f t="array" ref="AB71">MAX(IF($C$4:$C$200=MEDIAN($M$1-1,$M$1+1,C71),$D$4:$D$200,0))</f>
        <v>0.33939999999999998</v>
      </c>
      <c r="AC71" s="17">
        <f t="shared" si="14"/>
        <v>0</v>
      </c>
    </row>
    <row r="72" spans="2:29">
      <c r="B72" s="17">
        <v>16.004000000000001</v>
      </c>
      <c r="C72" s="50">
        <v>99.96</v>
      </c>
      <c r="D72" s="50">
        <v>0.3327</v>
      </c>
      <c r="E72" s="50">
        <v>287.39999999999998</v>
      </c>
      <c r="F72" s="17">
        <f t="shared" si="10"/>
        <v>0.3327</v>
      </c>
      <c r="H72" s="51">
        <f t="shared" si="11"/>
        <v>0.32333963802164067</v>
      </c>
      <c r="I72" s="51">
        <f t="shared" si="12"/>
        <v>9.3603619783593217E-3</v>
      </c>
      <c r="J72" s="51">
        <f t="shared" si="13"/>
        <v>8.7616376365914829E-5</v>
      </c>
      <c r="S72" s="29"/>
      <c r="T72" s="55"/>
      <c r="U72" s="29"/>
      <c r="V72" s="24"/>
      <c r="AB72" s="17">
        <f t="array" ref="AB72">MAX(IF($C$4:$C$200=MEDIAN($M$1-1,$M$1+1,C72),$D$4:$D$200,0))</f>
        <v>0.56559999999999999</v>
      </c>
      <c r="AC72" s="17">
        <f t="shared" si="14"/>
        <v>1.8299999999999983E-2</v>
      </c>
    </row>
    <row r="73" spans="2:29">
      <c r="B73" s="17">
        <v>16.244</v>
      </c>
      <c r="C73" s="50">
        <v>99.96</v>
      </c>
      <c r="D73" s="50">
        <v>0.35099999999999998</v>
      </c>
      <c r="E73" s="50">
        <v>287.39999999999998</v>
      </c>
      <c r="F73" s="17">
        <f t="shared" si="10"/>
        <v>0.35099999999999998</v>
      </c>
      <c r="H73" s="51">
        <f t="shared" si="11"/>
        <v>0.32202361725571915</v>
      </c>
      <c r="I73" s="51">
        <f t="shared" si="12"/>
        <v>2.8976382744280826E-2</v>
      </c>
      <c r="J73" s="51">
        <f t="shared" si="13"/>
        <v>8.3963075694305561E-4</v>
      </c>
      <c r="AB73" s="17">
        <f t="array" ref="AB73">MAX(IF($C$4:$C$200=MEDIAN($M$1-1,$M$1+1,C73),$D$4:$D$200,0))</f>
        <v>0.56559999999999999</v>
      </c>
      <c r="AC73" s="17">
        <f t="shared" si="14"/>
        <v>1.7000000000000348E-3</v>
      </c>
    </row>
    <row r="74" spans="2:29">
      <c r="B74" s="17">
        <v>16.547999999999998</v>
      </c>
      <c r="C74" s="50">
        <v>99.91</v>
      </c>
      <c r="D74" s="50">
        <v>0.35270000000000001</v>
      </c>
      <c r="E74" s="50">
        <v>288.8</v>
      </c>
      <c r="F74" s="17">
        <f t="shared" si="10"/>
        <v>0.35270000000000001</v>
      </c>
      <c r="H74" s="51">
        <f t="shared" si="11"/>
        <v>0.32051074881281671</v>
      </c>
      <c r="I74" s="51">
        <f t="shared" si="12"/>
        <v>3.2189251187183299E-2</v>
      </c>
      <c r="J74" s="51">
        <f t="shared" si="13"/>
        <v>1.0361478919915814E-3</v>
      </c>
      <c r="AB74" s="17">
        <f t="array" ref="AB74">MAX(IF($C$4:$C$200=MEDIAN($M$1-1,$M$1+1,C74),$D$4:$D$200,0))</f>
        <v>0.45779999999999998</v>
      </c>
      <c r="AC74" s="17">
        <f t="shared" si="14"/>
        <v>1.4000000000000123E-3</v>
      </c>
    </row>
    <row r="75" spans="2:29">
      <c r="B75" s="17">
        <v>16.763999999999999</v>
      </c>
      <c r="C75" s="50">
        <v>99.91</v>
      </c>
      <c r="D75" s="50">
        <v>0.3513</v>
      </c>
      <c r="E75" s="50">
        <v>288.8</v>
      </c>
      <c r="F75" s="17">
        <f t="shared" si="10"/>
        <v>0.3513</v>
      </c>
      <c r="H75" s="51">
        <f t="shared" si="11"/>
        <v>0.31953140929718771</v>
      </c>
      <c r="I75" s="51">
        <f t="shared" si="12"/>
        <v>3.1768590702812294E-2</v>
      </c>
      <c r="J75" s="51">
        <f t="shared" si="13"/>
        <v>1.0092433552428117E-3</v>
      </c>
      <c r="AB75" s="17">
        <f t="array" ref="AB75">MAX(IF($C$4:$C$200=MEDIAN($M$1-1,$M$1+1,C75),$D$4:$D$200,0))</f>
        <v>0.45779999999999998</v>
      </c>
      <c r="AC75" s="17">
        <f t="shared" si="14"/>
        <v>1.2699999999999989E-2</v>
      </c>
    </row>
    <row r="76" spans="2:29">
      <c r="B76" s="17">
        <v>16.948</v>
      </c>
      <c r="C76" s="50">
        <v>99.92</v>
      </c>
      <c r="D76" s="50">
        <v>0.33860000000000001</v>
      </c>
      <c r="E76" s="50">
        <v>296.39999999999998</v>
      </c>
      <c r="F76" s="17">
        <f t="shared" si="10"/>
        <v>0.33860000000000001</v>
      </c>
      <c r="H76" s="51">
        <f t="shared" si="11"/>
        <v>0.31875474168704709</v>
      </c>
      <c r="I76" s="51">
        <f t="shared" si="12"/>
        <v>1.9845258312952918E-2</v>
      </c>
      <c r="J76" s="51">
        <f t="shared" si="13"/>
        <v>3.9383427750782691E-4</v>
      </c>
      <c r="AB76" s="17">
        <f t="array" ref="AB76">MAX(IF($C$4:$C$200=MEDIAN($M$1-1,$M$1+1,C76),$D$4:$D$200,0))</f>
        <v>0.41760000000000003</v>
      </c>
      <c r="AC76" s="17">
        <f t="shared" si="14"/>
        <v>2.6999999999999802E-3</v>
      </c>
    </row>
    <row r="77" spans="2:29">
      <c r="B77" s="17">
        <v>17.164000000000001</v>
      </c>
      <c r="C77" s="50">
        <v>99.92</v>
      </c>
      <c r="D77" s="50">
        <v>0.34129999999999999</v>
      </c>
      <c r="E77" s="50">
        <v>296.39999999999998</v>
      </c>
      <c r="F77" s="17">
        <f t="shared" si="10"/>
        <v>0.34129999999999999</v>
      </c>
      <c r="H77" s="51">
        <f t="shared" si="11"/>
        <v>0.31790581909319027</v>
      </c>
      <c r="I77" s="51">
        <f t="shared" si="12"/>
        <v>2.3394180906809725E-2</v>
      </c>
      <c r="J77" s="51">
        <f t="shared" si="13"/>
        <v>5.4728770030054068E-4</v>
      </c>
      <c r="AB77" s="17">
        <f t="array" ref="AB77">MAX(IF($C$4:$C$200=MEDIAN($M$1-1,$M$1+1,C77),$D$4:$D$200,0))</f>
        <v>0.41760000000000003</v>
      </c>
      <c r="AC77" s="17">
        <f t="shared" si="14"/>
        <v>6.2999999999999723E-3</v>
      </c>
    </row>
    <row r="78" spans="2:29">
      <c r="B78" s="17">
        <v>17.48</v>
      </c>
      <c r="C78" s="50">
        <v>99.97</v>
      </c>
      <c r="D78" s="50">
        <v>0.33500000000000002</v>
      </c>
      <c r="E78" s="50">
        <v>294.3</v>
      </c>
      <c r="F78" s="17">
        <f t="shared" si="10"/>
        <v>0.33500000000000002</v>
      </c>
      <c r="H78" s="51">
        <f t="shared" si="11"/>
        <v>0.31677615080070964</v>
      </c>
      <c r="I78" s="51">
        <f t="shared" si="12"/>
        <v>1.8223849199290376E-2</v>
      </c>
      <c r="J78" s="51">
        <f t="shared" si="13"/>
        <v>3.3210867963847648E-4</v>
      </c>
      <c r="AB78" s="17">
        <f t="array" ref="AB78">MAX(IF($C$4:$C$200=MEDIAN($M$1-1,$M$1+1,C78),$D$4:$D$200,0))</f>
        <v>0.51300000000000001</v>
      </c>
      <c r="AC78" s="17">
        <f t="shared" si="14"/>
        <v>9.3000000000000305E-3</v>
      </c>
    </row>
    <row r="79" spans="2:29">
      <c r="B79" s="17">
        <v>17.763999999999999</v>
      </c>
      <c r="C79" s="50">
        <v>99.97</v>
      </c>
      <c r="D79" s="50">
        <v>0.32569999999999999</v>
      </c>
      <c r="E79" s="50">
        <v>294.3</v>
      </c>
      <c r="F79" s="17">
        <f t="shared" si="10"/>
        <v>0.32569999999999999</v>
      </c>
      <c r="H79" s="51">
        <f t="shared" si="11"/>
        <v>0.3158641631305068</v>
      </c>
      <c r="I79" s="51">
        <f t="shared" si="12"/>
        <v>9.8358368694931864E-3</v>
      </c>
      <c r="J79" s="51">
        <f t="shared" si="13"/>
        <v>9.6743686923281527E-5</v>
      </c>
      <c r="AB79" s="17">
        <f t="array" ref="AB79">MAX(IF($C$4:$C$200=MEDIAN($M$1-1,$M$1+1,C79),$D$4:$D$200,0))</f>
        <v>0.51300000000000001</v>
      </c>
      <c r="AC79" s="17">
        <f t="shared" si="14"/>
        <v>1.9399999999999973E-2</v>
      </c>
    </row>
    <row r="80" spans="2:29">
      <c r="B80" s="17">
        <v>17.940000000000001</v>
      </c>
      <c r="C80" s="50">
        <v>99.95</v>
      </c>
      <c r="D80" s="50">
        <v>0.30630000000000002</v>
      </c>
      <c r="E80" s="50">
        <v>288.39999999999998</v>
      </c>
      <c r="F80" s="17">
        <f t="shared" si="10"/>
        <v>0.30630000000000002</v>
      </c>
      <c r="H80" s="51">
        <f t="shared" si="11"/>
        <v>0.31534371066072175</v>
      </c>
      <c r="I80" s="51">
        <f t="shared" si="12"/>
        <v>-9.0437106607217377E-3</v>
      </c>
      <c r="J80" s="51">
        <f t="shared" si="13"/>
        <v>8.1788702514852006E-5</v>
      </c>
      <c r="AB80" s="17">
        <f t="array" ref="AB80">MAX(IF($C$4:$C$200=MEDIAN($M$1-1,$M$1+1,C80),$D$4:$D$200,0))</f>
        <v>0.67800000000000005</v>
      </c>
      <c r="AC80" s="17">
        <f t="shared" si="14"/>
        <v>5.9999999999998943E-4</v>
      </c>
    </row>
    <row r="81" spans="2:29">
      <c r="B81" s="17">
        <v>18.100000000000001</v>
      </c>
      <c r="C81" s="50">
        <v>99.95</v>
      </c>
      <c r="D81" s="50">
        <v>0.30690000000000001</v>
      </c>
      <c r="E81" s="50">
        <v>288.39999999999998</v>
      </c>
      <c r="F81" s="17">
        <f t="shared" si="10"/>
        <v>0.30690000000000001</v>
      </c>
      <c r="H81" s="51">
        <f t="shared" si="11"/>
        <v>0.31489814820014495</v>
      </c>
      <c r="I81" s="51">
        <f t="shared" si="12"/>
        <v>-7.9981482001449389E-3</v>
      </c>
      <c r="J81" s="51">
        <f t="shared" si="13"/>
        <v>6.3970374631481719E-5</v>
      </c>
      <c r="AB81" s="17">
        <f t="array" ref="AB81">MAX(IF($C$4:$C$200=MEDIAN($M$1-1,$M$1+1,C81),$D$4:$D$200,0))</f>
        <v>0.67800000000000005</v>
      </c>
      <c r="AC81" s="17">
        <f t="shared" si="14"/>
        <v>1.5600000000000003E-2</v>
      </c>
    </row>
    <row r="82" spans="2:29">
      <c r="B82" s="17">
        <v>18.388000000000002</v>
      </c>
      <c r="C82" s="50">
        <v>99.95</v>
      </c>
      <c r="D82" s="50">
        <v>0.32250000000000001</v>
      </c>
      <c r="E82" s="50">
        <v>286.10000000000002</v>
      </c>
      <c r="F82" s="17">
        <f t="shared" si="10"/>
        <v>0.32250000000000001</v>
      </c>
      <c r="H82" s="51">
        <f t="shared" si="11"/>
        <v>0.31415759368464435</v>
      </c>
      <c r="I82" s="51">
        <f t="shared" si="12"/>
        <v>8.3424063153556549E-3</v>
      </c>
      <c r="J82" s="51">
        <f t="shared" si="13"/>
        <v>6.9595743130485913E-5</v>
      </c>
      <c r="AB82" s="17">
        <f t="array" ref="AB82">MAX(IF($C$4:$C$200=MEDIAN($M$1-1,$M$1+1,C82),$D$4:$D$200,0))</f>
        <v>0.67800000000000005</v>
      </c>
      <c r="AC82" s="17">
        <f t="shared" si="14"/>
        <v>1.0199999999999987E-2</v>
      </c>
    </row>
    <row r="83" spans="2:29">
      <c r="B83" s="17">
        <v>18.66</v>
      </c>
      <c r="C83" s="50">
        <v>99.95</v>
      </c>
      <c r="D83" s="50">
        <v>0.3327</v>
      </c>
      <c r="E83" s="50">
        <v>286.10000000000002</v>
      </c>
      <c r="F83" s="17">
        <f t="shared" si="10"/>
        <v>0.3327</v>
      </c>
      <c r="H83" s="51">
        <f t="shared" si="11"/>
        <v>0.31352479272683986</v>
      </c>
      <c r="I83" s="51">
        <f t="shared" si="12"/>
        <v>1.9175207273160133E-2</v>
      </c>
      <c r="J83" s="51">
        <f t="shared" si="13"/>
        <v>3.6768857396865328E-4</v>
      </c>
      <c r="AB83" s="17">
        <f t="array" ref="AB83">MAX(IF($C$4:$C$200=MEDIAN($M$1-1,$M$1+1,C83),$D$4:$D$200,0))</f>
        <v>0.67800000000000005</v>
      </c>
      <c r="AC83" s="17">
        <f t="shared" si="14"/>
        <v>3.5999999999999921E-3</v>
      </c>
    </row>
    <row r="84" spans="2:29">
      <c r="B84" s="17">
        <v>18.835999999999999</v>
      </c>
      <c r="C84" s="50">
        <v>99.95</v>
      </c>
      <c r="D84" s="50">
        <v>0.3291</v>
      </c>
      <c r="E84" s="50">
        <v>286.10000000000002</v>
      </c>
      <c r="F84" s="17">
        <f t="shared" si="10"/>
        <v>0.3291</v>
      </c>
      <c r="H84" s="51">
        <f t="shared" si="11"/>
        <v>0.31314691172570885</v>
      </c>
      <c r="I84" s="51">
        <f t="shared" si="12"/>
        <v>1.595308827429115E-2</v>
      </c>
      <c r="J84" s="51">
        <f t="shared" si="13"/>
        <v>2.5450102548732576E-4</v>
      </c>
      <c r="AB84" s="17">
        <f t="array" ref="AB84">MAX(IF($C$4:$C$200=MEDIAN($M$1-1,$M$1+1,C84),$D$4:$D$200,0))</f>
        <v>0.67800000000000005</v>
      </c>
      <c r="AC84" s="17">
        <f t="shared" si="14"/>
        <v>0</v>
      </c>
    </row>
    <row r="85" spans="2:29">
      <c r="B85" s="17">
        <v>19.012</v>
      </c>
      <c r="C85" s="50">
        <v>99.98</v>
      </c>
      <c r="D85" s="50">
        <v>0.3291</v>
      </c>
      <c r="E85" s="50">
        <v>287.89999999999998</v>
      </c>
      <c r="F85" s="17">
        <f t="shared" si="10"/>
        <v>0.3291</v>
      </c>
      <c r="H85" s="51">
        <f t="shared" si="11"/>
        <v>0.3127920604462604</v>
      </c>
      <c r="I85" s="51">
        <f t="shared" si="12"/>
        <v>1.6307939553739603E-2</v>
      </c>
      <c r="J85" s="51">
        <f t="shared" si="13"/>
        <v>2.6594889248842464E-4</v>
      </c>
      <c r="AB85" s="17">
        <f t="array" ref="AB85">MAX(IF($C$4:$C$200=MEDIAN($M$1-1,$M$1+1,C85),$D$4:$D$200,0))</f>
        <v>0.3291</v>
      </c>
      <c r="AC85" s="17">
        <f t="shared" si="14"/>
        <v>3.0000000000000027E-3</v>
      </c>
    </row>
    <row r="86" spans="2:29">
      <c r="B86" s="17">
        <v>19.251999999999999</v>
      </c>
      <c r="C86" s="50">
        <v>99.98</v>
      </c>
      <c r="D86" s="50">
        <v>0.3261</v>
      </c>
      <c r="E86" s="50">
        <v>287.89999999999998</v>
      </c>
      <c r="F86" s="17">
        <f t="shared" si="10"/>
        <v>0.3261</v>
      </c>
      <c r="H86" s="51">
        <f t="shared" si="11"/>
        <v>0.31234276445485243</v>
      </c>
      <c r="I86" s="51">
        <f t="shared" si="12"/>
        <v>1.3757235545147573E-2</v>
      </c>
      <c r="J86" s="51">
        <f t="shared" si="13"/>
        <v>1.8926152984467183E-4</v>
      </c>
      <c r="S86" s="23"/>
      <c r="T86" s="54"/>
      <c r="U86" s="23"/>
      <c r="V86" s="56"/>
      <c r="AB86" s="17">
        <f t="array" ref="AB86">MAX(IF($C$4:$C$200=MEDIAN($M$1-1,$M$1+1,C86),$D$4:$D$200,0))</f>
        <v>0.3291</v>
      </c>
      <c r="AC86" s="17">
        <f t="shared" si="14"/>
        <v>3.9100000000000024E-2</v>
      </c>
    </row>
    <row r="87" spans="2:29">
      <c r="B87" s="17">
        <v>19.507999999999999</v>
      </c>
      <c r="C87" s="50">
        <v>99.96</v>
      </c>
      <c r="D87" s="50">
        <v>0.28699999999999998</v>
      </c>
      <c r="E87" s="50">
        <v>287.39999999999998</v>
      </c>
      <c r="F87" s="17">
        <f t="shared" si="10"/>
        <v>0.28699999999999998</v>
      </c>
      <c r="H87" s="51">
        <f t="shared" si="11"/>
        <v>0.3119041335976025</v>
      </c>
      <c r="I87" s="51">
        <f t="shared" si="12"/>
        <v>-2.4904133597602518E-2</v>
      </c>
      <c r="J87" s="51">
        <f t="shared" si="13"/>
        <v>6.2021587024723454E-4</v>
      </c>
      <c r="AB87" s="17">
        <f t="array" ref="AB87">MAX(IF($C$4:$C$200=MEDIAN($M$1-1,$M$1+1,C87),$D$4:$D$200,0))</f>
        <v>0.56559999999999999</v>
      </c>
      <c r="AC87" s="17">
        <f t="shared" si="14"/>
        <v>1.5799999999999981E-2</v>
      </c>
    </row>
    <row r="88" spans="2:29">
      <c r="B88" s="17">
        <v>19.731999999999999</v>
      </c>
      <c r="C88" s="50">
        <v>99.96</v>
      </c>
      <c r="D88" s="50">
        <v>0.2712</v>
      </c>
      <c r="E88" s="50">
        <v>287.39999999999998</v>
      </c>
      <c r="F88" s="17">
        <f t="shared" si="10"/>
        <v>0.2712</v>
      </c>
      <c r="H88" s="51">
        <f t="shared" si="11"/>
        <v>0.31155189848427156</v>
      </c>
      <c r="I88" s="51">
        <f t="shared" si="12"/>
        <v>-4.0351898484271564E-2</v>
      </c>
      <c r="J88" s="51">
        <f t="shared" si="13"/>
        <v>1.6282757112849578E-3</v>
      </c>
      <c r="T88" s="17"/>
      <c r="AB88" s="17">
        <f t="array" ref="AB88">MAX(IF($C$4:$C$200=MEDIAN($M$1-1,$M$1+1,C88),$D$4:$D$200,0))</f>
        <v>0.56559999999999999</v>
      </c>
      <c r="AC88" s="17">
        <f t="shared" si="14"/>
        <v>1.2900000000000023E-2</v>
      </c>
    </row>
    <row r="89" spans="2:29">
      <c r="B89" s="17">
        <v>19.88</v>
      </c>
      <c r="C89" s="50">
        <v>99.97</v>
      </c>
      <c r="D89" s="50">
        <v>0.28410000000000002</v>
      </c>
      <c r="E89" s="50">
        <v>284.89999999999998</v>
      </c>
      <c r="F89" s="17">
        <f t="shared" si="10"/>
        <v>0.28410000000000002</v>
      </c>
      <c r="H89" s="51">
        <f t="shared" si="11"/>
        <v>0.31133416725005603</v>
      </c>
      <c r="I89" s="51">
        <f t="shared" si="12"/>
        <v>-2.7234167250056007E-2</v>
      </c>
      <c r="J89" s="51">
        <f t="shared" si="13"/>
        <v>7.4169986580402316E-4</v>
      </c>
      <c r="AB89" s="17">
        <f t="array" ref="AB89">MAX(IF($C$4:$C$200=MEDIAN($M$1-1,$M$1+1,C89),$D$4:$D$200,0))</f>
        <v>0.51300000000000001</v>
      </c>
      <c r="AC89" s="17">
        <f t="shared" si="14"/>
        <v>2.3999999999999966E-2</v>
      </c>
    </row>
    <row r="90" spans="2:29">
      <c r="B90" s="17">
        <v>20.068000000000001</v>
      </c>
      <c r="C90" s="50">
        <v>99.97</v>
      </c>
      <c r="D90" s="50">
        <v>0.30809999999999998</v>
      </c>
      <c r="E90" s="50">
        <v>284.89999999999998</v>
      </c>
      <c r="F90" s="17">
        <f t="shared" si="10"/>
        <v>0.30809999999999998</v>
      </c>
      <c r="H90" s="51">
        <f t="shared" si="11"/>
        <v>0.31107368356186971</v>
      </c>
      <c r="I90" s="51">
        <f t="shared" si="12"/>
        <v>-2.9736835618697222E-3</v>
      </c>
      <c r="J90" s="51">
        <f t="shared" si="13"/>
        <v>8.8427939261341984E-6</v>
      </c>
      <c r="AB90" s="17">
        <f t="array" ref="AB90">MAX(IF($C$4:$C$200=MEDIAN($M$1-1,$M$1+1,C90),$D$4:$D$200,0))</f>
        <v>0.51300000000000001</v>
      </c>
      <c r="AC90" s="17">
        <f t="shared" si="14"/>
        <v>7.3999999999999622E-3</v>
      </c>
    </row>
    <row r="91" spans="2:29">
      <c r="B91" s="17">
        <v>20.372</v>
      </c>
      <c r="C91" s="50">
        <v>99.97</v>
      </c>
      <c r="D91" s="50">
        <v>0.30070000000000002</v>
      </c>
      <c r="E91" s="50">
        <v>284.60000000000002</v>
      </c>
      <c r="F91" s="17">
        <f t="shared" si="10"/>
        <v>0.30070000000000002</v>
      </c>
      <c r="H91" s="51">
        <f t="shared" si="11"/>
        <v>0.31068779848265837</v>
      </c>
      <c r="I91" s="51">
        <f t="shared" si="12"/>
        <v>-9.9877984826583499E-3</v>
      </c>
      <c r="J91" s="51">
        <f t="shared" si="13"/>
        <v>9.9756118530192441E-5</v>
      </c>
      <c r="AB91" s="17">
        <f t="array" ref="AB91">MAX(IF($C$4:$C$200=MEDIAN($M$1-1,$M$1+1,C91),$D$4:$D$200,0))</f>
        <v>0.51300000000000001</v>
      </c>
      <c r="AC91" s="17">
        <f t="shared" si="14"/>
        <v>3.2000000000000361E-3</v>
      </c>
    </row>
    <row r="92" spans="2:29">
      <c r="B92" s="17">
        <v>20.623999999999999</v>
      </c>
      <c r="C92" s="50">
        <v>99.97</v>
      </c>
      <c r="D92" s="50">
        <v>0.29749999999999999</v>
      </c>
      <c r="E92" s="50">
        <v>284.60000000000002</v>
      </c>
      <c r="F92" s="17">
        <f t="shared" si="10"/>
        <v>0.29749999999999999</v>
      </c>
      <c r="H92" s="51">
        <f t="shared" si="11"/>
        <v>0.31039820894442194</v>
      </c>
      <c r="I92" s="51">
        <f t="shared" si="12"/>
        <v>-1.2898208944421952E-2</v>
      </c>
      <c r="J92" s="51">
        <f t="shared" si="13"/>
        <v>1.6636379397396643E-4</v>
      </c>
      <c r="AB92" s="17">
        <f t="array" ref="AB92">MAX(IF($C$4:$C$200=MEDIAN($M$1-1,$M$1+1,C92),$D$4:$D$200,0))</f>
        <v>0.51300000000000001</v>
      </c>
      <c r="AC92" s="17">
        <f t="shared" si="14"/>
        <v>1.3500000000000012E-2</v>
      </c>
    </row>
    <row r="93" spans="2:29">
      <c r="B93" s="17">
        <v>20.867999999999999</v>
      </c>
      <c r="C93" s="50">
        <v>99.9</v>
      </c>
      <c r="D93" s="50">
        <v>0.28399999999999997</v>
      </c>
      <c r="E93" s="50">
        <v>284.60000000000002</v>
      </c>
      <c r="F93" s="17">
        <f t="shared" si="10"/>
        <v>0.28399999999999997</v>
      </c>
      <c r="H93" s="51">
        <f t="shared" si="11"/>
        <v>0.31014159362787641</v>
      </c>
      <c r="I93" s="51">
        <f t="shared" si="12"/>
        <v>-2.6141593627876436E-2</v>
      </c>
      <c r="J93" s="51">
        <f t="shared" si="13"/>
        <v>6.8338291740502994E-4</v>
      </c>
      <c r="AB93" s="17">
        <f t="array" ref="AB93">MAX(IF($C$4:$C$200=MEDIAN($M$1-1,$M$1+1,C93),$D$4:$D$200,0))</f>
        <v>1.07</v>
      </c>
      <c r="AC93" s="17">
        <f t="shared" si="14"/>
        <v>1.7999999999999683E-3</v>
      </c>
    </row>
    <row r="94" spans="2:29">
      <c r="B94" s="17">
        <v>21.044</v>
      </c>
      <c r="C94" s="50">
        <v>99.9</v>
      </c>
      <c r="D94" s="50">
        <v>0.28220000000000001</v>
      </c>
      <c r="E94" s="50">
        <v>284.60000000000002</v>
      </c>
      <c r="F94" s="17">
        <f t="shared" si="10"/>
        <v>0.28220000000000001</v>
      </c>
      <c r="H94" s="51">
        <f t="shared" si="11"/>
        <v>0.30996989958351495</v>
      </c>
      <c r="I94" s="51">
        <f t="shared" si="12"/>
        <v>-2.7769899583514945E-2</v>
      </c>
      <c r="J94" s="51">
        <f t="shared" si="13"/>
        <v>7.7116732287850357E-4</v>
      </c>
      <c r="AB94" s="17">
        <f t="array" ref="AB94">MAX(IF($C$4:$C$200=MEDIAN($M$1-1,$M$1+1,C94),$D$4:$D$200,0))</f>
        <v>1.07</v>
      </c>
      <c r="AC94" s="17">
        <f t="shared" si="14"/>
        <v>1.5000000000000013E-3</v>
      </c>
    </row>
    <row r="95" spans="2:29">
      <c r="B95" s="17">
        <v>21.364000000000001</v>
      </c>
      <c r="C95" s="50">
        <v>99.86</v>
      </c>
      <c r="D95" s="50">
        <v>0.28070000000000001</v>
      </c>
      <c r="E95" s="50">
        <v>284.7</v>
      </c>
      <c r="F95" s="17">
        <f t="shared" si="10"/>
        <v>0.28070000000000001</v>
      </c>
      <c r="H95" s="51">
        <f t="shared" si="11"/>
        <v>0.30968408980712336</v>
      </c>
      <c r="I95" s="51">
        <f t="shared" si="12"/>
        <v>-2.8984089807123359E-2</v>
      </c>
      <c r="J95" s="51">
        <f t="shared" si="13"/>
        <v>8.4007746194739218E-4</v>
      </c>
      <c r="AB95" s="17">
        <f t="array" ref="AB95">MAX(IF($C$4:$C$200=MEDIAN($M$1-1,$M$1+1,C95),$D$4:$D$200,0))</f>
        <v>0.68920000000000003</v>
      </c>
      <c r="AC95" s="17">
        <f t="shared" si="14"/>
        <v>6.2999999999999723E-3</v>
      </c>
    </row>
    <row r="96" spans="2:29">
      <c r="B96" s="17">
        <v>21.632000000000001</v>
      </c>
      <c r="C96" s="50">
        <v>99.86</v>
      </c>
      <c r="D96" s="50">
        <v>0.28699999999999998</v>
      </c>
      <c r="E96" s="50">
        <v>284.7</v>
      </c>
      <c r="F96" s="17">
        <f t="shared" si="10"/>
        <v>0.28699999999999998</v>
      </c>
      <c r="H96" s="51">
        <f t="shared" si="11"/>
        <v>0.30946862647503348</v>
      </c>
      <c r="I96" s="51">
        <f t="shared" si="12"/>
        <v>-2.2468626475033504E-2</v>
      </c>
      <c r="J96" s="51">
        <f t="shared" si="13"/>
        <v>5.0483917567457654E-4</v>
      </c>
      <c r="AB96" s="17">
        <f t="array" ref="AB96">MAX(IF($C$4:$C$200=MEDIAN($M$1-1,$M$1+1,C96),$D$4:$D$200,0))</f>
        <v>0.68920000000000003</v>
      </c>
      <c r="AC96" s="17">
        <f t="shared" si="14"/>
        <v>2.6000000000000023E-2</v>
      </c>
    </row>
    <row r="97" spans="2:29">
      <c r="B97" s="17">
        <v>21.844000000000001</v>
      </c>
      <c r="C97" s="50">
        <v>99.93</v>
      </c>
      <c r="D97" s="50">
        <v>0.313</v>
      </c>
      <c r="E97" s="50">
        <v>286.3</v>
      </c>
      <c r="F97" s="17">
        <f t="shared" si="10"/>
        <v>0.313</v>
      </c>
      <c r="H97" s="51">
        <f t="shared" si="11"/>
        <v>0.30931221333072578</v>
      </c>
      <c r="I97" s="51">
        <f t="shared" si="12"/>
        <v>3.6877866692742178E-3</v>
      </c>
      <c r="J97" s="51">
        <f t="shared" si="13"/>
        <v>1.3599770518076629E-5</v>
      </c>
      <c r="AB97" s="17">
        <f t="array" ref="AB97">MAX(IF($C$4:$C$200=MEDIAN($M$1-1,$M$1+1,C97),$D$4:$D$200,0))</f>
        <v>0.34560000000000002</v>
      </c>
      <c r="AC97" s="17">
        <f t="shared" si="14"/>
        <v>0</v>
      </c>
    </row>
    <row r="98" spans="2:29">
      <c r="B98" s="17">
        <v>21.984000000000002</v>
      </c>
      <c r="C98" s="50">
        <v>99.93</v>
      </c>
      <c r="D98" s="50">
        <v>0.313</v>
      </c>
      <c r="E98" s="50">
        <v>286.3</v>
      </c>
      <c r="F98" s="17">
        <f t="shared" si="10"/>
        <v>0.313</v>
      </c>
      <c r="H98" s="51">
        <f t="shared" si="11"/>
        <v>0.30921522975257787</v>
      </c>
      <c r="I98" s="51">
        <f t="shared" si="12"/>
        <v>3.7847702474221312E-3</v>
      </c>
      <c r="J98" s="51">
        <f t="shared" si="13"/>
        <v>1.432448582577178E-5</v>
      </c>
      <c r="AB98" s="17">
        <f t="array" ref="AB98">MAX(IF($C$4:$C$200=MEDIAN($M$1-1,$M$1+1,C98),$D$4:$D$200,0))</f>
        <v>0.34560000000000002</v>
      </c>
      <c r="AC98" s="17">
        <f t="shared" si="14"/>
        <v>8.6999999999999855E-3</v>
      </c>
    </row>
    <row r="99" spans="2:29">
      <c r="B99" s="17">
        <v>22.228000000000002</v>
      </c>
      <c r="C99" s="50">
        <v>99.93</v>
      </c>
      <c r="D99" s="50">
        <v>0.30430000000000001</v>
      </c>
      <c r="E99" s="50">
        <v>287.8</v>
      </c>
      <c r="F99" s="17">
        <f t="shared" si="10"/>
        <v>0.30430000000000001</v>
      </c>
      <c r="H99" s="51">
        <f t="shared" si="11"/>
        <v>0.30905737380766496</v>
      </c>
      <c r="I99" s="51">
        <f t="shared" si="12"/>
        <v>-4.7573738076649441E-3</v>
      </c>
      <c r="J99" s="51">
        <f t="shared" si="13"/>
        <v>2.2632605545856449E-5</v>
      </c>
      <c r="AB99" s="17">
        <f t="array" ref="AB99">MAX(IF($C$4:$C$200=MEDIAN($M$1-1,$M$1+1,C99),$D$4:$D$200,0))</f>
        <v>0.34560000000000002</v>
      </c>
      <c r="AC99" s="17">
        <f t="shared" si="14"/>
        <v>1.9400000000000028E-2</v>
      </c>
    </row>
    <row r="100" spans="2:29">
      <c r="B100" s="17">
        <v>22.48</v>
      </c>
      <c r="C100" s="50">
        <v>99.93</v>
      </c>
      <c r="D100" s="50">
        <v>0.28489999999999999</v>
      </c>
      <c r="E100" s="50">
        <v>287.8</v>
      </c>
      <c r="F100" s="17">
        <f t="shared" ref="F100:F131" si="15">IF(C100=MEDIAN($M$1-1,$M$1+1,C100),IF(D100&lt;=AVERAGE($AB$3,AVERAGEIF($B$4:$B$200,"&gt;20",$D$4:$D$200)),D100,0),0)</f>
        <v>0.28489999999999999</v>
      </c>
      <c r="H100" s="51">
        <f t="shared" ref="H100:H131" si="16">IF(MATCH(F100,$F$4:$F$200,0)&gt;=MATCH(MAX($F$4:$F$200),$F$4:$F$200,0),$M$4+($M$5-$M$4)*(1-EXP(-B100/$M$6)),0)</f>
        <v>0.30890816295725188</v>
      </c>
      <c r="I100" s="51">
        <f t="shared" ref="I100:I131" si="17">IF(H100&gt;0,D100-H100,0)</f>
        <v>-2.4008162957251888E-2</v>
      </c>
      <c r="J100" s="51">
        <f t="shared" ref="J100:J131" si="18">I100^2</f>
        <v>5.7639188858196169E-4</v>
      </c>
      <c r="AB100" s="17">
        <f t="array" ref="AB100">MAX(IF($C$4:$C$200=MEDIAN($M$1-1,$M$1+1,C100),$D$4:$D$200,0))</f>
        <v>0.34560000000000002</v>
      </c>
      <c r="AC100" s="17">
        <f t="shared" ref="AC100:AC131" si="19">ABS(D100-D101)</f>
        <v>1.9199999999999995E-2</v>
      </c>
    </row>
    <row r="101" spans="2:29">
      <c r="B101" s="17">
        <v>22.704000000000001</v>
      </c>
      <c r="C101" s="50">
        <v>99.86</v>
      </c>
      <c r="D101" s="50">
        <v>0.26569999999999999</v>
      </c>
      <c r="E101" s="50">
        <v>286.89999999999998</v>
      </c>
      <c r="F101" s="17">
        <f t="shared" si="15"/>
        <v>0.26569999999999999</v>
      </c>
      <c r="H101" s="51">
        <f t="shared" si="16"/>
        <v>0.30878635145035105</v>
      </c>
      <c r="I101" s="51">
        <f t="shared" si="17"/>
        <v>-4.3086351450351057E-2</v>
      </c>
      <c r="J101" s="51">
        <f t="shared" si="18"/>
        <v>1.8564336813031686E-3</v>
      </c>
      <c r="AB101" s="17">
        <f t="array" ref="AB101">MAX(IF($C$4:$C$200=MEDIAN($M$1-1,$M$1+1,C101),$D$4:$D$200,0))</f>
        <v>0.68920000000000003</v>
      </c>
      <c r="AC101" s="17">
        <f t="shared" si="19"/>
        <v>1.0999999999999899E-3</v>
      </c>
    </row>
    <row r="102" spans="2:29">
      <c r="B102" s="17">
        <v>22.856000000000002</v>
      </c>
      <c r="C102" s="50">
        <v>99.86</v>
      </c>
      <c r="D102" s="50">
        <v>0.2646</v>
      </c>
      <c r="E102" s="50">
        <v>286.89999999999998</v>
      </c>
      <c r="F102" s="17">
        <f t="shared" si="15"/>
        <v>0.2646</v>
      </c>
      <c r="H102" s="51">
        <f t="shared" si="16"/>
        <v>0.3087090743672114</v>
      </c>
      <c r="I102" s="51">
        <f t="shared" si="17"/>
        <v>-4.4109074367211398E-2</v>
      </c>
      <c r="J102" s="51">
        <f t="shared" si="18"/>
        <v>1.9456104415321856E-3</v>
      </c>
      <c r="AB102" s="17">
        <f t="array" ref="AB102">MAX(IF($C$4:$C$200=MEDIAN($M$1-1,$M$1+1,C102),$D$4:$D$200,0))</f>
        <v>0.68920000000000003</v>
      </c>
      <c r="AC102" s="17">
        <f t="shared" si="19"/>
        <v>6.1999999999999833E-3</v>
      </c>
    </row>
    <row r="103" spans="2:29">
      <c r="B103" s="17">
        <v>23.056000000000001</v>
      </c>
      <c r="C103" s="50">
        <v>99.86</v>
      </c>
      <c r="D103" s="50">
        <v>0.25840000000000002</v>
      </c>
      <c r="E103" s="50">
        <v>286.89999999999998</v>
      </c>
      <c r="F103" s="17">
        <f t="shared" si="15"/>
        <v>0.25840000000000002</v>
      </c>
      <c r="H103" s="51">
        <f t="shared" si="16"/>
        <v>0.30861358226124835</v>
      </c>
      <c r="I103" s="51">
        <f t="shared" si="17"/>
        <v>-5.0213582261248335E-2</v>
      </c>
      <c r="J103" s="51">
        <f t="shared" si="18"/>
        <v>2.5214038435071536E-3</v>
      </c>
      <c r="AB103" s="17">
        <f t="array" ref="AB103">MAX(IF($C$4:$C$200=MEDIAN($M$1-1,$M$1+1,C103),$D$4:$D$200,0))</f>
        <v>0.68920000000000003</v>
      </c>
      <c r="AC103" s="17">
        <f t="shared" si="19"/>
        <v>2.3999999999999966E-2</v>
      </c>
    </row>
    <row r="104" spans="2:29">
      <c r="B104" s="17">
        <v>23.36</v>
      </c>
      <c r="C104" s="50">
        <v>99.96</v>
      </c>
      <c r="D104" s="50">
        <v>0.28239999999999998</v>
      </c>
      <c r="E104" s="50">
        <v>282.7</v>
      </c>
      <c r="F104" s="17">
        <f t="shared" si="15"/>
        <v>0.28239999999999998</v>
      </c>
      <c r="H104" s="51">
        <f t="shared" si="16"/>
        <v>0.30848089444480742</v>
      </c>
      <c r="I104" s="51">
        <f t="shared" si="17"/>
        <v>-2.6080894444807434E-2</v>
      </c>
      <c r="J104" s="51">
        <f t="shared" si="18"/>
        <v>6.8021305504118725E-4</v>
      </c>
      <c r="AB104" s="17">
        <f t="array" ref="AB104">MAX(IF($C$4:$C$200=MEDIAN($M$1-1,$M$1+1,C104),$D$4:$D$200,0))</f>
        <v>0.56559999999999999</v>
      </c>
      <c r="AC104" s="17">
        <f t="shared" si="19"/>
        <v>2.1699999999999997E-2</v>
      </c>
    </row>
    <row r="105" spans="2:29">
      <c r="B105" s="17">
        <v>23.62</v>
      </c>
      <c r="C105" s="50">
        <v>99.96</v>
      </c>
      <c r="D105" s="50">
        <v>0.30409999999999998</v>
      </c>
      <c r="E105" s="50">
        <v>282.7</v>
      </c>
      <c r="F105" s="17">
        <f t="shared" si="15"/>
        <v>0.30409999999999998</v>
      </c>
      <c r="H105" s="51">
        <f t="shared" si="16"/>
        <v>0.30837830148853129</v>
      </c>
      <c r="I105" s="51">
        <f t="shared" si="17"/>
        <v>-4.2783014885313109E-3</v>
      </c>
      <c r="J105" s="51">
        <f t="shared" si="18"/>
        <v>1.8303863626769231E-5</v>
      </c>
      <c r="AB105" s="17">
        <f t="array" ref="AB105">MAX(IF($C$4:$C$200=MEDIAN($M$1-1,$M$1+1,C105),$D$4:$D$200,0))</f>
        <v>0.56559999999999999</v>
      </c>
      <c r="AC105" s="17">
        <f t="shared" si="19"/>
        <v>1.0200000000000042E-2</v>
      </c>
    </row>
    <row r="106" spans="2:29">
      <c r="B106" s="17">
        <v>23.812000000000001</v>
      </c>
      <c r="C106" s="50">
        <v>99.93</v>
      </c>
      <c r="D106" s="50">
        <v>0.31430000000000002</v>
      </c>
      <c r="E106" s="50">
        <v>280.60000000000002</v>
      </c>
      <c r="F106" s="17">
        <f t="shared" si="15"/>
        <v>0.31430000000000002</v>
      </c>
      <c r="H106" s="51">
        <f t="shared" si="16"/>
        <v>0.30830842877525466</v>
      </c>
      <c r="I106" s="51">
        <f t="shared" si="17"/>
        <v>5.9915712247453623E-3</v>
      </c>
      <c r="J106" s="51">
        <f t="shared" si="18"/>
        <v>3.5898925741196639E-5</v>
      </c>
      <c r="AB106" s="17">
        <f t="array" ref="AB106">MAX(IF($C$4:$C$200=MEDIAN($M$1-1,$M$1+1,C106),$D$4:$D$200,0))</f>
        <v>0.34560000000000002</v>
      </c>
      <c r="AC106" s="17">
        <f t="shared" si="19"/>
        <v>1.6999999999999793E-3</v>
      </c>
    </row>
    <row r="107" spans="2:29">
      <c r="B107" s="17">
        <v>23.992000000000001</v>
      </c>
      <c r="C107" s="50">
        <v>99.93</v>
      </c>
      <c r="D107" s="50">
        <v>0.316</v>
      </c>
      <c r="E107" s="50">
        <v>280.60000000000002</v>
      </c>
      <c r="F107" s="17">
        <f t="shared" si="15"/>
        <v>0.316</v>
      </c>
      <c r="H107" s="51">
        <f t="shared" si="16"/>
        <v>0.30824713614444743</v>
      </c>
      <c r="I107" s="51">
        <f t="shared" si="17"/>
        <v>7.752863855552572E-3</v>
      </c>
      <c r="J107" s="51">
        <f t="shared" si="18"/>
        <v>6.0106897962733491E-5</v>
      </c>
      <c r="AB107" s="17">
        <f t="array" ref="AB107">MAX(IF($C$4:$C$200=MEDIAN($M$1-1,$M$1+1,C107),$D$4:$D$200,0))</f>
        <v>0.34560000000000002</v>
      </c>
      <c r="AC107" s="17">
        <f t="shared" si="19"/>
        <v>9.6999999999999864E-3</v>
      </c>
    </row>
    <row r="108" spans="2:29">
      <c r="B108" s="17">
        <v>24.26</v>
      </c>
      <c r="C108" s="50">
        <v>99.89</v>
      </c>
      <c r="D108" s="50">
        <v>0.32569999999999999</v>
      </c>
      <c r="E108" s="50">
        <v>281.10000000000002</v>
      </c>
      <c r="F108" s="17">
        <f t="shared" si="15"/>
        <v>0.32569999999999999</v>
      </c>
      <c r="H108" s="51">
        <f t="shared" si="16"/>
        <v>0.30816287931745023</v>
      </c>
      <c r="I108" s="51">
        <f t="shared" si="17"/>
        <v>1.7537120682549756E-2</v>
      </c>
      <c r="J108" s="51">
        <f t="shared" si="18"/>
        <v>3.0755060183431445E-4</v>
      </c>
      <c r="AB108" s="17">
        <f t="array" ref="AB108">MAX(IF($C$4:$C$200=MEDIAN($M$1-1,$M$1+1,C108),$D$4:$D$200,0))</f>
        <v>0.32629999999999998</v>
      </c>
      <c r="AC108" s="17">
        <f t="shared" si="19"/>
        <v>5.9999999999998943E-4</v>
      </c>
    </row>
    <row r="109" spans="2:29">
      <c r="B109" s="17">
        <v>24.544</v>
      </c>
      <c r="C109" s="50">
        <v>99.89</v>
      </c>
      <c r="D109" s="50">
        <v>0.32629999999999998</v>
      </c>
      <c r="E109" s="50">
        <v>281.10000000000002</v>
      </c>
      <c r="F109" s="17">
        <f t="shared" si="15"/>
        <v>0.32629999999999998</v>
      </c>
      <c r="H109" s="51">
        <f t="shared" si="16"/>
        <v>0.30808197269619164</v>
      </c>
      <c r="I109" s="51">
        <f t="shared" si="17"/>
        <v>1.8218027303808337E-2</v>
      </c>
      <c r="J109" s="51">
        <f t="shared" si="18"/>
        <v>3.3189651884230607E-4</v>
      </c>
      <c r="AB109" s="17">
        <f t="array" ref="AB109">MAX(IF($C$4:$C$200=MEDIAN($M$1-1,$M$1+1,C109),$D$4:$D$200,0))</f>
        <v>0.32629999999999998</v>
      </c>
      <c r="AC109" s="17">
        <f t="shared" si="19"/>
        <v>5.5000000000000049E-3</v>
      </c>
    </row>
    <row r="110" spans="2:29">
      <c r="B110" s="17">
        <v>24.788</v>
      </c>
      <c r="C110" s="50">
        <v>99.95</v>
      </c>
      <c r="D110" s="50">
        <v>0.33179999999999998</v>
      </c>
      <c r="E110" s="50">
        <v>288.7</v>
      </c>
      <c r="F110" s="17">
        <f t="shared" si="15"/>
        <v>0.33179999999999998</v>
      </c>
      <c r="H110" s="51">
        <f t="shared" si="16"/>
        <v>0.30801872513962358</v>
      </c>
      <c r="I110" s="51">
        <f t="shared" si="17"/>
        <v>2.37812748603764E-2</v>
      </c>
      <c r="J110" s="51">
        <f t="shared" si="18"/>
        <v>5.6554903398477055E-4</v>
      </c>
      <c r="AB110" s="17">
        <f t="array" ref="AB110">MAX(IF($C$4:$C$200=MEDIAN($M$1-1,$M$1+1,C110),$D$4:$D$200,0))</f>
        <v>0.67800000000000005</v>
      </c>
      <c r="AC110" s="17">
        <f t="shared" si="19"/>
        <v>0</v>
      </c>
    </row>
    <row r="111" spans="2:29">
      <c r="B111" s="17">
        <v>24.952000000000002</v>
      </c>
      <c r="C111" s="50">
        <v>99.95</v>
      </c>
      <c r="D111" s="50">
        <v>0.33179999999999998</v>
      </c>
      <c r="E111" s="50">
        <v>288.7</v>
      </c>
      <c r="F111" s="17">
        <f t="shared" si="15"/>
        <v>0.33179999999999998</v>
      </c>
      <c r="H111" s="51">
        <f t="shared" si="16"/>
        <v>0.30797920948845192</v>
      </c>
      <c r="I111" s="51">
        <f t="shared" si="17"/>
        <v>2.3820790511548062E-2</v>
      </c>
      <c r="J111" s="51">
        <f t="shared" si="18"/>
        <v>5.6743006059505822E-4</v>
      </c>
      <c r="AB111" s="17">
        <f t="array" ref="AB111">MAX(IF($C$4:$C$200=MEDIAN($M$1-1,$M$1+1,C111),$D$4:$D$200,0))</f>
        <v>0.67800000000000005</v>
      </c>
      <c r="AC111" s="17">
        <f t="shared" si="19"/>
        <v>1.9999999999997797E-4</v>
      </c>
    </row>
    <row r="112" spans="2:29">
      <c r="B112" s="17">
        <v>25.167999999999999</v>
      </c>
      <c r="C112" s="50">
        <v>99.87</v>
      </c>
      <c r="D112" s="50">
        <v>0.33160000000000001</v>
      </c>
      <c r="E112" s="50">
        <v>291.39999999999998</v>
      </c>
      <c r="F112" s="17">
        <f t="shared" si="15"/>
        <v>0.33160000000000001</v>
      </c>
      <c r="H112" s="51">
        <f t="shared" si="16"/>
        <v>0.30793057507063182</v>
      </c>
      <c r="I112" s="51">
        <f t="shared" si="17"/>
        <v>2.3669424929368188E-2</v>
      </c>
      <c r="J112" s="51">
        <f t="shared" si="18"/>
        <v>5.6024167648699625E-4</v>
      </c>
      <c r="AB112" s="17">
        <f t="array" ref="AB112">MAX(IF($C$4:$C$200=MEDIAN($M$1-1,$M$1+1,C112),$D$4:$D$200,0))</f>
        <v>0.3967</v>
      </c>
      <c r="AC112" s="17">
        <f t="shared" si="19"/>
        <v>3.8000000000000256E-3</v>
      </c>
    </row>
    <row r="113" spans="2:29">
      <c r="B113" s="17">
        <v>25.475999999999999</v>
      </c>
      <c r="C113" s="50">
        <v>99.87</v>
      </c>
      <c r="D113" s="50">
        <v>0.32779999999999998</v>
      </c>
      <c r="E113" s="50">
        <v>291.39999999999998</v>
      </c>
      <c r="F113" s="17">
        <f t="shared" si="15"/>
        <v>0.32779999999999998</v>
      </c>
      <c r="H113" s="51">
        <f t="shared" si="16"/>
        <v>0.30786740675077606</v>
      </c>
      <c r="I113" s="51">
        <f t="shared" si="17"/>
        <v>1.9932593249223918E-2</v>
      </c>
      <c r="J113" s="51">
        <f t="shared" si="18"/>
        <v>3.9730827363900688E-4</v>
      </c>
      <c r="AB113" s="17">
        <f t="array" ref="AB113">MAX(IF($C$4:$C$200=MEDIAN($M$1-1,$M$1+1,C113),$D$4:$D$200,0))</f>
        <v>0.3967</v>
      </c>
      <c r="AC113" s="17">
        <f t="shared" si="19"/>
        <v>1.3499999999999956E-2</v>
      </c>
    </row>
    <row r="114" spans="2:29">
      <c r="B114" s="17">
        <v>25.736000000000001</v>
      </c>
      <c r="C114" s="50">
        <v>99.86</v>
      </c>
      <c r="D114" s="50">
        <v>0.31430000000000002</v>
      </c>
      <c r="E114" s="50">
        <v>287.5</v>
      </c>
      <c r="F114" s="17">
        <f t="shared" si="15"/>
        <v>0.31430000000000002</v>
      </c>
      <c r="H114" s="51">
        <f t="shared" si="16"/>
        <v>0.30781923496894592</v>
      </c>
      <c r="I114" s="51">
        <f t="shared" si="17"/>
        <v>6.4807650310541032E-3</v>
      </c>
      <c r="J114" s="51">
        <f t="shared" si="18"/>
        <v>4.2000315387733688E-5</v>
      </c>
      <c r="AB114" s="17">
        <f t="array" ref="AB114">MAX(IF($C$4:$C$200=MEDIAN($M$1-1,$M$1+1,C114),$D$4:$D$200,0))</f>
        <v>0.68920000000000003</v>
      </c>
      <c r="AC114" s="17">
        <f t="shared" si="19"/>
        <v>0</v>
      </c>
    </row>
    <row r="115" spans="2:29">
      <c r="B115" s="17">
        <v>25.908000000000001</v>
      </c>
      <c r="C115" s="50">
        <v>99.86</v>
      </c>
      <c r="D115" s="50">
        <v>0.31430000000000002</v>
      </c>
      <c r="E115" s="50">
        <v>287.5</v>
      </c>
      <c r="F115" s="17">
        <f t="shared" si="15"/>
        <v>0.31430000000000002</v>
      </c>
      <c r="H115" s="51">
        <f t="shared" si="16"/>
        <v>0.30778974021294569</v>
      </c>
      <c r="I115" s="51">
        <f t="shared" si="17"/>
        <v>6.5102597870543288E-3</v>
      </c>
      <c r="J115" s="51">
        <f t="shared" si="18"/>
        <v>4.2383482494936675E-5</v>
      </c>
      <c r="AB115" s="17">
        <f t="array" ref="AB115">MAX(IF($C$4:$C$200=MEDIAN($M$1-1,$M$1+1,C115),$D$4:$D$200,0))</f>
        <v>0.68920000000000003</v>
      </c>
      <c r="AC115" s="17">
        <f t="shared" si="19"/>
        <v>5.9000000000000163E-3</v>
      </c>
    </row>
    <row r="116" spans="2:29">
      <c r="B116" s="17">
        <v>26.06</v>
      </c>
      <c r="C116" s="50">
        <v>99.94</v>
      </c>
      <c r="D116" s="50">
        <v>0.30840000000000001</v>
      </c>
      <c r="E116" s="50">
        <v>284</v>
      </c>
      <c r="F116" s="17">
        <f t="shared" si="15"/>
        <v>0.30840000000000001</v>
      </c>
      <c r="H116" s="51">
        <f t="shared" si="16"/>
        <v>0.30776514171539926</v>
      </c>
      <c r="I116" s="51">
        <f t="shared" si="17"/>
        <v>6.3485828460074778E-4</v>
      </c>
      <c r="J116" s="51">
        <f t="shared" si="18"/>
        <v>4.0304504152620409E-7</v>
      </c>
      <c r="AB116" s="17">
        <f t="array" ref="AB116">MAX(IF($C$4:$C$200=MEDIAN($M$1-1,$M$1+1,C116),$D$4:$D$200,0))</f>
        <v>1.153</v>
      </c>
      <c r="AC116" s="17">
        <f t="shared" si="19"/>
        <v>5.9999999999998943E-4</v>
      </c>
    </row>
    <row r="117" spans="2:29">
      <c r="B117" s="17">
        <v>26.32</v>
      </c>
      <c r="C117" s="50">
        <v>99.94</v>
      </c>
      <c r="D117" s="50">
        <v>0.309</v>
      </c>
      <c r="E117" s="50">
        <v>284</v>
      </c>
      <c r="F117" s="17">
        <f t="shared" si="15"/>
        <v>0.309</v>
      </c>
      <c r="H117" s="51">
        <f t="shared" si="16"/>
        <v>0.30772604164500539</v>
      </c>
      <c r="I117" s="51">
        <f t="shared" si="17"/>
        <v>1.2739583549946087E-3</v>
      </c>
      <c r="J117" s="51">
        <f t="shared" si="18"/>
        <v>1.6229698902605696E-6</v>
      </c>
      <c r="AB117" s="17">
        <f t="array" ref="AB117">MAX(IF($C$4:$C$200=MEDIAN($M$1-1,$M$1+1,C117),$D$4:$D$200,0))</f>
        <v>1.153</v>
      </c>
      <c r="AC117" s="17">
        <f t="shared" si="19"/>
        <v>3.5999999999999921E-3</v>
      </c>
    </row>
    <row r="118" spans="2:29">
      <c r="B118" s="17">
        <v>26.591999999999999</v>
      </c>
      <c r="C118" s="50">
        <v>99.9</v>
      </c>
      <c r="D118" s="50">
        <v>0.31259999999999999</v>
      </c>
      <c r="E118" s="50">
        <v>280.39999999999998</v>
      </c>
      <c r="F118" s="17">
        <f t="shared" si="15"/>
        <v>0.31259999999999999</v>
      </c>
      <c r="H118" s="51">
        <f t="shared" si="16"/>
        <v>0.30768884408179442</v>
      </c>
      <c r="I118" s="51">
        <f t="shared" si="17"/>
        <v>4.9111559182055675E-3</v>
      </c>
      <c r="J118" s="51">
        <f t="shared" si="18"/>
        <v>2.411945245292557E-5</v>
      </c>
      <c r="AB118" s="17">
        <f t="array" ref="AB118">MAX(IF($C$4:$C$200=MEDIAN($M$1-1,$M$1+1,C118),$D$4:$D$200,0))</f>
        <v>1.07</v>
      </c>
      <c r="AC118" s="17">
        <f t="shared" si="19"/>
        <v>9.5000000000000084E-3</v>
      </c>
    </row>
    <row r="119" spans="2:29">
      <c r="B119" s="17">
        <v>26.8</v>
      </c>
      <c r="C119" s="50">
        <v>99.9</v>
      </c>
      <c r="D119" s="50">
        <v>0.3221</v>
      </c>
      <c r="E119" s="50">
        <v>280.39999999999998</v>
      </c>
      <c r="F119" s="17">
        <f t="shared" si="15"/>
        <v>0.3221</v>
      </c>
      <c r="H119" s="51">
        <f t="shared" si="16"/>
        <v>0.3076627405746768</v>
      </c>
      <c r="I119" s="51">
        <f t="shared" si="17"/>
        <v>1.4437259425323201E-2</v>
      </c>
      <c r="J119" s="51">
        <f t="shared" si="18"/>
        <v>2.084344597140836E-4</v>
      </c>
      <c r="AB119" s="17">
        <f t="array" ref="AB119">MAX(IF($C$4:$C$200=MEDIAN($M$1-1,$M$1+1,C119),$D$4:$D$200,0))</f>
        <v>1.07</v>
      </c>
      <c r="AC119" s="17">
        <f t="shared" si="19"/>
        <v>1.6299999999999981E-2</v>
      </c>
    </row>
    <row r="120" spans="2:29">
      <c r="B120" s="17">
        <v>26.963999999999999</v>
      </c>
      <c r="C120" s="50">
        <v>99.9</v>
      </c>
      <c r="D120" s="50">
        <v>0.33839999999999998</v>
      </c>
      <c r="E120" s="50">
        <v>280.39999999999998</v>
      </c>
      <c r="F120" s="17">
        <f t="shared" si="15"/>
        <v>0.33839999999999998</v>
      </c>
      <c r="H120" s="51">
        <f t="shared" si="16"/>
        <v>0.3076434839015878</v>
      </c>
      <c r="I120" s="51">
        <f t="shared" si="17"/>
        <v>3.0756516098412179E-2</v>
      </c>
      <c r="J120" s="51">
        <f t="shared" si="18"/>
        <v>9.4596328251188755E-4</v>
      </c>
      <c r="AB120" s="17">
        <f t="array" ref="AB120">MAX(IF($C$4:$C$200=MEDIAN($M$1-1,$M$1+1,C120),$D$4:$D$200,0))</f>
        <v>1.07</v>
      </c>
      <c r="AC120" s="17">
        <f t="shared" si="19"/>
        <v>1.8999999999999573E-3</v>
      </c>
    </row>
    <row r="121" spans="2:29">
      <c r="B121" s="17">
        <v>27.22</v>
      </c>
      <c r="C121" s="50">
        <v>99.91</v>
      </c>
      <c r="D121" s="50">
        <v>0.33650000000000002</v>
      </c>
      <c r="E121" s="50">
        <v>282.8</v>
      </c>
      <c r="F121" s="17">
        <f t="shared" si="15"/>
        <v>0.33650000000000002</v>
      </c>
      <c r="H121" s="51">
        <f t="shared" si="16"/>
        <v>0.30761559172568198</v>
      </c>
      <c r="I121" s="51">
        <f t="shared" si="17"/>
        <v>2.8884408274318041E-2</v>
      </c>
      <c r="J121" s="51">
        <f t="shared" si="18"/>
        <v>8.343090413574925E-4</v>
      </c>
      <c r="AB121" s="17">
        <f t="array" ref="AB121">MAX(IF($C$4:$C$200=MEDIAN($M$1-1,$M$1+1,C121),$D$4:$D$200,0))</f>
        <v>0.45779999999999998</v>
      </c>
      <c r="AC121" s="17">
        <f t="shared" si="19"/>
        <v>3.8000000000000256E-3</v>
      </c>
    </row>
    <row r="122" spans="2:29">
      <c r="B122" s="17">
        <v>27.536000000000001</v>
      </c>
      <c r="C122" s="50">
        <v>99.94</v>
      </c>
      <c r="D122" s="50">
        <v>0.3327</v>
      </c>
      <c r="E122" s="50">
        <v>289.39999999999998</v>
      </c>
      <c r="F122" s="17">
        <f t="shared" si="15"/>
        <v>0.3327</v>
      </c>
      <c r="H122" s="51">
        <f t="shared" si="16"/>
        <v>0.30758450090654588</v>
      </c>
      <c r="I122" s="51">
        <f t="shared" si="17"/>
        <v>2.5115499093454119E-2</v>
      </c>
      <c r="J122" s="51">
        <f t="shared" si="18"/>
        <v>6.3078829471329464E-4</v>
      </c>
      <c r="AB122" s="17">
        <f t="array" ref="AB122">MAX(IF($C$4:$C$200=MEDIAN($M$1-1,$M$1+1,C122),$D$4:$D$200,0))</f>
        <v>1.153</v>
      </c>
      <c r="AC122" s="17">
        <f t="shared" si="19"/>
        <v>4.9000000000000155E-3</v>
      </c>
    </row>
    <row r="123" spans="2:29">
      <c r="B123" s="17">
        <v>27.788</v>
      </c>
      <c r="C123" s="50">
        <v>99.94</v>
      </c>
      <c r="D123" s="50">
        <v>0.32779999999999998</v>
      </c>
      <c r="E123" s="50">
        <v>289.39999999999998</v>
      </c>
      <c r="F123" s="17">
        <f t="shared" si="15"/>
        <v>0.32779999999999998</v>
      </c>
      <c r="H123" s="51">
        <f t="shared" si="16"/>
        <v>0.30756210362094194</v>
      </c>
      <c r="I123" s="51">
        <f t="shared" si="17"/>
        <v>2.023789637905804E-2</v>
      </c>
      <c r="J123" s="51">
        <f t="shared" si="18"/>
        <v>4.0957244984949053E-4</v>
      </c>
      <c r="AB123" s="17">
        <f t="array" ref="AB123">MAX(IF($C$4:$C$200=MEDIAN($M$1-1,$M$1+1,C123),$D$4:$D$200,0))</f>
        <v>1.153</v>
      </c>
      <c r="AC123" s="17">
        <f t="shared" si="19"/>
        <v>8.1999999999999851E-3</v>
      </c>
    </row>
    <row r="124" spans="2:29">
      <c r="B124" s="17">
        <v>27.975999999999999</v>
      </c>
      <c r="C124" s="50">
        <v>99.93</v>
      </c>
      <c r="D124" s="50">
        <v>0.3196</v>
      </c>
      <c r="E124" s="50">
        <v>293.10000000000002</v>
      </c>
      <c r="F124" s="17">
        <f t="shared" si="15"/>
        <v>0.3196</v>
      </c>
      <c r="H124" s="51">
        <f t="shared" si="16"/>
        <v>0.30754665990495766</v>
      </c>
      <c r="I124" s="51">
        <f t="shared" si="17"/>
        <v>1.2053340095042331E-2</v>
      </c>
      <c r="J124" s="51">
        <f t="shared" si="18"/>
        <v>1.4528300744675506E-4</v>
      </c>
      <c r="AB124" s="17">
        <f t="array" ref="AB124">MAX(IF($C$4:$C$200=MEDIAN($M$1-1,$M$1+1,C124),$D$4:$D$200,0))</f>
        <v>0.34560000000000002</v>
      </c>
      <c r="AC124" s="17">
        <f t="shared" si="19"/>
        <v>2.6999999999999802E-3</v>
      </c>
    </row>
    <row r="125" spans="2:29">
      <c r="B125" s="17">
        <v>28.228000000000002</v>
      </c>
      <c r="C125" s="50">
        <v>99.93</v>
      </c>
      <c r="D125" s="50">
        <v>0.32229999999999998</v>
      </c>
      <c r="E125" s="50">
        <v>293.10000000000002</v>
      </c>
      <c r="F125" s="17">
        <f t="shared" si="15"/>
        <v>0.32229999999999998</v>
      </c>
      <c r="H125" s="51">
        <f t="shared" si="16"/>
        <v>0.30752752070924227</v>
      </c>
      <c r="I125" s="51">
        <f t="shared" si="17"/>
        <v>1.4772479290757701E-2</v>
      </c>
      <c r="J125" s="51">
        <f t="shared" si="18"/>
        <v>2.1822614439586513E-4</v>
      </c>
      <c r="AB125" s="17">
        <f t="array" ref="AB125">MAX(IF($C$4:$C$200=MEDIAN($M$1-1,$M$1+1,C125),$D$4:$D$200,0))</f>
        <v>0.34560000000000002</v>
      </c>
      <c r="AC125" s="17">
        <f t="shared" si="19"/>
        <v>6.3999999999999613E-3</v>
      </c>
    </row>
    <row r="126" spans="2:29">
      <c r="B126" s="17">
        <v>28.495999999999999</v>
      </c>
      <c r="C126" s="50">
        <v>99.93</v>
      </c>
      <c r="D126" s="50">
        <v>0.31590000000000001</v>
      </c>
      <c r="E126" s="50">
        <v>295.3</v>
      </c>
      <c r="F126" s="17">
        <f t="shared" si="15"/>
        <v>0.31590000000000001</v>
      </c>
      <c r="H126" s="51">
        <f t="shared" si="16"/>
        <v>0.30750897109933728</v>
      </c>
      <c r="I126" s="51">
        <f t="shared" si="17"/>
        <v>8.3910289006627337E-3</v>
      </c>
      <c r="J126" s="51">
        <f t="shared" si="18"/>
        <v>7.0409366011757248E-5</v>
      </c>
      <c r="AB126" s="17">
        <f t="array" ref="AB126">MAX(IF($C$4:$C$200=MEDIAN($M$1-1,$M$1+1,C126),$D$4:$D$200,0))</f>
        <v>0.34560000000000002</v>
      </c>
      <c r="AC126" s="17">
        <f t="shared" si="19"/>
        <v>2.4500000000000022E-2</v>
      </c>
    </row>
    <row r="127" spans="2:29">
      <c r="B127" s="17">
        <v>28.724</v>
      </c>
      <c r="C127" s="50">
        <v>99.93</v>
      </c>
      <c r="D127" s="50">
        <v>0.29139999999999999</v>
      </c>
      <c r="E127" s="50">
        <v>295.3</v>
      </c>
      <c r="F127" s="17">
        <f t="shared" si="15"/>
        <v>0.29139999999999999</v>
      </c>
      <c r="H127" s="51">
        <f t="shared" si="16"/>
        <v>0.30749452972260638</v>
      </c>
      <c r="I127" s="51">
        <f t="shared" si="17"/>
        <v>-1.6094529722606388E-2</v>
      </c>
      <c r="J127" s="51">
        <f t="shared" si="18"/>
        <v>2.5903388699186042E-4</v>
      </c>
      <c r="AB127" s="17">
        <f t="array" ref="AB127">MAX(IF($C$4:$C$200=MEDIAN($M$1-1,$M$1+1,C127),$D$4:$D$200,0))</f>
        <v>0.34560000000000002</v>
      </c>
      <c r="AC127" s="17">
        <f t="shared" si="19"/>
        <v>2.9000000000000137E-3</v>
      </c>
    </row>
    <row r="128" spans="2:29">
      <c r="B128" s="17">
        <v>28.904</v>
      </c>
      <c r="C128" s="50">
        <v>99.93</v>
      </c>
      <c r="D128" s="50">
        <v>0.28849999999999998</v>
      </c>
      <c r="E128" s="50">
        <v>295.3</v>
      </c>
      <c r="F128" s="17">
        <f t="shared" si="15"/>
        <v>0.28849999999999998</v>
      </c>
      <c r="H128" s="51">
        <f t="shared" si="16"/>
        <v>0.30748393114024353</v>
      </c>
      <c r="I128" s="51">
        <f t="shared" si="17"/>
        <v>-1.8983931140243548E-2</v>
      </c>
      <c r="J128" s="51">
        <f t="shared" si="18"/>
        <v>3.6038964153750874E-4</v>
      </c>
      <c r="AB128" s="17">
        <f t="array" ref="AB128">MAX(IF($C$4:$C$200=MEDIAN($M$1-1,$M$1+1,C128),$D$4:$D$200,0))</f>
        <v>0.34560000000000002</v>
      </c>
      <c r="AC128" s="17">
        <f t="shared" si="19"/>
        <v>0</v>
      </c>
    </row>
    <row r="129" spans="2:29">
      <c r="B129" s="17">
        <v>29.056000000000001</v>
      </c>
      <c r="C129" s="50">
        <v>99.97</v>
      </c>
      <c r="D129" s="50">
        <v>0.28849999999999998</v>
      </c>
      <c r="E129" s="50">
        <v>298.89999999999998</v>
      </c>
      <c r="F129" s="17">
        <f t="shared" si="15"/>
        <v>0.28849999999999998</v>
      </c>
      <c r="H129" s="51">
        <f t="shared" si="16"/>
        <v>0.30747549700930943</v>
      </c>
      <c r="I129" s="51">
        <f t="shared" si="17"/>
        <v>-1.897549700930945E-2</v>
      </c>
      <c r="J129" s="51">
        <f t="shared" si="18"/>
        <v>3.600694867503119E-4</v>
      </c>
      <c r="AB129" s="17">
        <f t="array" ref="AB129">MAX(IF($C$4:$C$200=MEDIAN($M$1-1,$M$1+1,C129),$D$4:$D$200,0))</f>
        <v>0.51300000000000001</v>
      </c>
      <c r="AC129" s="17">
        <f t="shared" si="19"/>
        <v>2.2600000000000009E-2</v>
      </c>
    </row>
    <row r="130" spans="2:29">
      <c r="B130" s="17">
        <v>29.344000000000001</v>
      </c>
      <c r="C130" s="50">
        <v>99.97</v>
      </c>
      <c r="D130" s="50">
        <v>0.31109999999999999</v>
      </c>
      <c r="E130" s="50">
        <v>298.89999999999998</v>
      </c>
      <c r="F130" s="17">
        <f t="shared" si="15"/>
        <v>0.31109999999999999</v>
      </c>
      <c r="H130" s="51">
        <f t="shared" si="16"/>
        <v>0.30746071982836654</v>
      </c>
      <c r="I130" s="51">
        <f t="shared" si="17"/>
        <v>3.6392801716334522E-3</v>
      </c>
      <c r="J130" s="51">
        <f t="shared" si="18"/>
        <v>1.3244360167644409E-5</v>
      </c>
      <c r="AB130" s="17">
        <f t="array" ref="AB130">MAX(IF($C$4:$C$200=MEDIAN($M$1-1,$M$1+1,C130),$D$4:$D$200,0))</f>
        <v>0.51300000000000001</v>
      </c>
      <c r="AC130" s="17">
        <f t="shared" si="19"/>
        <v>2.0299999999999985E-2</v>
      </c>
    </row>
    <row r="131" spans="2:29">
      <c r="B131" s="17">
        <v>29.652000000000001</v>
      </c>
      <c r="C131" s="50">
        <v>99.93</v>
      </c>
      <c r="D131" s="50">
        <v>0.33139999999999997</v>
      </c>
      <c r="E131" s="50">
        <v>299.39999999999998</v>
      </c>
      <c r="F131" s="17">
        <f t="shared" si="15"/>
        <v>0.33139999999999997</v>
      </c>
      <c r="H131" s="51">
        <f t="shared" si="16"/>
        <v>0.30744651163744052</v>
      </c>
      <c r="I131" s="51">
        <f t="shared" si="17"/>
        <v>2.395348836255945E-2</v>
      </c>
      <c r="J131" s="51">
        <f t="shared" si="18"/>
        <v>5.7376960473527099E-4</v>
      </c>
      <c r="AB131" s="17">
        <f t="array" ref="AB131">MAX(IF($C$4:$C$200=MEDIAN($M$1-1,$M$1+1,C131),$D$4:$D$200,0))</f>
        <v>0.34560000000000002</v>
      </c>
      <c r="AC131" s="17">
        <f t="shared" si="19"/>
        <v>1.4200000000000046E-2</v>
      </c>
    </row>
    <row r="132" spans="2:29">
      <c r="B132" s="17">
        <v>29.795999999999999</v>
      </c>
      <c r="C132" s="50">
        <v>99.93</v>
      </c>
      <c r="D132" s="50">
        <v>0.34560000000000002</v>
      </c>
      <c r="E132" s="50">
        <v>299.39999999999998</v>
      </c>
      <c r="F132" s="17">
        <f t="shared" ref="F132:F147" si="20">IF(C132=MEDIAN($M$1-1,$M$1+1,C132),IF(D132&lt;=AVERAGE($AB$3,AVERAGEIF($B$4:$B$200,"&gt;20",$D$4:$D$200)),D132,0),0)</f>
        <v>0.34560000000000002</v>
      </c>
      <c r="H132" s="51">
        <f t="shared" ref="H132:H147" si="21">IF(MATCH(F132,$F$4:$F$200,0)&gt;=MATCH(MAX($F$4:$F$200),$F$4:$F$200,0),$M$4+($M$5-$M$4)*(1-EXP(-B132/$M$6)),0)</f>
        <v>0.30744038654668948</v>
      </c>
      <c r="I132" s="51">
        <f t="shared" ref="I132:I163" si="22">IF(H132&gt;0,D132-H132,0)</f>
        <v>3.8159613453310537E-2</v>
      </c>
      <c r="J132" s="51">
        <f t="shared" ref="J132:J163" si="23">I132^2</f>
        <v>1.4561560989060785E-3</v>
      </c>
      <c r="AB132" s="17">
        <f t="array" ref="AB132">MAX(IF($C$4:$C$200=MEDIAN($M$1-1,$M$1+1,C132),$D$4:$D$200,0))</f>
        <v>0.34560000000000002</v>
      </c>
      <c r="AC132" s="17">
        <f t="shared" ref="AC132:AC146" si="24">ABS(D132-D133)</f>
        <v>1.369999999999999E-2</v>
      </c>
    </row>
    <row r="133" spans="2:29">
      <c r="B133" s="17">
        <v>29.94</v>
      </c>
      <c r="C133" s="50">
        <v>99.94</v>
      </c>
      <c r="D133" s="50">
        <v>0.35930000000000001</v>
      </c>
      <c r="E133" s="50">
        <v>298.89999999999998</v>
      </c>
      <c r="F133" s="17">
        <f t="shared" si="20"/>
        <v>0.35930000000000001</v>
      </c>
      <c r="H133" s="51">
        <f t="shared" si="21"/>
        <v>0.30743456860906537</v>
      </c>
      <c r="I133" s="51">
        <f t="shared" si="22"/>
        <v>5.1865431390934635E-2</v>
      </c>
      <c r="J133" s="51">
        <f t="shared" si="23"/>
        <v>2.6900229733677478E-3</v>
      </c>
      <c r="AB133" s="17">
        <f t="array" ref="AB133">MAX(IF($C$4:$C$200=MEDIAN($M$1-1,$M$1+1,C133),$D$4:$D$200,0))</f>
        <v>1.153</v>
      </c>
      <c r="AC133" s="17">
        <f t="shared" si="24"/>
        <v>0</v>
      </c>
    </row>
    <row r="134" spans="2:29">
      <c r="B134" s="17">
        <v>30.143999999999998</v>
      </c>
      <c r="C134" s="50">
        <v>99.94</v>
      </c>
      <c r="D134" s="50">
        <v>0.35930000000000001</v>
      </c>
      <c r="E134" s="50">
        <v>298.89999999999998</v>
      </c>
      <c r="F134" s="17">
        <f t="shared" si="20"/>
        <v>0.35930000000000001</v>
      </c>
      <c r="H134" s="51">
        <f t="shared" si="21"/>
        <v>0.30742682244651398</v>
      </c>
      <c r="I134" s="51">
        <f t="shared" si="22"/>
        <v>5.1873177553486027E-2</v>
      </c>
      <c r="J134" s="51">
        <f t="shared" si="23"/>
        <v>2.6908265494954868E-3</v>
      </c>
      <c r="AB134" s="17">
        <f t="array" ref="AB134">MAX(IF($C$4:$C$200=MEDIAN($M$1-1,$M$1+1,C134),$D$4:$D$200,0))</f>
        <v>1.153</v>
      </c>
      <c r="AC134" s="17">
        <f t="shared" si="24"/>
        <v>2.9600000000000015E-2</v>
      </c>
    </row>
    <row r="135" spans="2:29">
      <c r="B135" s="17">
        <v>30.448</v>
      </c>
      <c r="C135" s="50">
        <v>99.87</v>
      </c>
      <c r="D135" s="50">
        <v>0.32969999999999999</v>
      </c>
      <c r="E135" s="50">
        <v>298.7</v>
      </c>
      <c r="F135" s="17">
        <f t="shared" si="20"/>
        <v>0.32969999999999999</v>
      </c>
      <c r="H135" s="51">
        <f t="shared" si="21"/>
        <v>0.30741627770466096</v>
      </c>
      <c r="I135" s="51">
        <f t="shared" si="22"/>
        <v>2.2283722295339037E-2</v>
      </c>
      <c r="J135" s="51">
        <f t="shared" si="23"/>
        <v>4.9656427933579008E-4</v>
      </c>
      <c r="AB135" s="17">
        <f t="array" ref="AB135">MAX(IF($C$4:$C$200=MEDIAN($M$1-1,$M$1+1,C135),$D$4:$D$200,0))</f>
        <v>0.3967</v>
      </c>
      <c r="AC135" s="17">
        <f t="shared" si="24"/>
        <v>2.1600000000000008E-2</v>
      </c>
    </row>
    <row r="136" spans="2:29">
      <c r="B136" s="17">
        <v>30.704000000000001</v>
      </c>
      <c r="C136" s="50">
        <v>99.87</v>
      </c>
      <c r="D136" s="50">
        <v>0.30809999999999998</v>
      </c>
      <c r="E136" s="50">
        <v>298.7</v>
      </c>
      <c r="F136" s="17">
        <f t="shared" si="20"/>
        <v>0.30809999999999998</v>
      </c>
      <c r="H136" s="51">
        <f t="shared" si="21"/>
        <v>0.30740824439282211</v>
      </c>
      <c r="I136" s="51">
        <f t="shared" si="22"/>
        <v>6.9175560717787965E-4</v>
      </c>
      <c r="J136" s="51">
        <f t="shared" si="23"/>
        <v>4.7852582006203692E-7</v>
      </c>
      <c r="AB136" s="17">
        <f t="array" ref="AB136">MAX(IF($C$4:$C$200=MEDIAN($M$1-1,$M$1+1,C136),$D$4:$D$200,0))</f>
        <v>0.3967</v>
      </c>
      <c r="AC136" s="17">
        <f t="shared" si="24"/>
        <v>0</v>
      </c>
    </row>
    <row r="137" spans="2:29">
      <c r="B137" s="17">
        <v>30.884</v>
      </c>
      <c r="C137" s="50">
        <v>99.89</v>
      </c>
      <c r="D137" s="50">
        <v>0.30809999999999998</v>
      </c>
      <c r="E137" s="50">
        <v>299.39999999999998</v>
      </c>
      <c r="F137" s="17">
        <f t="shared" si="20"/>
        <v>0.30809999999999998</v>
      </c>
      <c r="H137" s="51">
        <f t="shared" si="21"/>
        <v>0.3074030201289002</v>
      </c>
      <c r="I137" s="51">
        <f t="shared" si="22"/>
        <v>6.9697987109978987E-4</v>
      </c>
      <c r="J137" s="51">
        <f t="shared" si="23"/>
        <v>4.8578094071827967E-7</v>
      </c>
      <c r="AB137" s="17">
        <f t="array" ref="AB137">MAX(IF($C$4:$C$200=MEDIAN($M$1-1,$M$1+1,C137),$D$4:$D$200,0))</f>
        <v>0.32629999999999998</v>
      </c>
      <c r="AC137" s="17">
        <f t="shared" si="24"/>
        <v>1.4999999999999958E-2</v>
      </c>
    </row>
    <row r="138" spans="2:29">
      <c r="B138" s="17">
        <v>31.056000000000001</v>
      </c>
      <c r="C138" s="50">
        <v>99.89</v>
      </c>
      <c r="D138" s="50">
        <v>0.29310000000000003</v>
      </c>
      <c r="E138" s="50">
        <v>299.39999999999998</v>
      </c>
      <c r="F138" s="17">
        <f t="shared" si="20"/>
        <v>0.29310000000000003</v>
      </c>
      <c r="H138" s="51">
        <f t="shared" si="21"/>
        <v>0.30739833236355008</v>
      </c>
      <c r="I138" s="51">
        <f t="shared" si="22"/>
        <v>-1.4298332363550048E-2</v>
      </c>
      <c r="J138" s="51">
        <f t="shared" si="23"/>
        <v>2.0444230837854272E-4</v>
      </c>
      <c r="AB138" s="17">
        <f t="array" ref="AB138">MAX(IF($C$4:$C$200=MEDIAN($M$1-1,$M$1+1,C138),$D$4:$D$200,0))</f>
        <v>0.32629999999999998</v>
      </c>
      <c r="AC138" s="17">
        <f t="shared" si="24"/>
        <v>7.2000000000000397E-3</v>
      </c>
    </row>
    <row r="139" spans="2:29">
      <c r="B139" s="17">
        <v>31.344000000000001</v>
      </c>
      <c r="C139" s="50">
        <v>100</v>
      </c>
      <c r="D139" s="50">
        <v>0.28589999999999999</v>
      </c>
      <c r="E139" s="50">
        <v>299</v>
      </c>
      <c r="F139" s="17">
        <f t="shared" si="20"/>
        <v>0.28589999999999999</v>
      </c>
      <c r="H139" s="51">
        <f t="shared" si="21"/>
        <v>0.3073911002429206</v>
      </c>
      <c r="I139" s="51">
        <f t="shared" si="22"/>
        <v>-2.1491100242920613E-2</v>
      </c>
      <c r="J139" s="51">
        <f t="shared" si="23"/>
        <v>4.6186738965126246E-4</v>
      </c>
      <c r="AB139" s="17">
        <f t="array" ref="AB139">MAX(IF($C$4:$C$200=MEDIAN($M$1-1,$M$1+1,C139),$D$4:$D$200,0))</f>
        <v>0.28999999999999998</v>
      </c>
      <c r="AC139" s="17">
        <f t="shared" si="24"/>
        <v>5.9999999999998943E-4</v>
      </c>
    </row>
    <row r="140" spans="2:29">
      <c r="B140" s="17">
        <v>31.616</v>
      </c>
      <c r="C140" s="50">
        <v>100</v>
      </c>
      <c r="D140" s="50">
        <v>0.2853</v>
      </c>
      <c r="E140" s="50">
        <v>299</v>
      </c>
      <c r="F140" s="17">
        <f t="shared" si="20"/>
        <v>0.2853</v>
      </c>
      <c r="H140" s="51">
        <f t="shared" si="21"/>
        <v>0.3073849204239254</v>
      </c>
      <c r="I140" s="51">
        <f t="shared" si="22"/>
        <v>-2.2084920423925403E-2</v>
      </c>
      <c r="J140" s="51">
        <f t="shared" si="23"/>
        <v>4.8774371013111738E-4</v>
      </c>
      <c r="AB140" s="17">
        <f t="array" ref="AB140">MAX(IF($C$4:$C$200=MEDIAN($M$1-1,$M$1+1,C140),$D$4:$D$200,0))</f>
        <v>0.28999999999999998</v>
      </c>
      <c r="AC140" s="17">
        <f t="shared" si="24"/>
        <v>4.699999999999982E-3</v>
      </c>
    </row>
    <row r="141" spans="2:29">
      <c r="B141" s="17">
        <v>31.884</v>
      </c>
      <c r="C141" s="50">
        <v>100</v>
      </c>
      <c r="D141" s="50">
        <v>0.28999999999999998</v>
      </c>
      <c r="E141" s="50">
        <v>301.10000000000002</v>
      </c>
      <c r="F141" s="17">
        <f t="shared" si="20"/>
        <v>0.28999999999999998</v>
      </c>
      <c r="H141" s="51">
        <f t="shared" si="21"/>
        <v>0.30737939147400972</v>
      </c>
      <c r="I141" s="51">
        <f t="shared" si="22"/>
        <v>-1.7379391474009742E-2</v>
      </c>
      <c r="J141" s="51">
        <f t="shared" si="23"/>
        <v>3.0204324800688249E-4</v>
      </c>
      <c r="AB141" s="17">
        <f t="array" ref="AB141">MAX(IF($C$4:$C$200=MEDIAN($M$1-1,$M$1+1,C141),$D$4:$D$200,0))</f>
        <v>0.28999999999999998</v>
      </c>
      <c r="AC141" s="17">
        <f t="shared" si="24"/>
        <v>5.0999999999999934E-3</v>
      </c>
    </row>
    <row r="142" spans="2:29">
      <c r="B142" s="17">
        <v>32.031999999999996</v>
      </c>
      <c r="C142" s="50">
        <v>100</v>
      </c>
      <c r="D142" s="50">
        <v>0.28489999999999999</v>
      </c>
      <c r="E142" s="50">
        <v>301.10000000000002</v>
      </c>
      <c r="F142" s="17">
        <f t="shared" si="20"/>
        <v>0.28489999999999999</v>
      </c>
      <c r="H142" s="51">
        <f t="shared" si="21"/>
        <v>0.30737655760099791</v>
      </c>
      <c r="I142" s="51">
        <f t="shared" si="22"/>
        <v>-2.2476557600997926E-2</v>
      </c>
      <c r="J142" s="51">
        <f t="shared" si="23"/>
        <v>5.0519564159097767E-4</v>
      </c>
      <c r="AB142" s="17">
        <f t="array" ref="AB142">MAX(IF($C$4:$C$200=MEDIAN($M$1-1,$M$1+1,C142),$D$4:$D$200,0))</f>
        <v>0.28999999999999998</v>
      </c>
      <c r="AC142" s="17">
        <f t="shared" si="24"/>
        <v>5.9999999999998943E-4</v>
      </c>
    </row>
    <row r="143" spans="2:29">
      <c r="B143" s="17">
        <v>32.32</v>
      </c>
      <c r="C143" s="50">
        <v>100</v>
      </c>
      <c r="D143" s="50">
        <v>0.28549999999999998</v>
      </c>
      <c r="E143" s="50">
        <v>304.10000000000002</v>
      </c>
      <c r="F143" s="17">
        <f t="shared" si="20"/>
        <v>0.28549999999999998</v>
      </c>
      <c r="H143" s="51">
        <f t="shared" si="21"/>
        <v>0.30737145458878512</v>
      </c>
      <c r="I143" s="51">
        <f t="shared" si="22"/>
        <v>-2.1871454588785144E-2</v>
      </c>
      <c r="J143" s="51">
        <f t="shared" si="23"/>
        <v>4.7836052582929075E-4</v>
      </c>
      <c r="AB143" s="17">
        <f t="array" ref="AB143">MAX(IF($C$4:$C$200=MEDIAN($M$1-1,$M$1+1,C143),$D$4:$D$200,0))</f>
        <v>0.28999999999999998</v>
      </c>
      <c r="AC143" s="17">
        <f t="shared" si="24"/>
        <v>3.0000000000000027E-3</v>
      </c>
    </row>
    <row r="144" spans="2:29">
      <c r="B144" s="17">
        <v>32.595999999999997</v>
      </c>
      <c r="C144" s="50">
        <v>100</v>
      </c>
      <c r="D144" s="50">
        <v>0.28249999999999997</v>
      </c>
      <c r="E144" s="50">
        <v>304.10000000000002</v>
      </c>
      <c r="F144" s="17">
        <f t="shared" si="20"/>
        <v>0.28249999999999997</v>
      </c>
      <c r="H144" s="51">
        <f t="shared" si="21"/>
        <v>0.30736703306856228</v>
      </c>
      <c r="I144" s="51">
        <f t="shared" si="22"/>
        <v>-2.4867033068562305E-2</v>
      </c>
      <c r="J144" s="51">
        <f t="shared" si="23"/>
        <v>6.183693336329712E-4</v>
      </c>
      <c r="AB144" s="17">
        <f t="array" ref="AB144">MAX(IF($C$4:$C$200=MEDIAN($M$1-1,$M$1+1,C144),$D$4:$D$200,0))</f>
        <v>0.28999999999999998</v>
      </c>
      <c r="AC144" s="17">
        <f t="shared" si="24"/>
        <v>1.1999999999999789E-3</v>
      </c>
    </row>
    <row r="145" spans="1:29">
      <c r="B145" s="17">
        <v>32.799999999999997</v>
      </c>
      <c r="C145" s="50">
        <v>100</v>
      </c>
      <c r="D145" s="50">
        <v>0.28129999999999999</v>
      </c>
      <c r="E145" s="50">
        <v>303.60000000000002</v>
      </c>
      <c r="F145" s="17">
        <f t="shared" si="20"/>
        <v>0.28129999999999999</v>
      </c>
      <c r="H145" s="51">
        <f t="shared" si="21"/>
        <v>0.3073640340871675</v>
      </c>
      <c r="I145" s="51">
        <f t="shared" si="22"/>
        <v>-2.6064034087167509E-2</v>
      </c>
      <c r="J145" s="51">
        <f t="shared" si="23"/>
        <v>6.7933387289702989E-4</v>
      </c>
      <c r="AB145" s="17">
        <f t="array" ref="AB145">MAX(IF($C$4:$C$200=MEDIAN($M$1-1,$M$1+1,C145),$D$4:$D$200,0))</f>
        <v>0.28999999999999998</v>
      </c>
      <c r="AC145" s="17">
        <f t="shared" si="24"/>
        <v>9.299999999999975E-3</v>
      </c>
    </row>
    <row r="146" spans="1:29">
      <c r="B146" s="17">
        <v>32.975999999999999</v>
      </c>
      <c r="C146" s="50">
        <v>100</v>
      </c>
      <c r="D146" s="50">
        <v>0.27200000000000002</v>
      </c>
      <c r="E146" s="50">
        <v>303.60000000000002</v>
      </c>
      <c r="F146" s="17">
        <f t="shared" si="20"/>
        <v>0.27200000000000002</v>
      </c>
      <c r="H146" s="51">
        <f t="shared" si="21"/>
        <v>0.30736161667483142</v>
      </c>
      <c r="I146" s="51">
        <f t="shared" si="22"/>
        <v>-3.5361616674831398E-2</v>
      </c>
      <c r="J146" s="51">
        <f t="shared" si="23"/>
        <v>1.250443933857714E-3</v>
      </c>
      <c r="AB146" s="17">
        <f t="array" ref="AB146">MAX(IF($C$4:$C$200=MEDIAN($M$1-1,$M$1+1,C146),$D$4:$D$200,0))</f>
        <v>0.28999999999999998</v>
      </c>
      <c r="AC146" s="17">
        <f t="shared" si="24"/>
        <v>2.5000000000000022E-3</v>
      </c>
    </row>
    <row r="147" spans="1:29" ht="15.75" customHeight="1" thickBot="1">
      <c r="A147"/>
      <c r="B147" s="17">
        <v>33.188000000000002</v>
      </c>
      <c r="C147" s="50">
        <v>100</v>
      </c>
      <c r="D147" s="50">
        <v>0.26950000000000002</v>
      </c>
      <c r="E147" s="50">
        <v>303.60000000000002</v>
      </c>
      <c r="F147" s="17">
        <f t="shared" si="20"/>
        <v>0.26950000000000002</v>
      </c>
      <c r="G147"/>
      <c r="H147" s="51">
        <f t="shared" si="21"/>
        <v>0.30735889958139762</v>
      </c>
      <c r="I147" s="51">
        <f t="shared" si="22"/>
        <v>-3.7858899581397598E-2</v>
      </c>
      <c r="J147" s="51">
        <f t="shared" si="23"/>
        <v>1.4332962775143471E-3</v>
      </c>
      <c r="K147"/>
      <c r="L147"/>
      <c r="M147"/>
      <c r="AB147" s="42">
        <f t="array" ref="AB147">MAX(IF($C$4:$C$200=MEDIAN($M$1-1,$M$1+1,C147),$D$4:$D$200,0))</f>
        <v>0.28999999999999998</v>
      </c>
      <c r="AC147" s="42"/>
    </row>
    <row r="148" spans="1:29">
      <c r="H148" s="51"/>
      <c r="I148" s="51"/>
      <c r="J148" s="51"/>
      <c r="AB148" s="17">
        <f t="array" ref="AB148">MAX(IF($C$4:$C$200=MEDIAN($M$1-1,$M$1+1,C148),$D$4:$D$200,0))</f>
        <v>0.28999999999999998</v>
      </c>
      <c r="AC148" s="17">
        <f>AVERAGE(AC4:AC146)</f>
        <v>4.073776223776223E-2</v>
      </c>
    </row>
    <row r="149" spans="1:29">
      <c r="H149" s="51"/>
      <c r="I149" s="51"/>
      <c r="J149" s="51"/>
    </row>
    <row r="150" spans="1:29">
      <c r="H150" s="51"/>
      <c r="I150" s="51"/>
      <c r="J150" s="51"/>
    </row>
    <row r="151" spans="1:29">
      <c r="H151" s="51"/>
      <c r="I151" s="51"/>
      <c r="J151" s="51"/>
    </row>
    <row r="152" spans="1:29">
      <c r="H152" s="51"/>
      <c r="I152" s="51"/>
      <c r="J152" s="51"/>
    </row>
    <row r="153" spans="1:29">
      <c r="H153" s="51"/>
      <c r="I153" s="51"/>
      <c r="J153" s="51"/>
    </row>
    <row r="154" spans="1:29">
      <c r="H154" s="51"/>
      <c r="I154" s="51"/>
      <c r="J154" s="51"/>
    </row>
    <row r="155" spans="1:29">
      <c r="H155" s="51"/>
      <c r="I155" s="51"/>
      <c r="J155" s="51"/>
    </row>
    <row r="156" spans="1:29">
      <c r="H156" s="51"/>
      <c r="I156" s="51"/>
      <c r="J156" s="51"/>
    </row>
    <row r="157" spans="1:29">
      <c r="H157" s="51"/>
      <c r="I157" s="51"/>
      <c r="J157" s="51"/>
    </row>
    <row r="158" spans="1:29">
      <c r="H158" s="51"/>
      <c r="I158" s="51"/>
      <c r="J158" s="51"/>
    </row>
    <row r="159" spans="1:29">
      <c r="H159" s="51"/>
      <c r="I159" s="51"/>
      <c r="J159" s="51"/>
    </row>
    <row r="160" spans="1:29">
      <c r="H160" s="51"/>
      <c r="I160" s="51"/>
      <c r="J160" s="51"/>
    </row>
    <row r="161" spans="8:10">
      <c r="H161" s="51"/>
      <c r="I161" s="51"/>
      <c r="J161" s="51"/>
    </row>
    <row r="162" spans="8:10">
      <c r="H162" s="51"/>
      <c r="I162" s="51"/>
      <c r="J162" s="51"/>
    </row>
    <row r="163" spans="8:10">
      <c r="H163" s="51"/>
      <c r="I163" s="51"/>
      <c r="J163" s="51"/>
    </row>
    <row r="164" spans="8:10">
      <c r="H164" s="51"/>
      <c r="I164" s="51"/>
      <c r="J164" s="51"/>
    </row>
    <row r="165" spans="8:10">
      <c r="H165" s="51"/>
      <c r="I165" s="51"/>
      <c r="J165" s="51"/>
    </row>
    <row r="166" spans="8:10">
      <c r="H166" s="51"/>
      <c r="I166" s="51"/>
      <c r="J166" s="51"/>
    </row>
    <row r="167" spans="8:10">
      <c r="H167" s="51"/>
      <c r="I167" s="51"/>
      <c r="J167" s="51"/>
    </row>
    <row r="168" spans="8:10">
      <c r="H168" s="51"/>
      <c r="I168" s="51"/>
      <c r="J168" s="51"/>
    </row>
    <row r="169" spans="8:10">
      <c r="H169" s="51"/>
      <c r="I169" s="51"/>
      <c r="J169" s="51"/>
    </row>
    <row r="170" spans="8:10">
      <c r="H170" s="51"/>
      <c r="I170" s="51"/>
      <c r="J170" s="51"/>
    </row>
    <row r="171" spans="8:10">
      <c r="H171" s="51"/>
      <c r="I171" s="51"/>
      <c r="J171" s="51"/>
    </row>
    <row r="172" spans="8:10">
      <c r="H172" s="51"/>
      <c r="I172" s="51"/>
      <c r="J172" s="51"/>
    </row>
    <row r="173" spans="8:10">
      <c r="H173" s="51"/>
      <c r="I173" s="51"/>
      <c r="J173" s="51"/>
    </row>
    <row r="174" spans="8:10">
      <c r="H174" s="51"/>
      <c r="I174" s="51"/>
      <c r="J174" s="51"/>
    </row>
    <row r="175" spans="8:10">
      <c r="H175" s="51"/>
      <c r="I175" s="51"/>
      <c r="J175" s="51"/>
    </row>
    <row r="176" spans="8:10">
      <c r="H176" s="51"/>
      <c r="I176" s="51"/>
      <c r="J176" s="51"/>
    </row>
    <row r="177" spans="8:10">
      <c r="H177" s="51"/>
      <c r="I177" s="51"/>
      <c r="J177" s="51"/>
    </row>
    <row r="178" spans="8:10">
      <c r="H178" s="51"/>
      <c r="I178" s="51"/>
      <c r="J178" s="51"/>
    </row>
    <row r="179" spans="8:10">
      <c r="H179" s="51"/>
      <c r="I179" s="51"/>
      <c r="J179" s="51"/>
    </row>
    <row r="180" spans="8:10">
      <c r="H180" s="51"/>
      <c r="I180" s="51"/>
      <c r="J180" s="51"/>
    </row>
    <row r="181" spans="8:10">
      <c r="H181" s="51"/>
      <c r="I181" s="51"/>
      <c r="J181" s="51"/>
    </row>
    <row r="182" spans="8:10">
      <c r="H182" s="51"/>
      <c r="I182" s="51"/>
      <c r="J182" s="51"/>
    </row>
    <row r="183" spans="8:10">
      <c r="H183" s="51"/>
      <c r="I183" s="51"/>
      <c r="J183" s="51"/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M64"/>
  <sheetViews>
    <sheetView workbookViewId="0">
      <selection activeCell="H19" sqref="H19 H19:H26"/>
    </sheetView>
  </sheetViews>
  <sheetFormatPr defaultColWidth="9.140625" defaultRowHeight="15"/>
  <cols>
    <col min="1" max="4" width="9.140625" style="17" customWidth="1"/>
    <col min="5" max="5" width="9.5703125" style="17" bestFit="1" customWidth="1"/>
    <col min="6" max="6" width="9.140625" style="17" customWidth="1"/>
    <col min="7" max="7" width="12.140625" style="17" bestFit="1" customWidth="1"/>
    <col min="8" max="8" width="12" style="17" bestFit="1" customWidth="1"/>
    <col min="9" max="9" width="9.140625" style="17" customWidth="1"/>
    <col min="10" max="16384" width="9.140625" style="17"/>
  </cols>
  <sheetData>
    <row r="1" spans="1:13">
      <c r="B1" s="46" t="s">
        <v>49</v>
      </c>
      <c r="C1" s="17" t="s">
        <v>50</v>
      </c>
      <c r="D1" s="17" t="s">
        <v>51</v>
      </c>
      <c r="E1" s="17" t="s">
        <v>52</v>
      </c>
    </row>
    <row r="2" spans="1:13">
      <c r="B2" s="47" t="s">
        <v>44</v>
      </c>
      <c r="D2" s="17" t="s">
        <v>44</v>
      </c>
      <c r="E2" s="17" t="s">
        <v>44</v>
      </c>
      <c r="K2" s="39" t="s">
        <v>53</v>
      </c>
      <c r="L2" s="17" t="s">
        <v>54</v>
      </c>
      <c r="M2" s="17" t="s">
        <v>55</v>
      </c>
    </row>
    <row r="3" spans="1:13">
      <c r="A3" s="39"/>
      <c r="B3" s="49">
        <v>0.26100000000000001</v>
      </c>
      <c r="C3" s="39">
        <v>4.8076E-4</v>
      </c>
      <c r="D3" s="39">
        <v>523.70000000000005</v>
      </c>
      <c r="E3" s="39">
        <v>-145.30000000000001</v>
      </c>
      <c r="K3" s="39">
        <f t="shared" ref="K3:K40" si="0">$H$5*C3+$H$7</f>
        <v>0.41705447258788597</v>
      </c>
      <c r="L3" s="17">
        <f t="shared" ref="L3:L40" si="1">$H$6*C3+$H$8</f>
        <v>210.55558129823009</v>
      </c>
      <c r="M3" s="17">
        <f t="shared" ref="M3:M40" si="2">IF(D3&lt;E3,1,0)</f>
        <v>0</v>
      </c>
    </row>
    <row r="4" spans="1:13">
      <c r="A4" s="39"/>
      <c r="B4" s="47">
        <v>1.0289999999999999</v>
      </c>
      <c r="C4" s="39">
        <v>1.2832E-3</v>
      </c>
      <c r="D4" s="39">
        <v>792.6</v>
      </c>
      <c r="E4" s="39">
        <v>126.3</v>
      </c>
      <c r="K4" s="39">
        <f t="shared" si="0"/>
        <v>1.1130877889187911</v>
      </c>
      <c r="L4" s="17">
        <f t="shared" si="1"/>
        <v>210.57213846009813</v>
      </c>
      <c r="M4" s="17">
        <f t="shared" si="2"/>
        <v>0</v>
      </c>
    </row>
    <row r="5" spans="1:13">
      <c r="A5" s="39"/>
      <c r="B5" s="17">
        <v>1.294</v>
      </c>
      <c r="C5" s="39">
        <v>1.5666E-3</v>
      </c>
      <c r="D5" s="39">
        <v>809.5</v>
      </c>
      <c r="E5" s="39">
        <v>168.4</v>
      </c>
      <c r="G5" s="17" t="s">
        <v>56</v>
      </c>
      <c r="H5" s="39">
        <f>SLOPE(B7:B11,C7:C11)</f>
        <v>867.39608734722231</v>
      </c>
      <c r="K5" s="39">
        <f t="shared" si="0"/>
        <v>1.3589078400729939</v>
      </c>
      <c r="L5" s="17">
        <f t="shared" si="1"/>
        <v>210.57798599969411</v>
      </c>
      <c r="M5" s="17">
        <f t="shared" si="2"/>
        <v>0</v>
      </c>
    </row>
    <row r="6" spans="1:13">
      <c r="A6" s="39"/>
      <c r="B6" s="17">
        <v>1.663</v>
      </c>
      <c r="C6" s="39">
        <v>1.9784999999999998E-3</v>
      </c>
      <c r="D6" s="39">
        <v>826.2</v>
      </c>
      <c r="E6" s="39">
        <v>159.19999999999999</v>
      </c>
      <c r="G6" s="17" t="s">
        <v>57</v>
      </c>
      <c r="H6" s="39">
        <f>SLOPE(B35:B37,C35:C37)</f>
        <v>20.6335200987345</v>
      </c>
      <c r="K6" s="39">
        <f t="shared" si="0"/>
        <v>1.7161882884513144</v>
      </c>
      <c r="L6" s="17">
        <f t="shared" si="1"/>
        <v>210.58648494662276</v>
      </c>
      <c r="M6" s="17">
        <f t="shared" si="2"/>
        <v>0</v>
      </c>
    </row>
    <row r="7" spans="1:13">
      <c r="A7" s="39"/>
      <c r="B7" s="39">
        <v>2.1230000000000002</v>
      </c>
      <c r="C7" s="39">
        <v>2.4981000000000001E-3</v>
      </c>
      <c r="D7" s="39">
        <v>834.8</v>
      </c>
      <c r="E7" s="39">
        <v>164.3</v>
      </c>
      <c r="G7" s="17" t="s">
        <v>58</v>
      </c>
      <c r="H7" s="39">
        <f>INTERCEPT(C7:C11,B7:B11)</f>
        <v>4.512963483540005E-5</v>
      </c>
      <c r="K7" s="39">
        <f t="shared" si="0"/>
        <v>2.1668872954369314</v>
      </c>
      <c r="L7" s="17">
        <f t="shared" si="1"/>
        <v>210.59720612366607</v>
      </c>
      <c r="M7" s="17">
        <f t="shared" si="2"/>
        <v>0</v>
      </c>
    </row>
    <row r="8" spans="1:13">
      <c r="A8" s="39"/>
      <c r="B8" s="39">
        <v>2.694</v>
      </c>
      <c r="C8" s="39">
        <v>3.1384999999999998E-3</v>
      </c>
      <c r="D8" s="39">
        <v>843.3</v>
      </c>
      <c r="E8" s="39">
        <v>164.5</v>
      </c>
      <c r="G8" s="17" t="s">
        <v>59</v>
      </c>
      <c r="H8" s="39">
        <f>INTERCEPT(B35:B37,C35:C37)</f>
        <v>210.54566152710743</v>
      </c>
      <c r="K8" s="39">
        <f t="shared" si="0"/>
        <v>2.7223677497740923</v>
      </c>
      <c r="L8" s="17">
        <f t="shared" si="1"/>
        <v>210.61041982993731</v>
      </c>
      <c r="M8" s="17">
        <f t="shared" si="2"/>
        <v>0</v>
      </c>
    </row>
    <row r="9" spans="1:13">
      <c r="A9" s="39"/>
      <c r="B9" s="39">
        <v>3.4220000000000002</v>
      </c>
      <c r="C9" s="39">
        <v>3.9971E-3</v>
      </c>
      <c r="D9" s="39">
        <v>841</v>
      </c>
      <c r="E9" s="39">
        <v>164.7</v>
      </c>
      <c r="G9" s="17" t="s">
        <v>60</v>
      </c>
      <c r="H9" s="39">
        <f>B7</f>
        <v>2.1230000000000002</v>
      </c>
      <c r="K9" s="39">
        <f t="shared" si="0"/>
        <v>3.4671140303704178</v>
      </c>
      <c r="L9" s="17">
        <f t="shared" si="1"/>
        <v>210.62813577029408</v>
      </c>
      <c r="M9" s="17">
        <f t="shared" si="2"/>
        <v>0</v>
      </c>
    </row>
    <row r="10" spans="1:13">
      <c r="A10" s="39"/>
      <c r="B10" s="39">
        <v>4.2919999999999998</v>
      </c>
      <c r="C10" s="39">
        <v>4.9947999999999998E-3</v>
      </c>
      <c r="D10" s="39">
        <v>844.4</v>
      </c>
      <c r="E10" s="39">
        <v>163.30000000000001</v>
      </c>
      <c r="G10" s="17" t="s">
        <v>61</v>
      </c>
      <c r="H10" s="39">
        <f>B37</f>
        <v>264.10000000000002</v>
      </c>
      <c r="K10" s="39">
        <f t="shared" si="0"/>
        <v>4.3325151067167411</v>
      </c>
      <c r="L10" s="17">
        <f t="shared" si="1"/>
        <v>210.64872183329658</v>
      </c>
      <c r="M10" s="17">
        <f t="shared" si="2"/>
        <v>0</v>
      </c>
    </row>
    <row r="11" spans="1:13">
      <c r="A11" s="39"/>
      <c r="B11" s="39">
        <v>5.4260000000000002</v>
      </c>
      <c r="C11" s="39">
        <v>6.2988000000000002E-3</v>
      </c>
      <c r="D11" s="39">
        <v>846.3</v>
      </c>
      <c r="E11" s="39">
        <v>165</v>
      </c>
      <c r="G11" s="17" t="s">
        <v>62</v>
      </c>
      <c r="H11" s="39">
        <f>C7</f>
        <v>2.4981000000000001E-3</v>
      </c>
      <c r="K11" s="39">
        <f t="shared" si="0"/>
        <v>5.463599604617519</v>
      </c>
      <c r="L11" s="17">
        <f t="shared" si="1"/>
        <v>210.67562794350533</v>
      </c>
      <c r="M11" s="17">
        <f t="shared" si="2"/>
        <v>0</v>
      </c>
    </row>
    <row r="12" spans="1:13">
      <c r="A12" s="39"/>
      <c r="B12" s="39">
        <v>6.8380000000000001</v>
      </c>
      <c r="C12" s="39">
        <v>7.9679999999999994E-3</v>
      </c>
      <c r="D12" s="39">
        <v>843.3</v>
      </c>
      <c r="E12" s="39">
        <v>164.1</v>
      </c>
      <c r="G12" s="17" t="s">
        <v>63</v>
      </c>
      <c r="H12" s="39">
        <f>C37</f>
        <v>2.6166999999999998</v>
      </c>
      <c r="K12" s="39">
        <f t="shared" si="0"/>
        <v>6.9114571536175022</v>
      </c>
      <c r="L12" s="17">
        <f t="shared" si="1"/>
        <v>210.71006941525414</v>
      </c>
      <c r="M12" s="17">
        <f t="shared" si="2"/>
        <v>0</v>
      </c>
    </row>
    <row r="13" spans="1:13">
      <c r="A13" s="39"/>
      <c r="B13" s="39">
        <v>8.5909999999999993</v>
      </c>
      <c r="C13" s="39">
        <v>1.0007E-2</v>
      </c>
      <c r="D13" s="39">
        <v>843.3</v>
      </c>
      <c r="E13" s="39">
        <v>165.3</v>
      </c>
      <c r="G13" s="17" t="s">
        <v>64</v>
      </c>
      <c r="H13" s="17">
        <f>(H7-H8)/(H6-H5)</f>
        <v>0.24864776094393254</v>
      </c>
      <c r="K13" s="39">
        <f t="shared" si="0"/>
        <v>8.6800777757184893</v>
      </c>
      <c r="L13" s="17">
        <f t="shared" si="1"/>
        <v>210.75214116273546</v>
      </c>
      <c r="M13" s="17">
        <f t="shared" si="2"/>
        <v>0</v>
      </c>
    </row>
    <row r="14" spans="1:13">
      <c r="A14" s="39"/>
      <c r="B14" s="39">
        <v>10.77</v>
      </c>
      <c r="C14" s="39">
        <v>1.2618000000000001E-2</v>
      </c>
      <c r="D14" s="39">
        <v>837.5</v>
      </c>
      <c r="E14" s="39">
        <v>170.5</v>
      </c>
      <c r="K14" s="39">
        <f t="shared" si="0"/>
        <v>10.944848959782089</v>
      </c>
      <c r="L14" s="17">
        <f t="shared" si="1"/>
        <v>210.80601528371326</v>
      </c>
      <c r="M14" s="17">
        <f t="shared" si="2"/>
        <v>0</v>
      </c>
    </row>
    <row r="15" spans="1:13">
      <c r="A15" s="39"/>
      <c r="B15" s="39">
        <v>13.49</v>
      </c>
      <c r="C15" s="39">
        <v>1.5907000000000001E-2</v>
      </c>
      <c r="D15" s="39">
        <v>829.8</v>
      </c>
      <c r="E15" s="39">
        <v>180.1</v>
      </c>
      <c r="K15" s="39">
        <f t="shared" si="0"/>
        <v>13.797714691067103</v>
      </c>
      <c r="L15" s="17">
        <f t="shared" si="1"/>
        <v>210.87387893131799</v>
      </c>
      <c r="M15" s="17">
        <f t="shared" si="2"/>
        <v>0</v>
      </c>
    </row>
    <row r="16" spans="1:13">
      <c r="A16" s="39"/>
      <c r="B16" s="39">
        <v>16.809999999999999</v>
      </c>
      <c r="C16" s="39">
        <v>2.0140000000000002E-2</v>
      </c>
      <c r="D16" s="39">
        <v>810.2</v>
      </c>
      <c r="E16" s="39">
        <v>203.7</v>
      </c>
      <c r="G16" s="17" t="s">
        <v>65</v>
      </c>
      <c r="H16" s="17">
        <f ca="1">SLOPE((INDIRECT("B"&amp;MATCH(H13,C1:C40,1)-1):INDIRECT("B"&amp;MATCH(H13,C1:C40,1)+1)),(INDIRECT("C"&amp;MATCH(H13,C1:C40,1)-1):INDIRECT("C"&amp;MATCH(H13,C1:C40,1)+1)))</f>
        <v>306.25175498989819</v>
      </c>
      <c r="K16" s="39">
        <f t="shared" si="0"/>
        <v>17.469402328807892</v>
      </c>
      <c r="L16" s="17">
        <f t="shared" si="1"/>
        <v>210.96122062189593</v>
      </c>
      <c r="M16" s="17">
        <f t="shared" si="2"/>
        <v>0</v>
      </c>
    </row>
    <row r="17" spans="1:13">
      <c r="A17" s="39"/>
      <c r="B17" s="39">
        <v>20.71</v>
      </c>
      <c r="C17" s="39">
        <v>2.5479000000000002E-2</v>
      </c>
      <c r="D17" s="39">
        <v>778.3</v>
      </c>
      <c r="E17" s="39">
        <v>237</v>
      </c>
      <c r="G17" s="17" t="s">
        <v>66</v>
      </c>
      <c r="H17" s="17">
        <f ca="1">INTERCEPT((INDIRECT("B"&amp;MATCH(H13,C1:C40,1)-1):INDIRECT("B"&amp;MATCH(H13,C1:C40,1)+1)),(INDIRECT("C"&amp;MATCH(H13,C1:C40,1)-1):INDIRECT("C"&amp;MATCH(H13,C1:C40,1)+1)))</f>
        <v>28.370049873777944</v>
      </c>
      <c r="K17" s="39">
        <f t="shared" si="0"/>
        <v>22.100430039154713</v>
      </c>
      <c r="L17" s="17">
        <f t="shared" si="1"/>
        <v>211.07138298570308</v>
      </c>
      <c r="M17" s="17">
        <f t="shared" si="2"/>
        <v>0</v>
      </c>
    </row>
    <row r="18" spans="1:13">
      <c r="A18" s="39"/>
      <c r="B18" s="39">
        <v>25.15</v>
      </c>
      <c r="C18" s="39">
        <v>3.2286000000000002E-2</v>
      </c>
      <c r="D18" s="39">
        <v>728.6</v>
      </c>
      <c r="E18" s="39">
        <v>277.60000000000002</v>
      </c>
      <c r="K18" s="39">
        <f t="shared" si="0"/>
        <v>28.004795205727255</v>
      </c>
      <c r="L18" s="17">
        <f t="shared" si="1"/>
        <v>211.21183535701516</v>
      </c>
      <c r="M18" s="17">
        <f t="shared" si="2"/>
        <v>0</v>
      </c>
    </row>
    <row r="19" spans="1:13">
      <c r="A19" s="39"/>
      <c r="B19" s="39">
        <v>30.23</v>
      </c>
      <c r="C19" s="39">
        <v>4.1295999999999999E-2</v>
      </c>
      <c r="D19" s="39">
        <v>661.2</v>
      </c>
      <c r="E19" s="39">
        <v>315.39999999999998</v>
      </c>
      <c r="G19" s="57" t="s">
        <v>67</v>
      </c>
      <c r="H19" s="17">
        <f ca="1">((INDIRECT("B"&amp;MATCH(H20,C1:C40,1)+1))-INDIRECT("B"&amp;MATCH(H20,C1:C40,1)))/((INDIRECT("C"&amp;MATCH(H20,C1:C40,1)+1))-INDIRECT("C"&amp;MATCH(H20,C1:C40,1)))*(H20-INDIRECT("C"&amp;MATCH(H20,C1:C40,1)))+INDIRECT("B"&amp;MATCH(H20,C1:C40,1))</f>
        <v>34.856324602421338</v>
      </c>
      <c r="K19" s="39">
        <f t="shared" si="0"/>
        <v>35.820033952725723</v>
      </c>
      <c r="L19" s="17">
        <f t="shared" si="1"/>
        <v>211.39774337310476</v>
      </c>
      <c r="M19" s="17">
        <f t="shared" si="2"/>
        <v>0</v>
      </c>
    </row>
    <row r="20" spans="1:13">
      <c r="A20" s="39"/>
      <c r="B20" s="39">
        <v>35.51</v>
      </c>
      <c r="C20" s="39">
        <v>5.1866000000000002E-2</v>
      </c>
      <c r="D20" s="39">
        <v>593.9</v>
      </c>
      <c r="E20" s="39">
        <v>341.6</v>
      </c>
      <c r="G20" s="57" t="s">
        <v>68</v>
      </c>
      <c r="H20" s="58">
        <f ca="1">(H7-H17)/(H16-H5)</f>
        <v>5.0557411183256365E-2</v>
      </c>
      <c r="K20" s="39">
        <f t="shared" si="0"/>
        <v>44.988410595985869</v>
      </c>
      <c r="L20" s="17">
        <f t="shared" si="1"/>
        <v>211.61583968054839</v>
      </c>
      <c r="M20" s="17">
        <f t="shared" si="2"/>
        <v>0</v>
      </c>
    </row>
    <row r="21" spans="1:13">
      <c r="A21" s="39"/>
      <c r="B21" s="39">
        <v>41.68</v>
      </c>
      <c r="C21" s="39">
        <v>6.5475000000000005E-2</v>
      </c>
      <c r="D21" s="39">
        <v>527.70000000000005</v>
      </c>
      <c r="E21" s="39">
        <v>356.9</v>
      </c>
      <c r="G21" s="57" t="s">
        <v>69</v>
      </c>
      <c r="H21" s="17">
        <f ca="1">((INDIRECT("B"&amp;MATCH(H22,C1:C40,1)+1))-INDIRECT("B"&amp;MATCH(H22,C1:C40,1)))/((INDIRECT("C"&amp;MATCH(H22,C1:C40,1)+1))-INDIRECT("C"&amp;MATCH(H22,C1:C40,1)))*(H22-INDIRECT("C"&amp;MATCH(H22,C1:C40,1)))+INDIRECT("B"&amp;MATCH(H22,C1:C40,1))</f>
        <v>185.15531104901044</v>
      </c>
      <c r="K21" s="39">
        <f t="shared" si="0"/>
        <v>56.792803948694221</v>
      </c>
      <c r="L21" s="17">
        <f t="shared" si="1"/>
        <v>211.89664125557206</v>
      </c>
      <c r="M21" s="17">
        <f t="shared" si="2"/>
        <v>0</v>
      </c>
    </row>
    <row r="22" spans="1:13">
      <c r="A22" s="39"/>
      <c r="B22" s="39">
        <v>48.66</v>
      </c>
      <c r="C22" s="39">
        <v>8.2498000000000002E-2</v>
      </c>
      <c r="D22" s="39">
        <v>468.8</v>
      </c>
      <c r="E22" s="39">
        <v>358.8</v>
      </c>
      <c r="G22" s="57" t="s">
        <v>70</v>
      </c>
      <c r="H22" s="58">
        <f ca="1">(H8-H17)/(H16-H6)</f>
        <v>0.63782906481005475</v>
      </c>
      <c r="K22" s="39">
        <f t="shared" si="0"/>
        <v>71.558487543605992</v>
      </c>
      <c r="L22" s="17">
        <f t="shared" si="1"/>
        <v>212.24788566821283</v>
      </c>
      <c r="M22" s="17">
        <f t="shared" si="2"/>
        <v>0</v>
      </c>
    </row>
    <row r="23" spans="1:13">
      <c r="A23" s="39"/>
      <c r="B23" s="39">
        <v>56.82</v>
      </c>
      <c r="C23" s="39">
        <v>0.10335999999999999</v>
      </c>
      <c r="D23" s="39">
        <v>419.5</v>
      </c>
      <c r="E23" s="39">
        <v>355.9</v>
      </c>
      <c r="G23" s="57" t="s">
        <v>71</v>
      </c>
      <c r="H23" s="17">
        <f ca="1">((INDIRECT("D"&amp;MATCH(1,M4:M40,0)+3)-INDIRECT("D"&amp;MATCH(1,M4:M40,0)+2))/(INDIRECT("C"&amp;MATCH(1,M4:M40,0)+3)-INDIRECT("C"&amp;MATCH(1,M4:M40,0)+2)))*(H24-INDIRECT("C"&amp;MATCH(1,M4:M40,0)+3))+INDIRECT("D"&amp;MATCH(1,M4:M40,0)+3)</f>
        <v>329.28079470198691</v>
      </c>
      <c r="K23" s="39">
        <f t="shared" si="0"/>
        <v>89.654104717843737</v>
      </c>
      <c r="L23" s="17">
        <f t="shared" si="1"/>
        <v>212.67834216451263</v>
      </c>
      <c r="M23" s="17">
        <f t="shared" si="2"/>
        <v>0</v>
      </c>
    </row>
    <row r="24" spans="1:13">
      <c r="A24" s="39"/>
      <c r="B24" s="39">
        <v>66.47</v>
      </c>
      <c r="C24" s="39">
        <v>0.12955</v>
      </c>
      <c r="D24" s="39">
        <v>377.9</v>
      </c>
      <c r="E24" s="39">
        <v>347.7</v>
      </c>
      <c r="G24" s="57" t="s">
        <v>72</v>
      </c>
      <c r="H24" s="17">
        <f ca="1">(INTERCEPT((INDIRECT("D"&amp;MATCH(1,M4:M40,0)+2):INDIRECT("D"&amp;MATCH(1,M4:M40,0)+3)),(INDIRECT("C"&amp;MATCH(1,M4:M40,0)+2):INDIRECT("C"&amp;MATCH(1,M4:M40,0)+3)))-INTERCEPT((INDIRECT("E"&amp;MATCH(1,M4:M40,0)+2):INDIRECT("E"&amp;MATCH(1,M4:M40,0)+3)),(INDIRECT("C"&amp;MATCH(1,M4:M40,0)+2):INDIRECT("C"&amp;MATCH(1,M4:M40,0)+3))))/((INDIRECT("E"&amp;MATCH(1,M4:M40,0)+3)-INDIRECT("E"&amp;MATCH(1,M4:M40,0)+2))/(INDIRECT("C"&amp;MATCH(1,M4:M40,0)+3)-INDIRECT("C"&amp;MATCH(1,M4:M40,0)+2))-(INDIRECT("D"&amp;MATCH(1,M4:M40,0)+3)-INDIRECT("D"&amp;MATCH(1,M4:M40,0)+2))/(INDIRECT("C"&amp;MATCH(1,M4:M40,0)+3)-INDIRECT("C"&amp;MATCH(1,M4:M40,0)+2)))</f>
        <v>0.18049761589403951</v>
      </c>
      <c r="K24" s="39">
        <f t="shared" si="0"/>
        <v>112.37120824546749</v>
      </c>
      <c r="L24" s="17">
        <f t="shared" si="1"/>
        <v>213.21873405589849</v>
      </c>
      <c r="M24" s="17">
        <f t="shared" si="2"/>
        <v>0</v>
      </c>
    </row>
    <row r="25" spans="1:13">
      <c r="A25" s="39"/>
      <c r="B25" s="39">
        <v>78.260000000000005</v>
      </c>
      <c r="C25" s="39">
        <v>0.16366</v>
      </c>
      <c r="D25" s="39">
        <v>341.4</v>
      </c>
      <c r="E25" s="39">
        <v>335.3</v>
      </c>
      <c r="G25" s="57" t="s">
        <v>73</v>
      </c>
      <c r="H25" s="39">
        <f>AVERAGE(D7:D11)</f>
        <v>841.96</v>
      </c>
      <c r="K25" s="39">
        <f t="shared" si="0"/>
        <v>141.95808878488123</v>
      </c>
      <c r="L25" s="17">
        <f t="shared" si="1"/>
        <v>213.92254342646632</v>
      </c>
      <c r="M25" s="17">
        <f t="shared" si="2"/>
        <v>0</v>
      </c>
    </row>
    <row r="26" spans="1:13">
      <c r="A26" s="39"/>
      <c r="B26" s="39">
        <v>91.67</v>
      </c>
      <c r="C26" s="39">
        <v>0.20533999999999999</v>
      </c>
      <c r="D26" s="39">
        <v>311.39999999999998</v>
      </c>
      <c r="E26" s="39">
        <v>320.39999999999998</v>
      </c>
      <c r="G26" s="57" t="s">
        <v>74</v>
      </c>
      <c r="H26" s="39">
        <f>AVERAGE(E7:E11)</f>
        <v>164.35999999999999</v>
      </c>
      <c r="K26" s="39">
        <f t="shared" si="0"/>
        <v>178.11115770551345</v>
      </c>
      <c r="L26" s="17">
        <f t="shared" si="1"/>
        <v>214.78254854418157</v>
      </c>
      <c r="M26" s="17">
        <f t="shared" si="2"/>
        <v>1</v>
      </c>
    </row>
    <row r="27" spans="1:13">
      <c r="A27" s="39"/>
      <c r="B27" s="39">
        <v>107.2</v>
      </c>
      <c r="C27" s="39">
        <v>0.25800000000000001</v>
      </c>
      <c r="D27" s="39">
        <v>284.3</v>
      </c>
      <c r="E27" s="39">
        <v>303.39999999999998</v>
      </c>
      <c r="K27" s="39">
        <f t="shared" si="0"/>
        <v>223.7882356652182</v>
      </c>
      <c r="L27" s="17">
        <f t="shared" si="1"/>
        <v>215.86910971258092</v>
      </c>
      <c r="M27" s="17">
        <f t="shared" si="2"/>
        <v>1</v>
      </c>
    </row>
    <row r="28" spans="1:13">
      <c r="A28" s="39"/>
      <c r="B28" s="39">
        <v>124.7</v>
      </c>
      <c r="C28" s="39">
        <v>0.32362000000000002</v>
      </c>
      <c r="D28" s="39">
        <v>259.8</v>
      </c>
      <c r="E28" s="39">
        <v>285.10000000000002</v>
      </c>
      <c r="G28" s="39"/>
      <c r="K28" s="39">
        <f t="shared" si="0"/>
        <v>280.70676691694291</v>
      </c>
      <c r="L28" s="17">
        <f t="shared" si="1"/>
        <v>217.2230813014599</v>
      </c>
      <c r="M28" s="17">
        <f t="shared" si="2"/>
        <v>1</v>
      </c>
    </row>
    <row r="29" spans="1:13">
      <c r="A29" s="39"/>
      <c r="B29" s="39">
        <v>145.19999999999999</v>
      </c>
      <c r="C29" s="39">
        <v>0.41021000000000002</v>
      </c>
      <c r="D29" s="39">
        <v>235.2</v>
      </c>
      <c r="E29" s="39">
        <v>265.10000000000002</v>
      </c>
      <c r="G29" s="39"/>
      <c r="K29" s="39">
        <f t="shared" si="0"/>
        <v>355.81459412033888</v>
      </c>
      <c r="L29" s="17">
        <f t="shared" si="1"/>
        <v>219.00973780680931</v>
      </c>
      <c r="M29" s="17">
        <f t="shared" si="2"/>
        <v>1</v>
      </c>
    </row>
    <row r="30" spans="1:13">
      <c r="A30" s="39"/>
      <c r="B30" s="39">
        <v>165.8</v>
      </c>
      <c r="C30" s="39">
        <v>0.51466999999999996</v>
      </c>
      <c r="D30" s="39">
        <v>210.6</v>
      </c>
      <c r="E30" s="39">
        <v>244.2</v>
      </c>
      <c r="G30" s="39"/>
      <c r="K30" s="39">
        <f t="shared" si="0"/>
        <v>446.42278940462973</v>
      </c>
      <c r="L30" s="17">
        <f t="shared" si="1"/>
        <v>221.16511531632312</v>
      </c>
      <c r="M30" s="17">
        <f t="shared" si="2"/>
        <v>1</v>
      </c>
    </row>
    <row r="31" spans="1:13">
      <c r="A31" s="39"/>
      <c r="B31" s="39">
        <v>188</v>
      </c>
      <c r="C31" s="39">
        <v>0.65593000000000001</v>
      </c>
      <c r="D31" s="39">
        <v>182.4</v>
      </c>
      <c r="E31" s="39">
        <v>221.4</v>
      </c>
      <c r="G31" s="39"/>
      <c r="K31" s="39">
        <f t="shared" si="0"/>
        <v>568.95116070329834</v>
      </c>
      <c r="L31" s="17">
        <f t="shared" si="1"/>
        <v>224.07980636547035</v>
      </c>
      <c r="M31" s="17">
        <f t="shared" si="2"/>
        <v>1</v>
      </c>
    </row>
    <row r="32" spans="1:13">
      <c r="A32" s="39"/>
      <c r="B32" s="39">
        <v>206.9</v>
      </c>
      <c r="C32" s="39">
        <v>0.83299000000000001</v>
      </c>
      <c r="D32" s="39">
        <v>149.69999999999999</v>
      </c>
      <c r="E32" s="39">
        <v>198.6</v>
      </c>
      <c r="G32" s="39"/>
      <c r="K32" s="39">
        <f t="shared" si="0"/>
        <v>722.5323119289975</v>
      </c>
      <c r="L32" s="17">
        <f t="shared" si="1"/>
        <v>227.73317743415228</v>
      </c>
      <c r="M32" s="17">
        <f t="shared" si="2"/>
        <v>1</v>
      </c>
    </row>
    <row r="33" spans="1:13">
      <c r="A33" s="39"/>
      <c r="B33" s="39">
        <v>221.5</v>
      </c>
      <c r="C33" s="39">
        <v>1.0522</v>
      </c>
      <c r="D33" s="39">
        <v>115.2</v>
      </c>
      <c r="E33" s="39">
        <v>176.5</v>
      </c>
      <c r="G33" s="39"/>
      <c r="K33" s="39">
        <f t="shared" si="0"/>
        <v>912.67420823638213</v>
      </c>
      <c r="L33" s="17">
        <f t="shared" si="1"/>
        <v>232.25625137499588</v>
      </c>
      <c r="M33" s="17">
        <f t="shared" si="2"/>
        <v>1</v>
      </c>
    </row>
    <row r="34" spans="1:13">
      <c r="A34" s="39"/>
      <c r="B34" s="39">
        <v>233.9</v>
      </c>
      <c r="C34" s="39">
        <v>1.3333999999999999</v>
      </c>
      <c r="D34" s="39">
        <v>83.93</v>
      </c>
      <c r="E34" s="39">
        <v>154.30000000000001</v>
      </c>
      <c r="G34" s="39"/>
      <c r="K34" s="39">
        <f t="shared" si="0"/>
        <v>1156.5859879984209</v>
      </c>
      <c r="L34" s="17">
        <f t="shared" si="1"/>
        <v>238.05839722676001</v>
      </c>
      <c r="M34" s="17">
        <f t="shared" si="2"/>
        <v>1</v>
      </c>
    </row>
    <row r="35" spans="1:13">
      <c r="A35" s="39"/>
      <c r="B35" s="39">
        <v>244.2</v>
      </c>
      <c r="C35" s="39">
        <v>1.6591</v>
      </c>
      <c r="D35" s="39">
        <v>61.5</v>
      </c>
      <c r="E35" s="39">
        <v>133.9</v>
      </c>
      <c r="G35" s="39"/>
      <c r="K35" s="39">
        <f t="shared" si="0"/>
        <v>1439.0968936474114</v>
      </c>
      <c r="L35" s="17">
        <f t="shared" si="1"/>
        <v>244.77873472291785</v>
      </c>
      <c r="M35" s="17">
        <f t="shared" si="2"/>
        <v>1</v>
      </c>
    </row>
    <row r="36" spans="1:13">
      <c r="A36" s="39"/>
      <c r="B36" s="39">
        <v>254.3</v>
      </c>
      <c r="C36" s="39">
        <v>2.0712999999999999</v>
      </c>
      <c r="D36" s="39">
        <v>44.68</v>
      </c>
      <c r="E36" s="39">
        <v>114.6</v>
      </c>
      <c r="G36" s="39"/>
      <c r="K36" s="39">
        <f t="shared" si="0"/>
        <v>1796.6375608519363</v>
      </c>
      <c r="L36" s="17">
        <f t="shared" si="1"/>
        <v>253.28387170761619</v>
      </c>
      <c r="M36" s="17">
        <f t="shared" si="2"/>
        <v>1</v>
      </c>
    </row>
    <row r="37" spans="1:13">
      <c r="A37" s="39"/>
      <c r="B37" s="39">
        <v>264.10000000000002</v>
      </c>
      <c r="C37" s="39">
        <v>2.6166999999999998</v>
      </c>
      <c r="D37" s="39">
        <v>31.36</v>
      </c>
      <c r="E37" s="39">
        <v>96.06</v>
      </c>
      <c r="G37" s="39"/>
      <c r="K37" s="39">
        <f t="shared" si="0"/>
        <v>2269.7153868911114</v>
      </c>
      <c r="L37" s="17">
        <f t="shared" si="1"/>
        <v>264.53739356946596</v>
      </c>
      <c r="M37" s="17">
        <f t="shared" si="2"/>
        <v>1</v>
      </c>
    </row>
    <row r="38" spans="1:13">
      <c r="A38" s="39"/>
      <c r="B38" s="39">
        <v>272.3</v>
      </c>
      <c r="C38" s="39">
        <v>3.258</v>
      </c>
      <c r="D38" s="39">
        <v>22.38</v>
      </c>
      <c r="E38" s="39">
        <v>80.64</v>
      </c>
      <c r="G38" s="39"/>
      <c r="K38" s="39">
        <f t="shared" si="0"/>
        <v>2825.9764977068853</v>
      </c>
      <c r="L38" s="17">
        <f t="shared" si="1"/>
        <v>277.76967000878443</v>
      </c>
      <c r="M38" s="17">
        <f t="shared" si="2"/>
        <v>1</v>
      </c>
    </row>
    <row r="39" spans="1:13">
      <c r="A39" s="39"/>
      <c r="B39" s="39">
        <v>281.8</v>
      </c>
      <c r="C39" s="39">
        <v>4.0736999999999997</v>
      </c>
      <c r="D39" s="39">
        <v>15.74</v>
      </c>
      <c r="E39" s="39">
        <v>67.459999999999994</v>
      </c>
      <c r="G39" s="39"/>
      <c r="K39" s="39">
        <f t="shared" si="0"/>
        <v>3533.5114861560141</v>
      </c>
      <c r="L39" s="17">
        <f t="shared" si="1"/>
        <v>294.60043235332216</v>
      </c>
      <c r="M39" s="17">
        <f t="shared" si="2"/>
        <v>1</v>
      </c>
    </row>
    <row r="40" spans="1:13">
      <c r="A40" s="39"/>
      <c r="B40" s="39">
        <v>291.8</v>
      </c>
      <c r="C40" s="39">
        <v>5.1277999999999997</v>
      </c>
      <c r="D40" s="39">
        <v>10.86</v>
      </c>
      <c r="E40" s="39">
        <v>55.96</v>
      </c>
      <c r="G40" s="39"/>
      <c r="K40" s="39">
        <f t="shared" si="0"/>
        <v>4447.8337018287211</v>
      </c>
      <c r="L40" s="17">
        <f t="shared" si="1"/>
        <v>316.35022588939819</v>
      </c>
      <c r="M40" s="17">
        <f t="shared" si="2"/>
        <v>1</v>
      </c>
    </row>
    <row r="41" spans="1:13">
      <c r="G41" s="39"/>
    </row>
    <row r="42" spans="1:13">
      <c r="G42" s="39"/>
    </row>
    <row r="43" spans="1:13">
      <c r="G43" s="39"/>
    </row>
    <row r="44" spans="1:13">
      <c r="G44" s="39"/>
    </row>
    <row r="45" spans="1:13">
      <c r="G45" s="39"/>
    </row>
    <row r="46" spans="1:13">
      <c r="G46" s="39"/>
    </row>
    <row r="47" spans="1:13">
      <c r="G47" s="39"/>
    </row>
    <row r="48" spans="1:13">
      <c r="G48" s="39"/>
    </row>
    <row r="49" spans="7:7">
      <c r="G49" s="39"/>
    </row>
    <row r="50" spans="7:7">
      <c r="G50" s="39"/>
    </row>
    <row r="51" spans="7:7">
      <c r="G51" s="39"/>
    </row>
    <row r="52" spans="7:7">
      <c r="G52" s="39"/>
    </row>
    <row r="53" spans="7:7">
      <c r="G53" s="39"/>
    </row>
    <row r="54" spans="7:7">
      <c r="G54" s="39"/>
    </row>
    <row r="55" spans="7:7">
      <c r="G55" s="39"/>
    </row>
    <row r="56" spans="7:7">
      <c r="G56" s="39"/>
    </row>
    <row r="57" spans="7:7">
      <c r="G57" s="39"/>
    </row>
    <row r="58" spans="7:7">
      <c r="G58" s="39"/>
    </row>
    <row r="59" spans="7:7">
      <c r="G59" s="39"/>
    </row>
    <row r="60" spans="7:7">
      <c r="G60" s="39"/>
    </row>
    <row r="61" spans="7:7">
      <c r="G61" s="39"/>
    </row>
    <row r="62" spans="7:7">
      <c r="G62" s="39"/>
    </row>
    <row r="63" spans="7:7">
      <c r="G63" s="39"/>
    </row>
    <row r="64" spans="7:7">
      <c r="G64" s="39"/>
    </row>
  </sheetData>
  <pageMargins left="0.7" right="0.7" top="0.75" bottom="0.75" header="0.3" footer="0.3"/>
  <ignoredErrors>
    <ignoredError sqref="H25:H26" formulaRange="1"/>
  </ignoredErrors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J421"/>
  <sheetViews>
    <sheetView workbookViewId="0">
      <selection activeCell="I3" sqref="I3 I3:I7"/>
    </sheetView>
  </sheetViews>
  <sheetFormatPr defaultRowHeight="15"/>
  <cols>
    <col min="1" max="7" width="9.140625" style="17" customWidth="1"/>
    <col min="8" max="8" width="25.5703125" style="17" bestFit="1" customWidth="1"/>
  </cols>
  <sheetData>
    <row r="1" spans="1:10" s="17" customFormat="1">
      <c r="I1" s="45" t="s">
        <v>35</v>
      </c>
      <c r="J1" s="17">
        <v>1</v>
      </c>
    </row>
    <row r="2" spans="1:10">
      <c r="A2" s="17" t="s">
        <v>34</v>
      </c>
      <c r="B2" s="17" t="s">
        <v>35</v>
      </c>
      <c r="C2" s="17" t="s">
        <v>36</v>
      </c>
      <c r="D2" s="17" t="s">
        <v>37</v>
      </c>
      <c r="E2" s="17" t="s">
        <v>75</v>
      </c>
      <c r="F2" s="17" t="s">
        <v>76</v>
      </c>
    </row>
    <row r="3" spans="1:10" ht="15.75" customHeight="1" thickBot="1">
      <c r="A3" s="58" t="s">
        <v>42</v>
      </c>
      <c r="B3" s="17" t="s">
        <v>43</v>
      </c>
      <c r="C3" s="17" t="s">
        <v>39</v>
      </c>
      <c r="D3" s="17" t="s">
        <v>44</v>
      </c>
      <c r="E3" s="17" t="s">
        <v>43</v>
      </c>
      <c r="F3" s="17" t="s">
        <v>44</v>
      </c>
      <c r="G3"/>
      <c r="H3" s="12" t="s">
        <v>25</v>
      </c>
      <c r="I3" s="45">
        <f ca="1">IF(AVERAGE(INDIRECT("F"&amp;MATCH(MAX(F1:F322),F1:F322,0)&amp;":"&amp;"F"&amp;MATCH(MAX(F1:F322),F1:F322,0)+100))&lt;INDIRECT("F"&amp;MATCH(MAX(F1:F322),F1:F322,0)),1,0)</f>
        <v>1</v>
      </c>
    </row>
    <row r="4" spans="1:10" ht="15.75" customHeight="1" thickBot="1">
      <c r="A4" s="50">
        <v>1E-3</v>
      </c>
      <c r="B4" s="50">
        <v>-5.0179999999999999E-3</v>
      </c>
      <c r="C4" s="50">
        <v>0.32850000000000001</v>
      </c>
      <c r="D4" s="17">
        <v>-12.86</v>
      </c>
      <c r="E4" s="17">
        <f t="shared" ref="E4:E67" si="0">IF(B4=MEDIAN($J$1-0.05,$J$1+0.05,B4),B4,0)</f>
        <v>0</v>
      </c>
      <c r="F4" s="17">
        <f t="shared" ref="F4:F67" si="1">IF(E4=0,0,D4)</f>
        <v>0</v>
      </c>
      <c r="G4"/>
      <c r="H4" s="12" t="s">
        <v>26</v>
      </c>
      <c r="I4" s="17">
        <f>VLOOKUP(5,A4:D421,4,TRUE)</f>
        <v>108.3</v>
      </c>
    </row>
    <row r="5" spans="1:10" ht="15.75" customHeight="1" thickBot="1">
      <c r="A5" s="58">
        <v>2E-3</v>
      </c>
      <c r="B5" s="50">
        <v>-5.2339999999999999E-3</v>
      </c>
      <c r="C5" s="50">
        <v>0.32850000000000001</v>
      </c>
      <c r="D5" s="50">
        <v>-12.85</v>
      </c>
      <c r="E5" s="17">
        <f t="shared" si="0"/>
        <v>0</v>
      </c>
      <c r="F5" s="17">
        <f t="shared" si="1"/>
        <v>0</v>
      </c>
      <c r="G5"/>
      <c r="H5" s="12" t="s">
        <v>27</v>
      </c>
      <c r="I5" s="17">
        <f>VLOOKUP(60,A4:D421,4,TRUE)</f>
        <v>106.7</v>
      </c>
    </row>
    <row r="6" spans="1:10" ht="15.75" customHeight="1" thickBot="1">
      <c r="A6" s="50">
        <v>3.0000000000000001E-3</v>
      </c>
      <c r="B6" s="50">
        <v>-5.0520000000000001E-3</v>
      </c>
      <c r="C6" s="50">
        <v>0.32850000000000001</v>
      </c>
      <c r="D6" s="50">
        <v>-12.83</v>
      </c>
      <c r="E6" s="17">
        <f t="shared" si="0"/>
        <v>0</v>
      </c>
      <c r="F6" s="17">
        <f t="shared" si="1"/>
        <v>0</v>
      </c>
      <c r="G6"/>
      <c r="H6" s="12" t="s">
        <v>28</v>
      </c>
      <c r="I6" s="17">
        <f>I5-I4</f>
        <v>-1.5999999999999943</v>
      </c>
    </row>
    <row r="7" spans="1:10" ht="15.75" customHeight="1" thickBot="1">
      <c r="A7" s="50">
        <v>4.0000000000000001E-3</v>
      </c>
      <c r="B7" s="50">
        <v>-5.1650000000000003E-3</v>
      </c>
      <c r="C7" s="50">
        <v>0.32850000000000001</v>
      </c>
      <c r="D7" s="50">
        <v>-12.81</v>
      </c>
      <c r="E7" s="17">
        <f t="shared" si="0"/>
        <v>0</v>
      </c>
      <c r="F7" s="17">
        <f t="shared" si="1"/>
        <v>0</v>
      </c>
      <c r="G7"/>
      <c r="H7" s="12" t="s">
        <v>29</v>
      </c>
      <c r="I7" s="17">
        <f ca="1">IF(I3=1,MAX(D4:D421),"")</f>
        <v>110</v>
      </c>
    </row>
    <row r="8" spans="1:10">
      <c r="A8" s="39">
        <v>5.0000000000000001E-3</v>
      </c>
      <c r="B8" s="50">
        <v>-4.2729999999999999E-3</v>
      </c>
      <c r="C8" s="50">
        <v>0.32850000000000001</v>
      </c>
      <c r="D8" s="50">
        <v>-12.78</v>
      </c>
      <c r="E8" s="17">
        <f t="shared" si="0"/>
        <v>0</v>
      </c>
      <c r="F8" s="17">
        <f t="shared" si="1"/>
        <v>0</v>
      </c>
    </row>
    <row r="9" spans="1:10">
      <c r="A9" s="39">
        <v>6.0000000000000001E-3</v>
      </c>
      <c r="B9" s="50">
        <v>-1.9589999999999998E-3</v>
      </c>
      <c r="C9" s="50">
        <v>0.32850000000000001</v>
      </c>
      <c r="D9" s="50">
        <v>-12.74</v>
      </c>
      <c r="E9" s="17">
        <f t="shared" si="0"/>
        <v>0</v>
      </c>
      <c r="F9" s="17">
        <f t="shared" si="1"/>
        <v>0</v>
      </c>
    </row>
    <row r="10" spans="1:10">
      <c r="A10" s="50">
        <v>7.0000000000000001E-3</v>
      </c>
      <c r="B10" s="50">
        <v>-7.4529999999999996E-4</v>
      </c>
      <c r="C10" s="50">
        <v>0.32850000000000001</v>
      </c>
      <c r="D10" s="50">
        <v>-12.7</v>
      </c>
      <c r="E10" s="17">
        <f t="shared" si="0"/>
        <v>0</v>
      </c>
      <c r="F10" s="17">
        <f t="shared" si="1"/>
        <v>0</v>
      </c>
    </row>
    <row r="11" spans="1:10">
      <c r="A11" s="50">
        <v>8.0000000000000002E-3</v>
      </c>
      <c r="B11" s="50">
        <v>1.0139999999999999E-3</v>
      </c>
      <c r="C11" s="50">
        <v>0.32850000000000001</v>
      </c>
      <c r="D11" s="50">
        <v>-12.65</v>
      </c>
      <c r="E11" s="17">
        <f t="shared" si="0"/>
        <v>0</v>
      </c>
      <c r="F11" s="17">
        <f t="shared" si="1"/>
        <v>0</v>
      </c>
    </row>
    <row r="12" spans="1:10">
      <c r="A12" s="50">
        <v>8.9999999999999993E-3</v>
      </c>
      <c r="B12" s="50">
        <v>3.6489999999999999E-3</v>
      </c>
      <c r="C12" s="50">
        <v>0.32850000000000001</v>
      </c>
      <c r="D12" s="50">
        <v>-12.6</v>
      </c>
      <c r="E12" s="17">
        <f t="shared" si="0"/>
        <v>0</v>
      </c>
      <c r="F12" s="17">
        <f t="shared" si="1"/>
        <v>0</v>
      </c>
    </row>
    <row r="13" spans="1:10">
      <c r="A13" s="17">
        <v>0.01</v>
      </c>
      <c r="B13" s="50">
        <v>8.9960000000000005E-3</v>
      </c>
      <c r="C13" s="50">
        <v>0.32850000000000001</v>
      </c>
      <c r="D13" s="50">
        <v>-12.55</v>
      </c>
      <c r="E13" s="17">
        <f t="shared" si="0"/>
        <v>0</v>
      </c>
      <c r="F13" s="17">
        <f t="shared" si="1"/>
        <v>0</v>
      </c>
    </row>
    <row r="14" spans="1:10">
      <c r="A14" s="17">
        <v>1.0999999999999999E-2</v>
      </c>
      <c r="B14" s="50">
        <v>1.6070000000000001E-2</v>
      </c>
      <c r="C14" s="50">
        <v>0.32850000000000001</v>
      </c>
      <c r="D14" s="50">
        <v>-12.49</v>
      </c>
      <c r="E14" s="17">
        <f t="shared" si="0"/>
        <v>0</v>
      </c>
      <c r="F14" s="17">
        <f t="shared" si="1"/>
        <v>0</v>
      </c>
    </row>
    <row r="15" spans="1:10">
      <c r="A15" s="17">
        <v>1.2E-2</v>
      </c>
      <c r="B15" s="50">
        <v>2.4049999999999998E-2</v>
      </c>
      <c r="C15" s="50">
        <v>0.32850000000000001</v>
      </c>
      <c r="D15" s="50">
        <v>-12.44</v>
      </c>
      <c r="E15" s="17">
        <f t="shared" si="0"/>
        <v>0</v>
      </c>
      <c r="F15" s="17">
        <f t="shared" si="1"/>
        <v>0</v>
      </c>
    </row>
    <row r="16" spans="1:10">
      <c r="A16" s="17">
        <v>1.2999999999999999E-2</v>
      </c>
      <c r="B16" s="50">
        <v>3.252E-2</v>
      </c>
      <c r="C16" s="50">
        <v>0.32850000000000001</v>
      </c>
      <c r="D16" s="50">
        <v>-12.38</v>
      </c>
      <c r="E16" s="17">
        <f t="shared" si="0"/>
        <v>0</v>
      </c>
      <c r="F16" s="17">
        <f t="shared" si="1"/>
        <v>0</v>
      </c>
    </row>
    <row r="17" spans="1:6">
      <c r="A17" s="17">
        <v>1.4E-2</v>
      </c>
      <c r="B17" s="50">
        <v>4.0559999999999999E-2</v>
      </c>
      <c r="C17" s="50">
        <v>0.32850000000000001</v>
      </c>
      <c r="D17" s="50">
        <v>-12.33</v>
      </c>
      <c r="E17" s="17">
        <f t="shared" si="0"/>
        <v>0</v>
      </c>
      <c r="F17" s="17">
        <f t="shared" si="1"/>
        <v>0</v>
      </c>
    </row>
    <row r="18" spans="1:6">
      <c r="A18" s="17">
        <v>1.4999999999999999E-2</v>
      </c>
      <c r="B18" s="50">
        <v>4.8210000000000003E-2</v>
      </c>
      <c r="C18" s="50">
        <v>0.32850000000000001</v>
      </c>
      <c r="D18" s="50">
        <v>-12.27</v>
      </c>
      <c r="E18" s="17">
        <f t="shared" si="0"/>
        <v>0</v>
      </c>
      <c r="F18" s="17">
        <f t="shared" si="1"/>
        <v>0</v>
      </c>
    </row>
    <row r="19" spans="1:6">
      <c r="A19" s="17">
        <v>1.6E-2</v>
      </c>
      <c r="B19" s="50">
        <v>5.6140000000000002E-2</v>
      </c>
      <c r="C19" s="50">
        <v>0.32850000000000001</v>
      </c>
      <c r="D19" s="50">
        <v>-12.22</v>
      </c>
      <c r="E19" s="17">
        <f t="shared" si="0"/>
        <v>0</v>
      </c>
      <c r="F19" s="17">
        <f t="shared" si="1"/>
        <v>0</v>
      </c>
    </row>
    <row r="20" spans="1:6">
      <c r="A20" s="17">
        <v>1.7000000000000001E-2</v>
      </c>
      <c r="B20" s="50">
        <v>6.5439999999999998E-2</v>
      </c>
      <c r="C20" s="50">
        <v>0.32850000000000001</v>
      </c>
      <c r="D20" s="50">
        <v>-12.16</v>
      </c>
      <c r="E20" s="17">
        <f t="shared" si="0"/>
        <v>0</v>
      </c>
      <c r="F20" s="17">
        <f t="shared" si="1"/>
        <v>0</v>
      </c>
    </row>
    <row r="21" spans="1:6">
      <c r="A21" s="17">
        <v>1.7999999999999999E-2</v>
      </c>
      <c r="B21" s="50">
        <v>7.4120000000000005E-2</v>
      </c>
      <c r="C21" s="50">
        <v>0.32850000000000001</v>
      </c>
      <c r="D21" s="50">
        <v>-12.11</v>
      </c>
      <c r="E21" s="17">
        <f t="shared" si="0"/>
        <v>0</v>
      </c>
      <c r="F21" s="17">
        <f t="shared" si="1"/>
        <v>0</v>
      </c>
    </row>
    <row r="22" spans="1:6">
      <c r="A22" s="17">
        <v>1.9E-2</v>
      </c>
      <c r="B22" s="50">
        <v>8.2530000000000006E-2</v>
      </c>
      <c r="C22" s="50">
        <v>0.32850000000000001</v>
      </c>
      <c r="D22" s="50">
        <v>-12.05</v>
      </c>
      <c r="E22" s="17">
        <f t="shared" si="0"/>
        <v>0</v>
      </c>
      <c r="F22" s="17">
        <f t="shared" si="1"/>
        <v>0</v>
      </c>
    </row>
    <row r="23" spans="1:6">
      <c r="A23" s="17">
        <v>0.02</v>
      </c>
      <c r="B23" s="50">
        <v>9.1120000000000007E-2</v>
      </c>
      <c r="C23" s="50">
        <v>0.32850000000000001</v>
      </c>
      <c r="D23" s="50">
        <v>-12</v>
      </c>
      <c r="E23" s="17">
        <f t="shared" si="0"/>
        <v>0</v>
      </c>
      <c r="F23" s="17">
        <f t="shared" si="1"/>
        <v>0</v>
      </c>
    </row>
    <row r="24" spans="1:6">
      <c r="A24" s="17">
        <v>2.1000000000000001E-2</v>
      </c>
      <c r="B24" s="50">
        <v>9.8699999999999996E-2</v>
      </c>
      <c r="C24" s="50">
        <v>0.32850000000000001</v>
      </c>
      <c r="D24" s="50">
        <v>-11.94</v>
      </c>
      <c r="E24" s="17">
        <f t="shared" si="0"/>
        <v>0</v>
      </c>
      <c r="F24" s="17">
        <f t="shared" si="1"/>
        <v>0</v>
      </c>
    </row>
    <row r="25" spans="1:6">
      <c r="A25" s="17">
        <v>2.1999999999999999E-2</v>
      </c>
      <c r="B25" s="50">
        <v>0.104</v>
      </c>
      <c r="C25" s="50">
        <v>0.32850000000000001</v>
      </c>
      <c r="D25" s="50">
        <v>-11.89</v>
      </c>
      <c r="E25" s="17">
        <f t="shared" si="0"/>
        <v>0</v>
      </c>
      <c r="F25" s="17">
        <f t="shared" si="1"/>
        <v>0</v>
      </c>
    </row>
    <row r="26" spans="1:6">
      <c r="A26" s="17">
        <v>2.3E-2</v>
      </c>
      <c r="B26" s="50">
        <v>0.109</v>
      </c>
      <c r="C26" s="50">
        <v>0.32850000000000001</v>
      </c>
      <c r="D26" s="50">
        <v>-11.84</v>
      </c>
      <c r="E26" s="17">
        <f t="shared" si="0"/>
        <v>0</v>
      </c>
      <c r="F26" s="17">
        <f t="shared" si="1"/>
        <v>0</v>
      </c>
    </row>
    <row r="27" spans="1:6">
      <c r="A27" s="17">
        <v>2.4E-2</v>
      </c>
      <c r="B27" s="17">
        <v>0.1129</v>
      </c>
      <c r="C27" s="50">
        <v>0.32850000000000001</v>
      </c>
      <c r="D27" s="50">
        <v>-11.78</v>
      </c>
      <c r="E27" s="17">
        <f t="shared" si="0"/>
        <v>0</v>
      </c>
      <c r="F27" s="17">
        <f t="shared" si="1"/>
        <v>0</v>
      </c>
    </row>
    <row r="28" spans="1:6">
      <c r="A28" s="17">
        <v>2.5000000000000001E-2</v>
      </c>
      <c r="B28" s="17">
        <v>0.11559999999999999</v>
      </c>
      <c r="C28" s="50">
        <v>0.32850000000000001</v>
      </c>
      <c r="D28" s="50">
        <v>-11.72</v>
      </c>
      <c r="E28" s="17">
        <f t="shared" si="0"/>
        <v>0</v>
      </c>
      <c r="F28" s="17">
        <f t="shared" si="1"/>
        <v>0</v>
      </c>
    </row>
    <row r="29" spans="1:6">
      <c r="A29" s="17">
        <v>2.5999999999999999E-2</v>
      </c>
      <c r="B29" s="17">
        <v>0.1173</v>
      </c>
      <c r="C29" s="50">
        <v>0.32850000000000001</v>
      </c>
      <c r="D29" s="50">
        <v>-11.66</v>
      </c>
      <c r="E29" s="17">
        <f t="shared" si="0"/>
        <v>0</v>
      </c>
      <c r="F29" s="17">
        <f t="shared" si="1"/>
        <v>0</v>
      </c>
    </row>
    <row r="30" spans="1:6">
      <c r="A30" s="17">
        <v>2.7E-2</v>
      </c>
      <c r="B30" s="50">
        <v>0.1188</v>
      </c>
      <c r="C30" s="50">
        <v>0.32850000000000001</v>
      </c>
      <c r="D30" s="50">
        <v>-11.6</v>
      </c>
      <c r="E30" s="17">
        <f t="shared" si="0"/>
        <v>0</v>
      </c>
      <c r="F30" s="17">
        <f t="shared" si="1"/>
        <v>0</v>
      </c>
    </row>
    <row r="31" spans="1:6">
      <c r="A31" s="17">
        <v>2.8000000000000001E-2</v>
      </c>
      <c r="B31" s="50">
        <v>0.1203</v>
      </c>
      <c r="C31" s="50">
        <v>0.32850000000000001</v>
      </c>
      <c r="D31" s="50">
        <v>-11.54</v>
      </c>
      <c r="E31" s="17">
        <f t="shared" si="0"/>
        <v>0</v>
      </c>
      <c r="F31" s="17">
        <f t="shared" si="1"/>
        <v>0</v>
      </c>
    </row>
    <row r="32" spans="1:6">
      <c r="A32" s="17">
        <v>2.9000000000000001E-2</v>
      </c>
      <c r="B32" s="50">
        <v>0.121</v>
      </c>
      <c r="C32" s="50">
        <v>0.32850000000000001</v>
      </c>
      <c r="D32" s="50">
        <v>-11.47</v>
      </c>
      <c r="E32" s="17">
        <f t="shared" si="0"/>
        <v>0</v>
      </c>
      <c r="F32" s="17">
        <f t="shared" si="1"/>
        <v>0</v>
      </c>
    </row>
    <row r="33" spans="1:6">
      <c r="A33" s="17">
        <v>0.03</v>
      </c>
      <c r="B33" s="50">
        <v>0.1217</v>
      </c>
      <c r="C33" s="50">
        <v>0.32850000000000001</v>
      </c>
      <c r="D33" s="50">
        <v>-11.41</v>
      </c>
      <c r="E33" s="17">
        <f t="shared" si="0"/>
        <v>0</v>
      </c>
      <c r="F33" s="17">
        <f t="shared" si="1"/>
        <v>0</v>
      </c>
    </row>
    <row r="34" spans="1:6">
      <c r="A34" s="17">
        <v>3.1E-2</v>
      </c>
      <c r="B34" s="50">
        <v>0.1197</v>
      </c>
      <c r="C34" s="50">
        <v>0.32850000000000001</v>
      </c>
      <c r="D34" s="50">
        <v>-11.34</v>
      </c>
      <c r="E34" s="17">
        <f t="shared" si="0"/>
        <v>0</v>
      </c>
      <c r="F34" s="17">
        <f t="shared" si="1"/>
        <v>0</v>
      </c>
    </row>
    <row r="35" spans="1:6">
      <c r="A35" s="17">
        <v>3.2000000000000001E-2</v>
      </c>
      <c r="B35" s="50">
        <v>0.1162</v>
      </c>
      <c r="C35" s="50">
        <v>0.32850000000000001</v>
      </c>
      <c r="D35" s="50">
        <v>-11.27</v>
      </c>
      <c r="E35" s="17">
        <f t="shared" si="0"/>
        <v>0</v>
      </c>
      <c r="F35" s="17">
        <f t="shared" si="1"/>
        <v>0</v>
      </c>
    </row>
    <row r="36" spans="1:6">
      <c r="A36" s="17">
        <v>3.3000000000000002E-2</v>
      </c>
      <c r="B36" s="50">
        <v>0.11020000000000001</v>
      </c>
      <c r="C36" s="50">
        <v>0.32850000000000001</v>
      </c>
      <c r="D36" s="50">
        <v>-11.2</v>
      </c>
      <c r="E36" s="17">
        <f t="shared" si="0"/>
        <v>0</v>
      </c>
      <c r="F36" s="17">
        <f t="shared" si="1"/>
        <v>0</v>
      </c>
    </row>
    <row r="37" spans="1:6">
      <c r="A37" s="17">
        <v>3.4000000000000002E-2</v>
      </c>
      <c r="B37" s="50">
        <v>0.1065</v>
      </c>
      <c r="C37" s="50">
        <v>0.32850000000000001</v>
      </c>
      <c r="D37" s="50">
        <v>-11.12</v>
      </c>
      <c r="E37" s="17">
        <f t="shared" si="0"/>
        <v>0</v>
      </c>
      <c r="F37" s="17">
        <f t="shared" si="1"/>
        <v>0</v>
      </c>
    </row>
    <row r="38" spans="1:6">
      <c r="A38" s="17">
        <v>3.5000000000000003E-2</v>
      </c>
      <c r="B38" s="50">
        <v>0.1023</v>
      </c>
      <c r="C38" s="50">
        <v>0.32850000000000001</v>
      </c>
      <c r="D38" s="50">
        <v>-11.04</v>
      </c>
      <c r="E38" s="17">
        <f t="shared" si="0"/>
        <v>0</v>
      </c>
      <c r="F38" s="17">
        <f t="shared" si="1"/>
        <v>0</v>
      </c>
    </row>
    <row r="39" spans="1:6">
      <c r="A39" s="17">
        <v>3.5999999999999997E-2</v>
      </c>
      <c r="B39" s="50">
        <v>0.10009999999999999</v>
      </c>
      <c r="C39" s="50">
        <v>0.32850000000000001</v>
      </c>
      <c r="D39" s="50">
        <v>-10.96</v>
      </c>
      <c r="E39" s="17">
        <f t="shared" si="0"/>
        <v>0</v>
      </c>
      <c r="F39" s="17">
        <f t="shared" si="1"/>
        <v>0</v>
      </c>
    </row>
    <row r="40" spans="1:6">
      <c r="A40" s="17">
        <v>3.6999999999999998E-2</v>
      </c>
      <c r="B40" s="50">
        <v>9.7670000000000007E-2</v>
      </c>
      <c r="C40" s="50">
        <v>0.32850000000000001</v>
      </c>
      <c r="D40" s="50">
        <v>-10.88</v>
      </c>
      <c r="E40" s="17">
        <f t="shared" si="0"/>
        <v>0</v>
      </c>
      <c r="F40" s="17">
        <f t="shared" si="1"/>
        <v>0</v>
      </c>
    </row>
    <row r="41" spans="1:6">
      <c r="A41" s="17">
        <v>3.7999999999999999E-2</v>
      </c>
      <c r="B41" s="50">
        <v>9.5049999999999996E-2</v>
      </c>
      <c r="C41" s="50">
        <v>0.32850000000000001</v>
      </c>
      <c r="D41" s="50">
        <v>-10.8</v>
      </c>
      <c r="E41" s="17">
        <f t="shared" si="0"/>
        <v>0</v>
      </c>
      <c r="F41" s="17">
        <f t="shared" si="1"/>
        <v>0</v>
      </c>
    </row>
    <row r="42" spans="1:6">
      <c r="A42" s="17">
        <v>3.9E-2</v>
      </c>
      <c r="B42" s="50">
        <v>8.9969999999999994E-2</v>
      </c>
      <c r="C42" s="50">
        <v>0.32850000000000001</v>
      </c>
      <c r="D42" s="50">
        <v>-10.72</v>
      </c>
      <c r="E42" s="17">
        <f t="shared" si="0"/>
        <v>0</v>
      </c>
      <c r="F42" s="17">
        <f t="shared" si="1"/>
        <v>0</v>
      </c>
    </row>
    <row r="43" spans="1:6">
      <c r="A43" s="17">
        <v>0.04</v>
      </c>
      <c r="B43" s="50">
        <v>8.652E-2</v>
      </c>
      <c r="C43" s="50">
        <v>0.32850000000000001</v>
      </c>
      <c r="D43" s="50">
        <v>-10.64</v>
      </c>
      <c r="E43" s="17">
        <f t="shared" si="0"/>
        <v>0</v>
      </c>
      <c r="F43" s="17">
        <f t="shared" si="1"/>
        <v>0</v>
      </c>
    </row>
    <row r="44" spans="1:6">
      <c r="A44" s="17">
        <v>4.1500000000000002E-2</v>
      </c>
      <c r="B44" s="50">
        <v>8.3699999999999997E-2</v>
      </c>
      <c r="C44" s="50">
        <v>0.32850000000000001</v>
      </c>
      <c r="D44" s="50">
        <v>-10.51</v>
      </c>
      <c r="E44" s="17">
        <f t="shared" si="0"/>
        <v>0</v>
      </c>
      <c r="F44" s="17">
        <f t="shared" si="1"/>
        <v>0</v>
      </c>
    </row>
    <row r="45" spans="1:6">
      <c r="A45" s="17">
        <v>4.3499999999999997E-2</v>
      </c>
      <c r="B45" s="50">
        <v>8.1689999999999999E-2</v>
      </c>
      <c r="C45" s="50">
        <v>0.32850000000000001</v>
      </c>
      <c r="D45" s="50">
        <v>-10.35</v>
      </c>
      <c r="E45" s="17">
        <f t="shared" si="0"/>
        <v>0</v>
      </c>
      <c r="F45" s="17">
        <f t="shared" si="1"/>
        <v>0</v>
      </c>
    </row>
    <row r="46" spans="1:6">
      <c r="A46" s="17">
        <v>4.5499999999999999E-2</v>
      </c>
      <c r="B46" s="50">
        <v>8.3830000000000002E-2</v>
      </c>
      <c r="C46" s="50">
        <v>0.32850000000000001</v>
      </c>
      <c r="D46" s="50">
        <v>-10.18</v>
      </c>
      <c r="E46" s="17">
        <f t="shared" si="0"/>
        <v>0</v>
      </c>
      <c r="F46" s="17">
        <f t="shared" si="1"/>
        <v>0</v>
      </c>
    </row>
    <row r="47" spans="1:6">
      <c r="A47" s="17">
        <v>4.7500000000000001E-2</v>
      </c>
      <c r="B47" s="50">
        <v>8.652E-2</v>
      </c>
      <c r="C47" s="50">
        <v>0.32850000000000001</v>
      </c>
      <c r="D47" s="50">
        <v>-10.02</v>
      </c>
      <c r="E47" s="17">
        <f t="shared" si="0"/>
        <v>0</v>
      </c>
      <c r="F47" s="17">
        <f t="shared" si="1"/>
        <v>0</v>
      </c>
    </row>
    <row r="48" spans="1:6">
      <c r="A48" s="17">
        <v>4.9500000000000002E-2</v>
      </c>
      <c r="B48" s="50">
        <v>8.7559999999999999E-2</v>
      </c>
      <c r="C48" s="50">
        <v>0.32850000000000001</v>
      </c>
      <c r="D48" s="50">
        <v>-9.8670000000000009</v>
      </c>
      <c r="E48" s="17">
        <f t="shared" si="0"/>
        <v>0</v>
      </c>
      <c r="F48" s="17">
        <f t="shared" si="1"/>
        <v>0</v>
      </c>
    </row>
    <row r="49" spans="1:6">
      <c r="A49" s="17">
        <v>5.1499999999999997E-2</v>
      </c>
      <c r="B49" s="50">
        <v>9.0480000000000005E-2</v>
      </c>
      <c r="C49" s="50">
        <v>0.32850000000000001</v>
      </c>
      <c r="D49" s="50">
        <v>-9.7110000000000003</v>
      </c>
      <c r="E49" s="17">
        <f t="shared" si="0"/>
        <v>0</v>
      </c>
      <c r="F49" s="17">
        <f t="shared" si="1"/>
        <v>0</v>
      </c>
    </row>
    <row r="50" spans="1:6">
      <c r="A50" s="17">
        <v>5.3499999999999999E-2</v>
      </c>
      <c r="B50" s="50">
        <v>9.8150000000000001E-2</v>
      </c>
      <c r="C50" s="50">
        <v>0.32979999999999998</v>
      </c>
      <c r="D50" s="50">
        <v>-9.5579999999999998</v>
      </c>
      <c r="E50" s="17">
        <f t="shared" si="0"/>
        <v>0</v>
      </c>
      <c r="F50" s="17">
        <f t="shared" si="1"/>
        <v>0</v>
      </c>
    </row>
    <row r="51" spans="1:6">
      <c r="A51" s="17">
        <v>5.5500000000000001E-2</v>
      </c>
      <c r="B51" s="50">
        <v>0.1042</v>
      </c>
      <c r="C51" s="50">
        <v>0.32979999999999998</v>
      </c>
      <c r="D51" s="50">
        <v>-9.4120000000000008</v>
      </c>
      <c r="E51" s="17">
        <f t="shared" si="0"/>
        <v>0</v>
      </c>
      <c r="F51" s="17">
        <f t="shared" si="1"/>
        <v>0</v>
      </c>
    </row>
    <row r="52" spans="1:6">
      <c r="A52" s="17">
        <v>5.7500000000000002E-2</v>
      </c>
      <c r="B52" s="50">
        <v>0.10440000000000001</v>
      </c>
      <c r="C52" s="50">
        <v>0.32979999999999998</v>
      </c>
      <c r="D52" s="50">
        <v>-9.266</v>
      </c>
      <c r="E52" s="17">
        <f t="shared" si="0"/>
        <v>0</v>
      </c>
      <c r="F52" s="17">
        <f t="shared" si="1"/>
        <v>0</v>
      </c>
    </row>
    <row r="53" spans="1:6">
      <c r="A53" s="17">
        <v>5.9499999999999997E-2</v>
      </c>
      <c r="B53" s="50">
        <v>0.10630000000000001</v>
      </c>
      <c r="C53" s="50">
        <v>0.32979999999999998</v>
      </c>
      <c r="D53" s="50">
        <v>-9.1159999999999997</v>
      </c>
      <c r="E53" s="17">
        <f t="shared" si="0"/>
        <v>0</v>
      </c>
      <c r="F53" s="17">
        <f t="shared" si="1"/>
        <v>0</v>
      </c>
    </row>
    <row r="54" spans="1:6">
      <c r="A54" s="17">
        <v>6.1499999999999999E-2</v>
      </c>
      <c r="B54" s="50">
        <v>0.1114</v>
      </c>
      <c r="C54" s="50">
        <v>0.32979999999999998</v>
      </c>
      <c r="D54" s="50">
        <v>-8.968</v>
      </c>
      <c r="E54" s="17">
        <f t="shared" si="0"/>
        <v>0</v>
      </c>
      <c r="F54" s="17">
        <f t="shared" si="1"/>
        <v>0</v>
      </c>
    </row>
    <row r="55" spans="1:6">
      <c r="A55" s="17">
        <v>6.3500000000000001E-2</v>
      </c>
      <c r="B55" s="50">
        <v>0.1138</v>
      </c>
      <c r="C55" s="50">
        <v>0.32979999999999998</v>
      </c>
      <c r="D55" s="50">
        <v>-8.8219999999999992</v>
      </c>
      <c r="E55" s="17">
        <f t="shared" si="0"/>
        <v>0</v>
      </c>
      <c r="F55" s="17">
        <f t="shared" si="1"/>
        <v>0</v>
      </c>
    </row>
    <row r="56" spans="1:6">
      <c r="A56" s="17">
        <v>6.5500000000000003E-2</v>
      </c>
      <c r="B56" s="50">
        <v>0.1125</v>
      </c>
      <c r="C56" s="50">
        <v>0.32979999999999998</v>
      </c>
      <c r="D56" s="50">
        <v>-8.673</v>
      </c>
      <c r="E56" s="17">
        <f t="shared" si="0"/>
        <v>0</v>
      </c>
      <c r="F56" s="17">
        <f t="shared" si="1"/>
        <v>0</v>
      </c>
    </row>
    <row r="57" spans="1:6">
      <c r="A57" s="17">
        <v>6.7500000000000004E-2</v>
      </c>
      <c r="B57" s="50">
        <v>0.1118</v>
      </c>
      <c r="C57" s="50">
        <v>0.32979999999999998</v>
      </c>
      <c r="D57" s="50">
        <v>-8.5190000000000001</v>
      </c>
      <c r="E57" s="17">
        <f t="shared" si="0"/>
        <v>0</v>
      </c>
      <c r="F57" s="17">
        <f t="shared" si="1"/>
        <v>0</v>
      </c>
    </row>
    <row r="58" spans="1:6">
      <c r="A58" s="17">
        <v>6.9500000000000006E-2</v>
      </c>
      <c r="B58" s="50">
        <v>0.1114</v>
      </c>
      <c r="C58" s="50">
        <v>0.32979999999999998</v>
      </c>
      <c r="D58" s="50">
        <v>-8.3629999999999995</v>
      </c>
      <c r="E58" s="17">
        <f t="shared" si="0"/>
        <v>0</v>
      </c>
      <c r="F58" s="17">
        <f t="shared" si="1"/>
        <v>0</v>
      </c>
    </row>
    <row r="59" spans="1:6">
      <c r="A59" s="17">
        <v>7.1499999999999994E-2</v>
      </c>
      <c r="B59" s="50">
        <v>0.11219999999999999</v>
      </c>
      <c r="C59" s="50">
        <v>0.32979999999999998</v>
      </c>
      <c r="D59" s="50">
        <v>-8.2050000000000001</v>
      </c>
      <c r="E59" s="17">
        <f t="shared" si="0"/>
        <v>0</v>
      </c>
      <c r="F59" s="17">
        <f t="shared" si="1"/>
        <v>0</v>
      </c>
    </row>
    <row r="60" spans="1:6">
      <c r="A60" s="17">
        <v>7.3499999999999996E-2</v>
      </c>
      <c r="B60" s="50">
        <v>0.1108</v>
      </c>
      <c r="C60" s="50">
        <v>0.32979999999999998</v>
      </c>
      <c r="D60" s="50">
        <v>-8.0489999999999995</v>
      </c>
      <c r="E60" s="17">
        <f t="shared" si="0"/>
        <v>0</v>
      </c>
      <c r="F60" s="17">
        <f t="shared" si="1"/>
        <v>0</v>
      </c>
    </row>
    <row r="61" spans="1:6">
      <c r="A61" s="17">
        <v>7.5499999999999998E-2</v>
      </c>
      <c r="B61" s="17">
        <v>0.107</v>
      </c>
      <c r="C61" s="50">
        <v>0.32979999999999998</v>
      </c>
      <c r="D61" s="50">
        <v>-7.891</v>
      </c>
      <c r="E61" s="17">
        <f t="shared" si="0"/>
        <v>0</v>
      </c>
      <c r="F61" s="17">
        <f t="shared" si="1"/>
        <v>0</v>
      </c>
    </row>
    <row r="62" spans="1:6">
      <c r="A62" s="17">
        <v>7.7499999999999999E-2</v>
      </c>
      <c r="B62" s="17">
        <v>0.10879999999999999</v>
      </c>
      <c r="C62" s="50">
        <v>0.32979999999999998</v>
      </c>
      <c r="D62" s="50">
        <v>-7.7309999999999999</v>
      </c>
      <c r="E62" s="17">
        <f t="shared" si="0"/>
        <v>0</v>
      </c>
      <c r="F62" s="17">
        <f t="shared" si="1"/>
        <v>0</v>
      </c>
    </row>
    <row r="63" spans="1:6">
      <c r="A63" s="17">
        <v>7.9500000000000001E-2</v>
      </c>
      <c r="B63" s="50">
        <v>0.1105</v>
      </c>
      <c r="C63" s="50">
        <v>0.32979999999999998</v>
      </c>
      <c r="D63" s="50">
        <v>-7.5759999999999996</v>
      </c>
      <c r="E63" s="17">
        <f t="shared" si="0"/>
        <v>0</v>
      </c>
      <c r="F63" s="17">
        <f t="shared" si="1"/>
        <v>0</v>
      </c>
    </row>
    <row r="64" spans="1:6">
      <c r="A64" s="17">
        <v>8.1500000000000003E-2</v>
      </c>
      <c r="B64" s="50">
        <v>0.1085</v>
      </c>
      <c r="C64" s="50">
        <v>0.32979999999999998</v>
      </c>
      <c r="D64" s="50">
        <v>-7.42</v>
      </c>
      <c r="E64" s="17">
        <f t="shared" si="0"/>
        <v>0</v>
      </c>
      <c r="F64" s="17">
        <f t="shared" si="1"/>
        <v>0</v>
      </c>
    </row>
    <row r="65" spans="1:6">
      <c r="A65" s="17">
        <v>8.3500000000000005E-2</v>
      </c>
      <c r="B65" s="50">
        <v>0.10639999999999999</v>
      </c>
      <c r="C65" s="50">
        <v>0.32979999999999998</v>
      </c>
      <c r="D65" s="50">
        <v>-7.2619999999999996</v>
      </c>
      <c r="E65" s="17">
        <f t="shared" si="0"/>
        <v>0</v>
      </c>
      <c r="F65" s="17">
        <f t="shared" si="1"/>
        <v>0</v>
      </c>
    </row>
    <row r="66" spans="1:6">
      <c r="A66" s="17">
        <v>8.5500000000000007E-2</v>
      </c>
      <c r="B66" s="50">
        <v>0.10489999999999999</v>
      </c>
      <c r="C66" s="50">
        <v>0.32979999999999998</v>
      </c>
      <c r="D66" s="50">
        <v>-7.1029999999999998</v>
      </c>
      <c r="E66" s="17">
        <f t="shared" si="0"/>
        <v>0</v>
      </c>
      <c r="F66" s="17">
        <f t="shared" si="1"/>
        <v>0</v>
      </c>
    </row>
    <row r="67" spans="1:6">
      <c r="A67" s="17">
        <v>8.7499999999999994E-2</v>
      </c>
      <c r="B67" s="50">
        <v>0.1057</v>
      </c>
      <c r="C67" s="50">
        <v>0.32979999999999998</v>
      </c>
      <c r="D67" s="50">
        <v>-6.9420000000000002</v>
      </c>
      <c r="E67" s="17">
        <f t="shared" si="0"/>
        <v>0</v>
      </c>
      <c r="F67" s="17">
        <f t="shared" si="1"/>
        <v>0</v>
      </c>
    </row>
    <row r="68" spans="1:6">
      <c r="A68" s="17">
        <v>8.9499999999999996E-2</v>
      </c>
      <c r="B68" s="17">
        <v>0.10580000000000001</v>
      </c>
      <c r="C68" s="50">
        <v>0.32979999999999998</v>
      </c>
      <c r="D68" s="50">
        <v>-6.7830000000000004</v>
      </c>
      <c r="E68" s="17">
        <f t="shared" ref="E68:E131" si="2">IF(B68=MEDIAN($J$1-0.05,$J$1+0.05,B68),B68,0)</f>
        <v>0</v>
      </c>
      <c r="F68" s="17">
        <f t="shared" ref="F68:F131" si="3">IF(E68=0,0,D68)</f>
        <v>0</v>
      </c>
    </row>
    <row r="69" spans="1:6">
      <c r="A69" s="17">
        <v>9.1499999999999998E-2</v>
      </c>
      <c r="B69" s="17">
        <v>0.1026</v>
      </c>
      <c r="C69" s="50">
        <v>0.32979999999999998</v>
      </c>
      <c r="D69" s="50">
        <v>-6.6230000000000002</v>
      </c>
      <c r="E69" s="17">
        <f t="shared" si="2"/>
        <v>0</v>
      </c>
      <c r="F69" s="17">
        <f t="shared" si="3"/>
        <v>0</v>
      </c>
    </row>
    <row r="70" spans="1:6">
      <c r="A70" s="17">
        <v>9.35E-2</v>
      </c>
      <c r="B70" s="17">
        <v>0.1024</v>
      </c>
      <c r="C70" s="50">
        <v>0.32979999999999998</v>
      </c>
      <c r="D70" s="50">
        <v>-6.4589999999999996</v>
      </c>
      <c r="E70" s="17">
        <f t="shared" si="2"/>
        <v>0</v>
      </c>
      <c r="F70" s="17">
        <f t="shared" si="3"/>
        <v>0</v>
      </c>
    </row>
    <row r="71" spans="1:6">
      <c r="A71" s="17">
        <v>9.5500000000000002E-2</v>
      </c>
      <c r="B71" s="17">
        <v>0.1069</v>
      </c>
      <c r="C71" s="50">
        <v>0.32979999999999998</v>
      </c>
      <c r="D71" s="50">
        <v>-6.298</v>
      </c>
      <c r="E71" s="17">
        <f t="shared" si="2"/>
        <v>0</v>
      </c>
      <c r="F71" s="17">
        <f t="shared" si="3"/>
        <v>0</v>
      </c>
    </row>
    <row r="72" spans="1:6">
      <c r="A72" s="17">
        <v>9.7500000000000003E-2</v>
      </c>
      <c r="B72" s="17">
        <v>0.1094</v>
      </c>
      <c r="C72" s="50">
        <v>0.32979999999999998</v>
      </c>
      <c r="D72" s="50">
        <v>-6.14</v>
      </c>
      <c r="E72" s="17">
        <f t="shared" si="2"/>
        <v>0</v>
      </c>
      <c r="F72" s="17">
        <f t="shared" si="3"/>
        <v>0</v>
      </c>
    </row>
    <row r="73" spans="1:6">
      <c r="A73" s="17">
        <v>9.9500000000000005E-2</v>
      </c>
      <c r="B73" s="50">
        <v>0.10979999999999999</v>
      </c>
      <c r="C73" s="50">
        <v>0.32979999999999998</v>
      </c>
      <c r="D73" s="50">
        <v>-5.9809999999999999</v>
      </c>
      <c r="E73" s="17">
        <f t="shared" si="2"/>
        <v>0</v>
      </c>
      <c r="F73" s="17">
        <f t="shared" si="3"/>
        <v>0</v>
      </c>
    </row>
    <row r="74" spans="1:6">
      <c r="A74" s="17">
        <v>0.10150000000000001</v>
      </c>
      <c r="B74" s="50">
        <v>0.1105</v>
      </c>
      <c r="C74" s="50">
        <v>0.32979999999999998</v>
      </c>
      <c r="D74" s="50">
        <v>-5.82</v>
      </c>
      <c r="E74" s="17">
        <f t="shared" si="2"/>
        <v>0</v>
      </c>
      <c r="F74" s="17">
        <f t="shared" si="3"/>
        <v>0</v>
      </c>
    </row>
    <row r="75" spans="1:6">
      <c r="A75" s="17">
        <v>0.10349999999999999</v>
      </c>
      <c r="B75" s="50">
        <v>0.1135</v>
      </c>
      <c r="C75" s="50">
        <v>0.32979999999999998</v>
      </c>
      <c r="D75" s="50">
        <v>-5.641</v>
      </c>
      <c r="E75" s="17">
        <f t="shared" si="2"/>
        <v>0</v>
      </c>
      <c r="F75" s="17">
        <f t="shared" si="3"/>
        <v>0</v>
      </c>
    </row>
    <row r="76" spans="1:6">
      <c r="A76" s="17">
        <v>0.1055</v>
      </c>
      <c r="B76" s="50">
        <v>0.11749999999999999</v>
      </c>
      <c r="C76" s="50">
        <v>0.32979999999999998</v>
      </c>
      <c r="D76" s="50">
        <v>-5.4509999999999996</v>
      </c>
      <c r="E76" s="17">
        <f t="shared" si="2"/>
        <v>0</v>
      </c>
      <c r="F76" s="17">
        <f t="shared" si="3"/>
        <v>0</v>
      </c>
    </row>
    <row r="77" spans="1:6">
      <c r="A77" s="17">
        <v>0.1075</v>
      </c>
      <c r="B77" s="50">
        <v>0.1193</v>
      </c>
      <c r="C77" s="50">
        <v>0.32979999999999998</v>
      </c>
      <c r="D77" s="50">
        <v>-5.2619999999999996</v>
      </c>
      <c r="E77" s="17">
        <f t="shared" si="2"/>
        <v>0</v>
      </c>
      <c r="F77" s="17">
        <f t="shared" si="3"/>
        <v>0</v>
      </c>
    </row>
    <row r="78" spans="1:6">
      <c r="A78" s="17">
        <v>0.1095</v>
      </c>
      <c r="B78" s="50">
        <v>0.1207</v>
      </c>
      <c r="C78" s="50">
        <v>0.32979999999999998</v>
      </c>
      <c r="D78" s="50">
        <v>-5.077</v>
      </c>
      <c r="E78" s="17">
        <f t="shared" si="2"/>
        <v>0</v>
      </c>
      <c r="F78" s="17">
        <f t="shared" si="3"/>
        <v>0</v>
      </c>
    </row>
    <row r="79" spans="1:6">
      <c r="A79" s="17">
        <v>0.1115</v>
      </c>
      <c r="B79" s="50">
        <v>0.1249</v>
      </c>
      <c r="C79" s="50">
        <v>0.32979999999999998</v>
      </c>
      <c r="D79" s="50">
        <v>-4.8979999999999997</v>
      </c>
      <c r="E79" s="17">
        <f t="shared" si="2"/>
        <v>0</v>
      </c>
      <c r="F79" s="17">
        <f t="shared" si="3"/>
        <v>0</v>
      </c>
    </row>
    <row r="80" spans="1:6">
      <c r="A80" s="17">
        <v>0.1135</v>
      </c>
      <c r="B80" s="50">
        <v>0.13089999999999999</v>
      </c>
      <c r="C80" s="50">
        <v>0.32979999999999998</v>
      </c>
      <c r="D80" s="50">
        <v>-4.7279999999999998</v>
      </c>
      <c r="E80" s="17">
        <f t="shared" si="2"/>
        <v>0</v>
      </c>
      <c r="F80" s="17">
        <f t="shared" si="3"/>
        <v>0</v>
      </c>
    </row>
    <row r="81" spans="1:6">
      <c r="A81" s="17">
        <v>0.11550000000000001</v>
      </c>
      <c r="B81" s="50">
        <v>0.1326</v>
      </c>
      <c r="C81" s="50">
        <v>0.32979999999999998</v>
      </c>
      <c r="D81" s="50">
        <v>-4.5640000000000001</v>
      </c>
      <c r="E81" s="17">
        <f t="shared" si="2"/>
        <v>0</v>
      </c>
      <c r="F81" s="17">
        <f t="shared" si="3"/>
        <v>0</v>
      </c>
    </row>
    <row r="82" spans="1:6">
      <c r="A82" s="17">
        <v>0.11749999999999999</v>
      </c>
      <c r="B82" s="50">
        <v>0.13220000000000001</v>
      </c>
      <c r="C82" s="50">
        <v>0.32979999999999998</v>
      </c>
      <c r="D82" s="50">
        <v>-4.399</v>
      </c>
      <c r="E82" s="17">
        <f t="shared" si="2"/>
        <v>0</v>
      </c>
      <c r="F82" s="17">
        <f t="shared" si="3"/>
        <v>0</v>
      </c>
    </row>
    <row r="83" spans="1:6">
      <c r="A83" s="17">
        <v>0.1195</v>
      </c>
      <c r="B83" s="17">
        <v>0.13439999999999999</v>
      </c>
      <c r="C83" s="50">
        <v>0.32979999999999998</v>
      </c>
      <c r="D83" s="50">
        <v>-4.2350000000000003</v>
      </c>
      <c r="E83" s="17">
        <f t="shared" si="2"/>
        <v>0</v>
      </c>
      <c r="F83" s="17">
        <f t="shared" si="3"/>
        <v>0</v>
      </c>
    </row>
    <row r="84" spans="1:6">
      <c r="A84" s="17">
        <v>0.1225</v>
      </c>
      <c r="B84" s="50">
        <v>0.13339999999999999</v>
      </c>
      <c r="C84" s="50">
        <v>0.32979999999999998</v>
      </c>
      <c r="D84" s="50">
        <v>-3.9910000000000001</v>
      </c>
      <c r="E84" s="17">
        <f t="shared" si="2"/>
        <v>0</v>
      </c>
      <c r="F84" s="17">
        <f t="shared" si="3"/>
        <v>0</v>
      </c>
    </row>
    <row r="85" spans="1:6">
      <c r="A85" s="17">
        <v>0.1265</v>
      </c>
      <c r="B85" s="50">
        <v>0.12429999999999999</v>
      </c>
      <c r="C85" s="50">
        <v>0.32979999999999998</v>
      </c>
      <c r="D85" s="50">
        <v>-3.657</v>
      </c>
      <c r="E85" s="17">
        <f t="shared" si="2"/>
        <v>0</v>
      </c>
      <c r="F85" s="17">
        <f t="shared" si="3"/>
        <v>0</v>
      </c>
    </row>
    <row r="86" spans="1:6">
      <c r="A86" s="17">
        <v>0.1305</v>
      </c>
      <c r="B86" s="50">
        <v>0.1186</v>
      </c>
      <c r="C86" s="50">
        <v>0.32979999999999998</v>
      </c>
      <c r="D86" s="50">
        <v>-3.3109999999999999</v>
      </c>
      <c r="E86" s="17">
        <f t="shared" si="2"/>
        <v>0</v>
      </c>
      <c r="F86" s="17">
        <f t="shared" si="3"/>
        <v>0</v>
      </c>
    </row>
    <row r="87" spans="1:6">
      <c r="A87" s="17">
        <v>0.13450000000000001</v>
      </c>
      <c r="B87" s="50">
        <v>0.1135</v>
      </c>
      <c r="C87" s="50">
        <v>0.32979999999999998</v>
      </c>
      <c r="D87" s="50">
        <v>-2.9649999999999999</v>
      </c>
      <c r="E87" s="17">
        <f t="shared" si="2"/>
        <v>0</v>
      </c>
      <c r="F87" s="17">
        <f t="shared" si="3"/>
        <v>0</v>
      </c>
    </row>
    <row r="88" spans="1:6">
      <c r="A88" s="17">
        <v>0.13850000000000001</v>
      </c>
      <c r="B88" s="50">
        <v>0.1157</v>
      </c>
      <c r="C88" s="50">
        <v>0.32979999999999998</v>
      </c>
      <c r="D88" s="50">
        <v>-2.6230000000000002</v>
      </c>
      <c r="E88" s="17">
        <f t="shared" si="2"/>
        <v>0</v>
      </c>
      <c r="F88" s="17">
        <f t="shared" si="3"/>
        <v>0</v>
      </c>
    </row>
    <row r="89" spans="1:6">
      <c r="A89" s="17">
        <v>0.14249999999999999</v>
      </c>
      <c r="B89" s="50">
        <v>0.11550000000000001</v>
      </c>
      <c r="C89" s="50">
        <v>0.32979999999999998</v>
      </c>
      <c r="D89" s="50">
        <v>-2.2890000000000001</v>
      </c>
      <c r="E89" s="17">
        <f t="shared" si="2"/>
        <v>0</v>
      </c>
      <c r="F89" s="17">
        <f t="shared" si="3"/>
        <v>0</v>
      </c>
    </row>
    <row r="90" spans="1:6">
      <c r="A90" s="17">
        <v>0.14649999999999999</v>
      </c>
      <c r="B90" s="50">
        <v>0.11899999999999999</v>
      </c>
      <c r="C90" s="50">
        <v>0.32979999999999998</v>
      </c>
      <c r="D90" s="50">
        <v>-1.9570000000000001</v>
      </c>
      <c r="E90" s="17">
        <f t="shared" si="2"/>
        <v>0</v>
      </c>
      <c r="F90" s="17">
        <f t="shared" si="3"/>
        <v>0</v>
      </c>
    </row>
    <row r="91" spans="1:6">
      <c r="A91" s="17">
        <v>0.15049999999999999</v>
      </c>
      <c r="B91" s="50">
        <v>0.12</v>
      </c>
      <c r="C91" s="50">
        <v>0.32979999999999998</v>
      </c>
      <c r="D91" s="50">
        <v>-1.629</v>
      </c>
      <c r="E91" s="17">
        <f t="shared" si="2"/>
        <v>0</v>
      </c>
      <c r="F91" s="17">
        <f t="shared" si="3"/>
        <v>0</v>
      </c>
    </row>
    <row r="92" spans="1:6">
      <c r="A92" s="17">
        <v>0.1545</v>
      </c>
      <c r="B92" s="50">
        <v>0.1235</v>
      </c>
      <c r="C92" s="50">
        <v>0.32979999999999998</v>
      </c>
      <c r="D92" s="50">
        <v>-1.3009999999999999</v>
      </c>
      <c r="E92" s="17">
        <f t="shared" si="2"/>
        <v>0</v>
      </c>
      <c r="F92" s="17">
        <f t="shared" si="3"/>
        <v>0</v>
      </c>
    </row>
    <row r="93" spans="1:6">
      <c r="A93" s="17">
        <v>0.1585</v>
      </c>
      <c r="B93" s="50">
        <v>0.123</v>
      </c>
      <c r="C93" s="50">
        <v>0.32979999999999998</v>
      </c>
      <c r="D93" s="50">
        <v>-0.97550000000000003</v>
      </c>
      <c r="E93" s="17">
        <f t="shared" si="2"/>
        <v>0</v>
      </c>
      <c r="F93" s="17">
        <f t="shared" si="3"/>
        <v>0</v>
      </c>
    </row>
    <row r="94" spans="1:6">
      <c r="A94" s="17">
        <v>0.16250000000000001</v>
      </c>
      <c r="B94" s="50">
        <v>0.12959999999999999</v>
      </c>
      <c r="C94" s="50">
        <v>0.32979999999999998</v>
      </c>
      <c r="D94" s="50">
        <v>-0.64590000000000003</v>
      </c>
      <c r="E94" s="17">
        <f t="shared" si="2"/>
        <v>0</v>
      </c>
      <c r="F94" s="17">
        <f t="shared" si="3"/>
        <v>0</v>
      </c>
    </row>
    <row r="95" spans="1:6">
      <c r="A95" s="17">
        <v>0.16650000000000001</v>
      </c>
      <c r="B95" s="50">
        <v>0.12470000000000001</v>
      </c>
      <c r="C95" s="50">
        <v>0.32979999999999998</v>
      </c>
      <c r="D95" s="50">
        <v>-0.32869999999999999</v>
      </c>
      <c r="E95" s="17">
        <f t="shared" si="2"/>
        <v>0</v>
      </c>
      <c r="F95" s="17">
        <f t="shared" si="3"/>
        <v>0</v>
      </c>
    </row>
    <row r="96" spans="1:6">
      <c r="A96" s="17">
        <v>0.17050000000000001</v>
      </c>
      <c r="B96" s="50">
        <v>0.1195</v>
      </c>
      <c r="C96" s="50">
        <v>0.32979999999999998</v>
      </c>
      <c r="D96" s="50">
        <v>1.6799999999999999E-2</v>
      </c>
      <c r="E96" s="17">
        <f t="shared" si="2"/>
        <v>0</v>
      </c>
      <c r="F96" s="17">
        <f t="shared" si="3"/>
        <v>0</v>
      </c>
    </row>
    <row r="97" spans="1:6">
      <c r="A97" s="17">
        <v>0.17449999999999999</v>
      </c>
      <c r="B97" s="50">
        <v>0.11840000000000001</v>
      </c>
      <c r="C97" s="50">
        <v>0.32979999999999998</v>
      </c>
      <c r="D97" s="50">
        <v>0.3503</v>
      </c>
      <c r="E97" s="17">
        <f t="shared" si="2"/>
        <v>0</v>
      </c>
      <c r="F97" s="17">
        <f t="shared" si="3"/>
        <v>0</v>
      </c>
    </row>
    <row r="98" spans="1:6">
      <c r="A98" s="17">
        <v>0.17849999999999999</v>
      </c>
      <c r="B98" s="50">
        <v>0.1149</v>
      </c>
      <c r="C98" s="50">
        <v>0.32979999999999998</v>
      </c>
      <c r="D98" s="50">
        <v>0.69220000000000004</v>
      </c>
      <c r="E98" s="17">
        <f t="shared" si="2"/>
        <v>0</v>
      </c>
      <c r="F98" s="17">
        <f t="shared" si="3"/>
        <v>0</v>
      </c>
    </row>
    <row r="99" spans="1:6">
      <c r="A99" s="17">
        <v>0.1825</v>
      </c>
      <c r="B99" s="50">
        <v>0.1152</v>
      </c>
      <c r="C99" s="50">
        <v>0.32979999999999998</v>
      </c>
      <c r="D99" s="50">
        <v>1.03</v>
      </c>
      <c r="E99" s="17">
        <f t="shared" si="2"/>
        <v>0</v>
      </c>
      <c r="F99" s="17">
        <f t="shared" si="3"/>
        <v>0</v>
      </c>
    </row>
    <row r="100" spans="1:6">
      <c r="A100" s="17">
        <v>0.1865</v>
      </c>
      <c r="B100" s="50">
        <v>0.1206</v>
      </c>
      <c r="C100" s="50">
        <v>0.32979999999999998</v>
      </c>
      <c r="D100" s="50">
        <v>1.3620000000000001</v>
      </c>
      <c r="E100" s="17">
        <f t="shared" si="2"/>
        <v>0</v>
      </c>
      <c r="F100" s="17">
        <f t="shared" si="3"/>
        <v>0</v>
      </c>
    </row>
    <row r="101" spans="1:6">
      <c r="A101" s="17">
        <v>0.1905</v>
      </c>
      <c r="B101" s="50">
        <v>0.12659999999999999</v>
      </c>
      <c r="C101" s="50">
        <v>0.32979999999999998</v>
      </c>
      <c r="D101" s="50">
        <v>1.6830000000000001</v>
      </c>
      <c r="E101" s="17">
        <f t="shared" si="2"/>
        <v>0</v>
      </c>
      <c r="F101" s="17">
        <f t="shared" si="3"/>
        <v>0</v>
      </c>
    </row>
    <row r="102" spans="1:6">
      <c r="A102" s="17">
        <v>0.19450000000000001</v>
      </c>
      <c r="B102" s="50">
        <v>0.12520000000000001</v>
      </c>
      <c r="C102" s="50">
        <v>0.32979999999999998</v>
      </c>
      <c r="D102" s="50">
        <v>2.0059999999999998</v>
      </c>
      <c r="E102" s="17">
        <f t="shared" si="2"/>
        <v>0</v>
      </c>
      <c r="F102" s="17">
        <f t="shared" si="3"/>
        <v>0</v>
      </c>
    </row>
    <row r="103" spans="1:6">
      <c r="A103" s="17">
        <v>0.19850000000000001</v>
      </c>
      <c r="B103" s="50">
        <v>0.1231</v>
      </c>
      <c r="C103" s="50">
        <v>0.32979999999999998</v>
      </c>
      <c r="D103" s="50">
        <v>2.3370000000000002</v>
      </c>
      <c r="E103" s="17">
        <f t="shared" si="2"/>
        <v>0</v>
      </c>
      <c r="F103" s="17">
        <f t="shared" si="3"/>
        <v>0</v>
      </c>
    </row>
    <row r="104" spans="1:6">
      <c r="A104" s="17">
        <v>0.20250000000000001</v>
      </c>
      <c r="B104" s="50">
        <v>0.12180000000000001</v>
      </c>
      <c r="C104" s="50">
        <v>0.32979999999999998</v>
      </c>
      <c r="D104" s="50">
        <v>2.673</v>
      </c>
      <c r="E104" s="17">
        <f t="shared" si="2"/>
        <v>0</v>
      </c>
      <c r="F104" s="17">
        <f t="shared" si="3"/>
        <v>0</v>
      </c>
    </row>
    <row r="105" spans="1:6">
      <c r="A105" s="17">
        <v>0.20649999999999999</v>
      </c>
      <c r="B105" s="50">
        <v>0.12230000000000001</v>
      </c>
      <c r="C105" s="50">
        <v>0.32979999999999998</v>
      </c>
      <c r="D105" s="50">
        <v>3.004</v>
      </c>
      <c r="E105" s="17">
        <f t="shared" si="2"/>
        <v>0</v>
      </c>
      <c r="F105" s="17">
        <f t="shared" si="3"/>
        <v>0</v>
      </c>
    </row>
    <row r="106" spans="1:6">
      <c r="A106" s="17">
        <v>0.21049999999999999</v>
      </c>
      <c r="B106" s="50">
        <v>0.12239999999999999</v>
      </c>
      <c r="C106" s="50">
        <v>0.32979999999999998</v>
      </c>
      <c r="D106" s="50">
        <v>3.3370000000000002</v>
      </c>
      <c r="E106" s="17">
        <f t="shared" si="2"/>
        <v>0</v>
      </c>
      <c r="F106" s="17">
        <f t="shared" si="3"/>
        <v>0</v>
      </c>
    </row>
    <row r="107" spans="1:6">
      <c r="A107" s="17">
        <v>0.2145</v>
      </c>
      <c r="B107" s="50">
        <v>0.124</v>
      </c>
      <c r="C107" s="50">
        <v>0.32979999999999998</v>
      </c>
      <c r="D107" s="50">
        <v>3.6669999999999998</v>
      </c>
      <c r="E107" s="17">
        <f t="shared" si="2"/>
        <v>0</v>
      </c>
      <c r="F107" s="17">
        <f t="shared" si="3"/>
        <v>0</v>
      </c>
    </row>
    <row r="108" spans="1:6">
      <c r="A108" s="17">
        <v>0.2185</v>
      </c>
      <c r="B108" s="50">
        <v>0.1245</v>
      </c>
      <c r="C108" s="50">
        <v>0.32979999999999998</v>
      </c>
      <c r="D108" s="50">
        <v>3.9950000000000001</v>
      </c>
      <c r="E108" s="17">
        <f t="shared" si="2"/>
        <v>0</v>
      </c>
      <c r="F108" s="17">
        <f t="shared" si="3"/>
        <v>0</v>
      </c>
    </row>
    <row r="109" spans="1:6">
      <c r="A109" s="17">
        <v>0.2225</v>
      </c>
      <c r="B109" s="50">
        <v>0.12520000000000001</v>
      </c>
      <c r="C109" s="50">
        <v>0.32979999999999998</v>
      </c>
      <c r="D109" s="50">
        <v>4.3230000000000004</v>
      </c>
      <c r="E109" s="17">
        <f t="shared" si="2"/>
        <v>0</v>
      </c>
      <c r="F109" s="17">
        <f t="shared" si="3"/>
        <v>0</v>
      </c>
    </row>
    <row r="110" spans="1:6">
      <c r="A110" s="17">
        <v>0.22650000000000001</v>
      </c>
      <c r="B110" s="50">
        <v>0.12130000000000001</v>
      </c>
      <c r="C110" s="50">
        <v>0.32979999999999998</v>
      </c>
      <c r="D110" s="50">
        <v>4.657</v>
      </c>
      <c r="E110" s="17">
        <f t="shared" si="2"/>
        <v>0</v>
      </c>
      <c r="F110" s="17">
        <f t="shared" si="3"/>
        <v>0</v>
      </c>
    </row>
    <row r="111" spans="1:6">
      <c r="A111" s="17">
        <v>0.23050000000000001</v>
      </c>
      <c r="B111" s="50">
        <v>0.12570000000000001</v>
      </c>
      <c r="C111" s="50">
        <v>0.32979999999999998</v>
      </c>
      <c r="D111" s="50">
        <v>4.9880000000000004</v>
      </c>
      <c r="E111" s="17">
        <f t="shared" si="2"/>
        <v>0</v>
      </c>
      <c r="F111" s="17">
        <f t="shared" si="3"/>
        <v>0</v>
      </c>
    </row>
    <row r="112" spans="1:6">
      <c r="A112" s="17">
        <v>0.23449999999999999</v>
      </c>
      <c r="B112" s="50">
        <v>0.12520000000000001</v>
      </c>
      <c r="C112" s="50">
        <v>0.32979999999999998</v>
      </c>
      <c r="D112" s="50">
        <v>5.3159999999999998</v>
      </c>
      <c r="E112" s="17">
        <f t="shared" si="2"/>
        <v>0</v>
      </c>
      <c r="F112" s="17">
        <f t="shared" si="3"/>
        <v>0</v>
      </c>
    </row>
    <row r="113" spans="1:6">
      <c r="A113" s="17">
        <v>0.23849999999999999</v>
      </c>
      <c r="B113" s="50">
        <v>0.12720000000000001</v>
      </c>
      <c r="C113" s="50">
        <v>0.32979999999999998</v>
      </c>
      <c r="D113" s="50">
        <v>5.6429999999999998</v>
      </c>
      <c r="E113" s="17">
        <f t="shared" si="2"/>
        <v>0</v>
      </c>
      <c r="F113" s="17">
        <f t="shared" si="3"/>
        <v>0</v>
      </c>
    </row>
    <row r="114" spans="1:6">
      <c r="A114" s="17">
        <v>0.24249999999999999</v>
      </c>
      <c r="B114" s="50">
        <v>0.12239999999999999</v>
      </c>
      <c r="C114" s="50">
        <v>0.32979999999999998</v>
      </c>
      <c r="D114" s="50">
        <v>5.9740000000000002</v>
      </c>
      <c r="E114" s="17">
        <f t="shared" si="2"/>
        <v>0</v>
      </c>
      <c r="F114" s="17">
        <f t="shared" si="3"/>
        <v>0</v>
      </c>
    </row>
    <row r="115" spans="1:6">
      <c r="A115" s="17">
        <v>0.2465</v>
      </c>
      <c r="B115" s="50">
        <v>0.1197</v>
      </c>
      <c r="C115" s="50">
        <v>0.32979999999999998</v>
      </c>
      <c r="D115" s="50">
        <v>6.3120000000000003</v>
      </c>
      <c r="E115" s="17">
        <f t="shared" si="2"/>
        <v>0</v>
      </c>
      <c r="F115" s="17">
        <f t="shared" si="3"/>
        <v>0</v>
      </c>
    </row>
    <row r="116" spans="1:6">
      <c r="A116" s="17">
        <v>0.2505</v>
      </c>
      <c r="B116" s="50">
        <v>0.1142</v>
      </c>
      <c r="C116" s="50">
        <v>0.32979999999999998</v>
      </c>
      <c r="D116" s="50">
        <v>6.6529999999999996</v>
      </c>
      <c r="E116" s="17">
        <f t="shared" si="2"/>
        <v>0</v>
      </c>
      <c r="F116" s="17">
        <f t="shared" si="3"/>
        <v>0</v>
      </c>
    </row>
    <row r="117" spans="1:6">
      <c r="A117" s="17">
        <v>0.2545</v>
      </c>
      <c r="B117" s="50">
        <v>0.11550000000000001</v>
      </c>
      <c r="C117" s="50">
        <v>0.32979999999999998</v>
      </c>
      <c r="D117" s="50">
        <v>6.9950000000000001</v>
      </c>
      <c r="E117" s="17">
        <f t="shared" si="2"/>
        <v>0</v>
      </c>
      <c r="F117" s="17">
        <f t="shared" si="3"/>
        <v>0</v>
      </c>
    </row>
    <row r="118" spans="1:6">
      <c r="A118" s="17">
        <v>0.25850000000000001</v>
      </c>
      <c r="B118" s="50">
        <v>0.12089999999999999</v>
      </c>
      <c r="C118" s="50">
        <v>0.32979999999999998</v>
      </c>
      <c r="D118" s="50">
        <v>7.3250000000000002</v>
      </c>
      <c r="E118" s="17">
        <f t="shared" si="2"/>
        <v>0</v>
      </c>
      <c r="F118" s="17">
        <f t="shared" si="3"/>
        <v>0</v>
      </c>
    </row>
    <row r="119" spans="1:6">
      <c r="A119" s="17">
        <v>0.26250000000000001</v>
      </c>
      <c r="B119" s="50">
        <v>0.1303</v>
      </c>
      <c r="C119" s="50">
        <v>0.32979999999999998</v>
      </c>
      <c r="D119" s="50">
        <v>7.6459999999999999</v>
      </c>
      <c r="E119" s="17">
        <f t="shared" si="2"/>
        <v>0</v>
      </c>
      <c r="F119" s="17">
        <f t="shared" si="3"/>
        <v>0</v>
      </c>
    </row>
    <row r="120" spans="1:6">
      <c r="A120" s="17">
        <v>0.26650000000000001</v>
      </c>
      <c r="B120" s="50">
        <v>0.13289999999999999</v>
      </c>
      <c r="C120" s="50">
        <v>0.32979999999999998</v>
      </c>
      <c r="D120" s="50">
        <v>7.9580000000000002</v>
      </c>
      <c r="E120" s="17">
        <f t="shared" si="2"/>
        <v>0</v>
      </c>
      <c r="F120" s="17">
        <f t="shared" si="3"/>
        <v>0</v>
      </c>
    </row>
    <row r="121" spans="1:6">
      <c r="A121" s="17">
        <v>0.27050000000000002</v>
      </c>
      <c r="B121" s="50">
        <v>0.1313</v>
      </c>
      <c r="C121" s="50">
        <v>0.32979999999999998</v>
      </c>
      <c r="D121" s="50">
        <v>8.2810000000000006</v>
      </c>
      <c r="E121" s="17">
        <f t="shared" si="2"/>
        <v>0</v>
      </c>
      <c r="F121" s="17">
        <f t="shared" si="3"/>
        <v>0</v>
      </c>
    </row>
    <row r="122" spans="1:6">
      <c r="A122" s="17">
        <v>0.27450000000000002</v>
      </c>
      <c r="B122" s="50">
        <v>0.1265</v>
      </c>
      <c r="C122" s="50">
        <v>0.32979999999999998</v>
      </c>
      <c r="D122" s="50">
        <v>8.6129999999999995</v>
      </c>
      <c r="E122" s="17">
        <f t="shared" si="2"/>
        <v>0</v>
      </c>
      <c r="F122" s="17">
        <f t="shared" si="3"/>
        <v>0</v>
      </c>
    </row>
    <row r="123" spans="1:6">
      <c r="A123" s="17">
        <v>0.27850000000000003</v>
      </c>
      <c r="B123" s="50">
        <v>0.1273</v>
      </c>
      <c r="C123" s="50">
        <v>0.32979999999999998</v>
      </c>
      <c r="D123" s="50">
        <v>8.9480000000000004</v>
      </c>
      <c r="E123" s="17">
        <f t="shared" si="2"/>
        <v>0</v>
      </c>
      <c r="F123" s="17">
        <f t="shared" si="3"/>
        <v>0</v>
      </c>
    </row>
    <row r="124" spans="1:6">
      <c r="A124" s="17">
        <v>0.28449999999999998</v>
      </c>
      <c r="B124" s="50">
        <v>0.1313</v>
      </c>
      <c r="C124" s="50">
        <v>0.32979999999999998</v>
      </c>
      <c r="D124" s="50">
        <v>9.4350000000000005</v>
      </c>
      <c r="E124" s="17">
        <f t="shared" si="2"/>
        <v>0</v>
      </c>
      <c r="F124" s="17">
        <f t="shared" si="3"/>
        <v>0</v>
      </c>
    </row>
    <row r="125" spans="1:6">
      <c r="A125" s="17">
        <v>0.29249999999999998</v>
      </c>
      <c r="B125" s="50">
        <v>0.1273</v>
      </c>
      <c r="C125" s="50">
        <v>0.3332</v>
      </c>
      <c r="D125" s="50">
        <v>10.09</v>
      </c>
      <c r="E125" s="17">
        <f t="shared" si="2"/>
        <v>0</v>
      </c>
      <c r="F125" s="17">
        <f t="shared" si="3"/>
        <v>0</v>
      </c>
    </row>
    <row r="126" spans="1:6">
      <c r="A126" s="17">
        <v>0.30049999999999999</v>
      </c>
      <c r="B126" s="50">
        <v>0.1237</v>
      </c>
      <c r="C126" s="50">
        <v>0.3332</v>
      </c>
      <c r="D126" s="50">
        <v>10.76</v>
      </c>
      <c r="E126" s="17">
        <f t="shared" si="2"/>
        <v>0</v>
      </c>
      <c r="F126" s="17">
        <f t="shared" si="3"/>
        <v>0</v>
      </c>
    </row>
    <row r="127" spans="1:6">
      <c r="A127" s="17">
        <v>0.3085</v>
      </c>
      <c r="B127" s="50">
        <v>0.12620000000000001</v>
      </c>
      <c r="C127" s="50">
        <v>0.3332</v>
      </c>
      <c r="D127" s="50">
        <v>11.42</v>
      </c>
      <c r="E127" s="17">
        <f t="shared" si="2"/>
        <v>0</v>
      </c>
      <c r="F127" s="17">
        <f t="shared" si="3"/>
        <v>0</v>
      </c>
    </row>
    <row r="128" spans="1:6">
      <c r="A128" s="17">
        <v>0.3165</v>
      </c>
      <c r="B128" s="50">
        <v>0.13830000000000001</v>
      </c>
      <c r="C128" s="50">
        <v>0.3332</v>
      </c>
      <c r="D128" s="50">
        <v>12.39</v>
      </c>
      <c r="E128" s="17">
        <f t="shared" si="2"/>
        <v>0</v>
      </c>
      <c r="F128" s="17">
        <f t="shared" si="3"/>
        <v>0</v>
      </c>
    </row>
    <row r="129" spans="1:6">
      <c r="A129" s="17">
        <v>0.32450000000000001</v>
      </c>
      <c r="B129" s="50">
        <v>0.42580000000000001</v>
      </c>
      <c r="C129" s="50">
        <v>0.3332</v>
      </c>
      <c r="D129" s="50">
        <v>17.170000000000002</v>
      </c>
      <c r="E129" s="17">
        <f t="shared" si="2"/>
        <v>0</v>
      </c>
      <c r="F129" s="17">
        <f t="shared" si="3"/>
        <v>0</v>
      </c>
    </row>
    <row r="130" spans="1:6">
      <c r="A130" s="17">
        <v>0.33250000000000002</v>
      </c>
      <c r="B130" s="17">
        <v>1.284</v>
      </c>
      <c r="C130" s="50">
        <v>0.3332</v>
      </c>
      <c r="D130" s="50">
        <v>24.73</v>
      </c>
      <c r="E130" s="17">
        <f t="shared" si="2"/>
        <v>0</v>
      </c>
      <c r="F130" s="17">
        <f t="shared" si="3"/>
        <v>0</v>
      </c>
    </row>
    <row r="131" spans="1:6">
      <c r="A131" s="17">
        <v>0.34050000000000002</v>
      </c>
      <c r="B131" s="17">
        <v>1.946</v>
      </c>
      <c r="C131" s="50">
        <v>0.3332</v>
      </c>
      <c r="D131" s="50">
        <v>32.03</v>
      </c>
      <c r="E131" s="17">
        <f t="shared" si="2"/>
        <v>0</v>
      </c>
      <c r="F131" s="17">
        <f t="shared" si="3"/>
        <v>0</v>
      </c>
    </row>
    <row r="132" spans="1:6">
      <c r="A132" s="17">
        <v>0.34849999999999998</v>
      </c>
      <c r="B132" s="17">
        <v>2.0739999999999998</v>
      </c>
      <c r="C132" s="50">
        <v>0.3332</v>
      </c>
      <c r="D132" s="50">
        <v>40.659999999999997</v>
      </c>
      <c r="E132" s="17">
        <f t="shared" ref="E132:E195" si="4">IF(B132=MEDIAN($J$1-0.05,$J$1+0.05,B132),B132,0)</f>
        <v>0</v>
      </c>
      <c r="F132" s="17">
        <f t="shared" ref="F132:F195" si="5">IF(E132=0,0,D132)</f>
        <v>0</v>
      </c>
    </row>
    <row r="133" spans="1:6">
      <c r="A133" s="17">
        <v>0.35649999999999998</v>
      </c>
      <c r="B133" s="50">
        <v>2.02</v>
      </c>
      <c r="C133" s="50">
        <v>0.3332</v>
      </c>
      <c r="D133" s="50">
        <v>50.08</v>
      </c>
      <c r="E133" s="17">
        <f t="shared" si="4"/>
        <v>0</v>
      </c>
      <c r="F133" s="17">
        <f t="shared" si="5"/>
        <v>0</v>
      </c>
    </row>
    <row r="134" spans="1:6">
      <c r="A134" s="17">
        <v>0.36449999999999999</v>
      </c>
      <c r="B134" s="50">
        <v>2.0529999999999999</v>
      </c>
      <c r="C134" s="50">
        <v>0.3332</v>
      </c>
      <c r="D134" s="50">
        <v>58.87</v>
      </c>
      <c r="E134" s="17">
        <f t="shared" si="4"/>
        <v>0</v>
      </c>
      <c r="F134" s="17">
        <f t="shared" si="5"/>
        <v>0</v>
      </c>
    </row>
    <row r="135" spans="1:6">
      <c r="A135" s="17">
        <v>0.3725</v>
      </c>
      <c r="B135" s="50">
        <v>2.08</v>
      </c>
      <c r="C135" s="50">
        <v>0.3332</v>
      </c>
      <c r="D135" s="50">
        <v>65.459999999999994</v>
      </c>
      <c r="E135" s="17">
        <f t="shared" si="4"/>
        <v>0</v>
      </c>
      <c r="F135" s="17">
        <f t="shared" si="5"/>
        <v>0</v>
      </c>
    </row>
    <row r="136" spans="1:6">
      <c r="A136" s="17">
        <v>0.3805</v>
      </c>
      <c r="B136" s="50">
        <v>1.9710000000000001</v>
      </c>
      <c r="C136" s="50">
        <v>0.3332</v>
      </c>
      <c r="D136" s="50">
        <v>72.13</v>
      </c>
      <c r="E136" s="17">
        <f t="shared" si="4"/>
        <v>0</v>
      </c>
      <c r="F136" s="17">
        <f t="shared" si="5"/>
        <v>0</v>
      </c>
    </row>
    <row r="137" spans="1:6">
      <c r="A137" s="17">
        <v>0.38850000000000001</v>
      </c>
      <c r="B137" s="50">
        <v>1.929</v>
      </c>
      <c r="C137" s="50">
        <v>0.3332</v>
      </c>
      <c r="D137" s="50">
        <v>76.83</v>
      </c>
      <c r="E137" s="17">
        <f t="shared" si="4"/>
        <v>0</v>
      </c>
      <c r="F137" s="17">
        <f t="shared" si="5"/>
        <v>0</v>
      </c>
    </row>
    <row r="138" spans="1:6">
      <c r="A138" s="17">
        <v>0.39650000000000002</v>
      </c>
      <c r="B138" s="17">
        <v>1.798</v>
      </c>
      <c r="C138" s="50">
        <v>0.3332</v>
      </c>
      <c r="D138" s="50">
        <v>81.260000000000005</v>
      </c>
      <c r="E138" s="17">
        <f t="shared" si="4"/>
        <v>0</v>
      </c>
      <c r="F138" s="17">
        <f t="shared" si="5"/>
        <v>0</v>
      </c>
    </row>
    <row r="139" spans="1:6">
      <c r="A139" s="17">
        <v>0.40450000000000003</v>
      </c>
      <c r="B139" s="17">
        <v>1.736</v>
      </c>
      <c r="C139" s="50">
        <v>0.3332</v>
      </c>
      <c r="D139" s="50">
        <v>84.26</v>
      </c>
      <c r="E139" s="17">
        <f t="shared" si="4"/>
        <v>0</v>
      </c>
      <c r="F139" s="17">
        <f t="shared" si="5"/>
        <v>0</v>
      </c>
    </row>
    <row r="140" spans="1:6">
      <c r="A140" s="17">
        <v>0.41249999999999998</v>
      </c>
      <c r="B140" s="17">
        <v>1.613</v>
      </c>
      <c r="C140" s="50">
        <v>0.3332</v>
      </c>
      <c r="D140" s="50">
        <v>86.94</v>
      </c>
      <c r="E140" s="17">
        <f t="shared" si="4"/>
        <v>0</v>
      </c>
      <c r="F140" s="17">
        <f t="shared" si="5"/>
        <v>0</v>
      </c>
    </row>
    <row r="141" spans="1:6">
      <c r="A141" s="17">
        <v>0.42049999999999998</v>
      </c>
      <c r="B141" s="17">
        <v>1.399</v>
      </c>
      <c r="C141" s="50">
        <v>0.3332</v>
      </c>
      <c r="D141" s="50">
        <v>86.97</v>
      </c>
      <c r="E141" s="17">
        <f t="shared" si="4"/>
        <v>0</v>
      </c>
      <c r="F141" s="17">
        <f t="shared" si="5"/>
        <v>0</v>
      </c>
    </row>
    <row r="142" spans="1:6">
      <c r="A142" s="17">
        <v>0.42849999999999999</v>
      </c>
      <c r="B142" s="17">
        <v>1.079</v>
      </c>
      <c r="C142" s="50">
        <v>0.3332</v>
      </c>
      <c r="D142" s="50">
        <v>87.56</v>
      </c>
      <c r="E142" s="17">
        <f t="shared" si="4"/>
        <v>0</v>
      </c>
      <c r="F142" s="17">
        <f t="shared" si="5"/>
        <v>0</v>
      </c>
    </row>
    <row r="143" spans="1:6">
      <c r="A143" s="17">
        <v>0.4365</v>
      </c>
      <c r="B143" s="17">
        <v>1.0209999999999999</v>
      </c>
      <c r="C143" s="50">
        <v>0.3332</v>
      </c>
      <c r="D143" s="50">
        <v>87.86</v>
      </c>
      <c r="E143" s="17">
        <f t="shared" si="4"/>
        <v>1.0209999999999999</v>
      </c>
      <c r="F143" s="17">
        <f t="shared" si="5"/>
        <v>87.86</v>
      </c>
    </row>
    <row r="144" spans="1:6">
      <c r="A144" s="17">
        <v>0.44450000000000001</v>
      </c>
      <c r="B144" s="17">
        <v>1.002</v>
      </c>
      <c r="C144" s="50">
        <v>0.3332</v>
      </c>
      <c r="D144" s="50">
        <v>87.83</v>
      </c>
      <c r="E144" s="17">
        <f t="shared" si="4"/>
        <v>1.002</v>
      </c>
      <c r="F144" s="17">
        <f t="shared" si="5"/>
        <v>87.83</v>
      </c>
    </row>
    <row r="145" spans="1:6">
      <c r="A145" s="17">
        <v>0.45250000000000001</v>
      </c>
      <c r="B145" s="17">
        <v>0.99150000000000005</v>
      </c>
      <c r="C145" s="50">
        <v>0.3332</v>
      </c>
      <c r="D145" s="50">
        <v>88.02</v>
      </c>
      <c r="E145" s="17">
        <f t="shared" si="4"/>
        <v>0.99150000000000005</v>
      </c>
      <c r="F145" s="17">
        <f t="shared" si="5"/>
        <v>88.02</v>
      </c>
    </row>
    <row r="146" spans="1:6">
      <c r="A146" s="17">
        <v>0.46050000000000002</v>
      </c>
      <c r="B146" s="17">
        <v>0.98960000000000004</v>
      </c>
      <c r="C146" s="50">
        <v>0.3332</v>
      </c>
      <c r="D146" s="50">
        <v>88.25</v>
      </c>
      <c r="E146" s="17">
        <f t="shared" si="4"/>
        <v>0.98960000000000004</v>
      </c>
      <c r="F146" s="17">
        <f t="shared" si="5"/>
        <v>88.25</v>
      </c>
    </row>
    <row r="147" spans="1:6">
      <c r="A147" s="17">
        <v>0.46850000000000003</v>
      </c>
      <c r="B147" s="50">
        <v>0.98839999999999995</v>
      </c>
      <c r="C147" s="50">
        <v>0.3332</v>
      </c>
      <c r="D147" s="50">
        <v>88.45</v>
      </c>
      <c r="E147" s="17">
        <f t="shared" si="4"/>
        <v>0.98839999999999995</v>
      </c>
      <c r="F147" s="17">
        <f t="shared" si="5"/>
        <v>88.45</v>
      </c>
    </row>
    <row r="148" spans="1:6">
      <c r="A148" s="17">
        <v>0.47649999999999998</v>
      </c>
      <c r="B148" s="50">
        <v>0.9839</v>
      </c>
      <c r="C148" s="50">
        <v>0.3332</v>
      </c>
      <c r="D148" s="50">
        <v>88.75</v>
      </c>
      <c r="E148" s="17">
        <f t="shared" si="4"/>
        <v>0.9839</v>
      </c>
      <c r="F148" s="17">
        <f t="shared" si="5"/>
        <v>88.75</v>
      </c>
    </row>
    <row r="149" spans="1:6">
      <c r="A149" s="17">
        <v>0.48449999999999999</v>
      </c>
      <c r="B149" s="50">
        <v>0.9728</v>
      </c>
      <c r="C149" s="50">
        <v>0.3332</v>
      </c>
      <c r="D149" s="50">
        <v>89.27</v>
      </c>
      <c r="E149" s="17">
        <f t="shared" si="4"/>
        <v>0.9728</v>
      </c>
      <c r="F149" s="17">
        <f t="shared" si="5"/>
        <v>89.27</v>
      </c>
    </row>
    <row r="150" spans="1:6">
      <c r="A150" s="17">
        <v>0.49249999999999999</v>
      </c>
      <c r="B150" s="50">
        <v>0.9829</v>
      </c>
      <c r="C150" s="50">
        <v>0.3332</v>
      </c>
      <c r="D150" s="50">
        <v>89.59</v>
      </c>
      <c r="E150" s="17">
        <f t="shared" si="4"/>
        <v>0.9829</v>
      </c>
      <c r="F150" s="17">
        <f t="shared" si="5"/>
        <v>89.59</v>
      </c>
    </row>
    <row r="151" spans="1:6">
      <c r="A151" s="17">
        <v>0.50049999999999994</v>
      </c>
      <c r="B151" s="50">
        <v>0.98019999999999996</v>
      </c>
      <c r="C151" s="50">
        <v>0.3332</v>
      </c>
      <c r="D151" s="50">
        <v>90.03</v>
      </c>
      <c r="E151" s="17">
        <f t="shared" si="4"/>
        <v>0.98019999999999996</v>
      </c>
      <c r="F151" s="17">
        <f t="shared" si="5"/>
        <v>90.03</v>
      </c>
    </row>
    <row r="152" spans="1:6">
      <c r="A152" s="17">
        <v>0.50849999999999995</v>
      </c>
      <c r="B152" s="50">
        <v>0.97629999999999995</v>
      </c>
      <c r="C152" s="50">
        <v>0.3332</v>
      </c>
      <c r="D152" s="50">
        <v>90.4</v>
      </c>
      <c r="E152" s="17">
        <f t="shared" si="4"/>
        <v>0.97629999999999995</v>
      </c>
      <c r="F152" s="17">
        <f t="shared" si="5"/>
        <v>90.4</v>
      </c>
    </row>
    <row r="153" spans="1:6">
      <c r="A153" s="17">
        <v>0.51649999999999996</v>
      </c>
      <c r="B153" s="17">
        <v>0.96899999999999997</v>
      </c>
      <c r="C153" s="50">
        <v>0.3332</v>
      </c>
      <c r="D153" s="50">
        <v>91.03</v>
      </c>
      <c r="E153" s="17">
        <f t="shared" si="4"/>
        <v>0.96899999999999997</v>
      </c>
      <c r="F153" s="17">
        <f t="shared" si="5"/>
        <v>91.03</v>
      </c>
    </row>
    <row r="154" spans="1:6">
      <c r="A154" s="17">
        <v>0.52449999999999997</v>
      </c>
      <c r="B154" s="50">
        <v>0.97450000000000003</v>
      </c>
      <c r="C154" s="50">
        <v>0.3332</v>
      </c>
      <c r="D154" s="50">
        <v>91.58</v>
      </c>
      <c r="E154" s="17">
        <f t="shared" si="4"/>
        <v>0.97450000000000003</v>
      </c>
      <c r="F154" s="17">
        <f t="shared" si="5"/>
        <v>91.58</v>
      </c>
    </row>
    <row r="155" spans="1:6">
      <c r="A155" s="17">
        <v>0.53249999999999997</v>
      </c>
      <c r="B155" s="50">
        <v>1.0960000000000001</v>
      </c>
      <c r="C155" s="50">
        <v>0.3332</v>
      </c>
      <c r="D155" s="50">
        <v>93.77</v>
      </c>
      <c r="E155" s="17">
        <f t="shared" si="4"/>
        <v>0</v>
      </c>
      <c r="F155" s="17">
        <f t="shared" si="5"/>
        <v>0</v>
      </c>
    </row>
    <row r="156" spans="1:6">
      <c r="A156" s="17">
        <v>0.54049999999999998</v>
      </c>
      <c r="B156" s="50">
        <v>1.3160000000000001</v>
      </c>
      <c r="C156" s="50">
        <v>0.3332</v>
      </c>
      <c r="D156" s="50">
        <v>94.65</v>
      </c>
      <c r="E156" s="17">
        <f t="shared" si="4"/>
        <v>0</v>
      </c>
      <c r="F156" s="17">
        <f t="shared" si="5"/>
        <v>0</v>
      </c>
    </row>
    <row r="157" spans="1:6">
      <c r="A157" s="17">
        <v>0.54849999999999999</v>
      </c>
      <c r="B157" s="50">
        <v>1.2949999999999999</v>
      </c>
      <c r="C157" s="50">
        <v>0.3332</v>
      </c>
      <c r="D157" s="50">
        <v>96.33</v>
      </c>
      <c r="E157" s="17">
        <f t="shared" si="4"/>
        <v>0</v>
      </c>
      <c r="F157" s="17">
        <f t="shared" si="5"/>
        <v>0</v>
      </c>
    </row>
    <row r="158" spans="1:6">
      <c r="A158" s="17">
        <v>0.55649999999999999</v>
      </c>
      <c r="B158" s="50">
        <v>1.282</v>
      </c>
      <c r="C158" s="50">
        <v>0.3332</v>
      </c>
      <c r="D158" s="50">
        <v>98.19</v>
      </c>
      <c r="E158" s="17">
        <f t="shared" si="4"/>
        <v>0</v>
      </c>
      <c r="F158" s="17">
        <f t="shared" si="5"/>
        <v>0</v>
      </c>
    </row>
    <row r="159" spans="1:6">
      <c r="A159" s="17">
        <v>0.5645</v>
      </c>
      <c r="B159" s="50">
        <v>1.274</v>
      </c>
      <c r="C159" s="50">
        <v>0.315</v>
      </c>
      <c r="D159" s="50">
        <v>99.21</v>
      </c>
      <c r="E159" s="17">
        <f t="shared" si="4"/>
        <v>0</v>
      </c>
      <c r="F159" s="17">
        <f t="shared" si="5"/>
        <v>0</v>
      </c>
    </row>
    <row r="160" spans="1:6">
      <c r="A160" s="17">
        <v>0.57250000000000001</v>
      </c>
      <c r="B160" s="50">
        <v>1.248</v>
      </c>
      <c r="C160" s="50">
        <v>0.315</v>
      </c>
      <c r="D160" s="50">
        <v>99.94</v>
      </c>
      <c r="E160" s="17">
        <f t="shared" si="4"/>
        <v>0</v>
      </c>
      <c r="F160" s="17">
        <f t="shared" si="5"/>
        <v>0</v>
      </c>
    </row>
    <row r="161" spans="1:6">
      <c r="A161" s="17">
        <v>0.58050000000000002</v>
      </c>
      <c r="B161" s="50">
        <v>1.2190000000000001</v>
      </c>
      <c r="C161" s="50">
        <v>0.315</v>
      </c>
      <c r="D161" s="50">
        <v>101</v>
      </c>
      <c r="E161" s="17">
        <f t="shared" si="4"/>
        <v>0</v>
      </c>
      <c r="F161" s="17">
        <f t="shared" si="5"/>
        <v>0</v>
      </c>
    </row>
    <row r="162" spans="1:6">
      <c r="A162" s="17">
        <v>0.58850000000000002</v>
      </c>
      <c r="B162" s="50">
        <v>1.208</v>
      </c>
      <c r="C162" s="50">
        <v>0.315</v>
      </c>
      <c r="D162" s="50">
        <v>101.5</v>
      </c>
      <c r="E162" s="17">
        <f t="shared" si="4"/>
        <v>0</v>
      </c>
      <c r="F162" s="17">
        <f t="shared" si="5"/>
        <v>0</v>
      </c>
    </row>
    <row r="163" spans="1:6">
      <c r="A163" s="17">
        <v>0.59650000000000003</v>
      </c>
      <c r="B163" s="50">
        <v>1.1990000000000001</v>
      </c>
      <c r="C163" s="50">
        <v>0.315</v>
      </c>
      <c r="D163" s="50">
        <v>101.6</v>
      </c>
      <c r="E163" s="17">
        <f t="shared" si="4"/>
        <v>0</v>
      </c>
      <c r="F163" s="17">
        <f t="shared" si="5"/>
        <v>0</v>
      </c>
    </row>
    <row r="164" spans="1:6">
      <c r="A164" s="17">
        <v>0.60850000000000004</v>
      </c>
      <c r="B164" s="50">
        <v>1.1599999999999999</v>
      </c>
      <c r="C164" s="50">
        <v>0.315</v>
      </c>
      <c r="D164" s="50">
        <v>102.2</v>
      </c>
      <c r="E164" s="17">
        <f t="shared" si="4"/>
        <v>0</v>
      </c>
      <c r="F164" s="17">
        <f t="shared" si="5"/>
        <v>0</v>
      </c>
    </row>
    <row r="165" spans="1:6">
      <c r="A165" s="17">
        <v>0.62450000000000006</v>
      </c>
      <c r="B165" s="50">
        <v>1.131</v>
      </c>
      <c r="C165" s="50">
        <v>0.315</v>
      </c>
      <c r="D165" s="50">
        <v>102.3</v>
      </c>
      <c r="E165" s="17">
        <f t="shared" si="4"/>
        <v>0</v>
      </c>
      <c r="F165" s="17">
        <f t="shared" si="5"/>
        <v>0</v>
      </c>
    </row>
    <row r="166" spans="1:6">
      <c r="A166" s="17">
        <v>0.64049999999999996</v>
      </c>
      <c r="B166" s="50">
        <v>1.016</v>
      </c>
      <c r="C166" s="50">
        <v>0.315</v>
      </c>
      <c r="D166" s="50">
        <v>102.1</v>
      </c>
      <c r="E166" s="17">
        <f t="shared" si="4"/>
        <v>1.016</v>
      </c>
      <c r="F166" s="17">
        <f t="shared" si="5"/>
        <v>102.1</v>
      </c>
    </row>
    <row r="167" spans="1:6">
      <c r="A167" s="17">
        <v>0.65649999999999997</v>
      </c>
      <c r="B167" s="17">
        <v>1.004</v>
      </c>
      <c r="C167" s="50">
        <v>0.315</v>
      </c>
      <c r="D167" s="50">
        <v>101.8</v>
      </c>
      <c r="E167" s="17">
        <f t="shared" si="4"/>
        <v>1.004</v>
      </c>
      <c r="F167" s="17">
        <f t="shared" si="5"/>
        <v>101.8</v>
      </c>
    </row>
    <row r="168" spans="1:6">
      <c r="A168" s="17">
        <v>0.67249999999999999</v>
      </c>
      <c r="B168" s="17">
        <v>1.002</v>
      </c>
      <c r="C168" s="50">
        <v>0.315</v>
      </c>
      <c r="D168" s="50">
        <v>101.5</v>
      </c>
      <c r="E168" s="17">
        <f t="shared" si="4"/>
        <v>1.002</v>
      </c>
      <c r="F168" s="17">
        <f t="shared" si="5"/>
        <v>101.5</v>
      </c>
    </row>
    <row r="169" spans="1:6">
      <c r="A169" s="17">
        <v>0.6885</v>
      </c>
      <c r="B169" s="50">
        <v>0.99860000000000004</v>
      </c>
      <c r="C169" s="50">
        <v>0.315</v>
      </c>
      <c r="D169" s="50">
        <v>101.5</v>
      </c>
      <c r="E169" s="17">
        <f t="shared" si="4"/>
        <v>0.99860000000000004</v>
      </c>
      <c r="F169" s="17">
        <f t="shared" si="5"/>
        <v>101.5</v>
      </c>
    </row>
    <row r="170" spans="1:6">
      <c r="A170" s="17">
        <v>0.70450000000000002</v>
      </c>
      <c r="B170" s="50">
        <v>0.99709999999999999</v>
      </c>
      <c r="C170" s="50">
        <v>0.315</v>
      </c>
      <c r="D170" s="50">
        <v>101.8</v>
      </c>
      <c r="E170" s="17">
        <f t="shared" si="4"/>
        <v>0.99709999999999999</v>
      </c>
      <c r="F170" s="17">
        <f t="shared" si="5"/>
        <v>101.8</v>
      </c>
    </row>
    <row r="171" spans="1:6">
      <c r="A171" s="17">
        <v>0.72050000000000003</v>
      </c>
      <c r="B171" s="50">
        <v>0.99460000000000004</v>
      </c>
      <c r="C171" s="50">
        <v>0.315</v>
      </c>
      <c r="D171" s="50">
        <v>102.2</v>
      </c>
      <c r="E171" s="17">
        <f t="shared" si="4"/>
        <v>0.99460000000000004</v>
      </c>
      <c r="F171" s="17">
        <f t="shared" si="5"/>
        <v>102.2</v>
      </c>
    </row>
    <row r="172" spans="1:6">
      <c r="A172" s="17">
        <v>0.73650000000000004</v>
      </c>
      <c r="B172" s="50">
        <v>1</v>
      </c>
      <c r="C172" s="50">
        <v>0.315</v>
      </c>
      <c r="D172" s="50">
        <v>102.4</v>
      </c>
      <c r="E172" s="17">
        <f t="shared" si="4"/>
        <v>1</v>
      </c>
      <c r="F172" s="17">
        <f t="shared" si="5"/>
        <v>102.4</v>
      </c>
    </row>
    <row r="173" spans="1:6">
      <c r="A173" s="17">
        <v>0.75249999999999995</v>
      </c>
      <c r="B173" s="50">
        <v>0.99680000000000002</v>
      </c>
      <c r="C173" s="50">
        <v>0.315</v>
      </c>
      <c r="D173" s="50">
        <v>102.5</v>
      </c>
      <c r="E173" s="17">
        <f t="shared" si="4"/>
        <v>0.99680000000000002</v>
      </c>
      <c r="F173" s="17">
        <f t="shared" si="5"/>
        <v>102.5</v>
      </c>
    </row>
    <row r="174" spans="1:6">
      <c r="A174" s="17">
        <v>0.76849999999999996</v>
      </c>
      <c r="B174" s="50">
        <v>0.99580000000000002</v>
      </c>
      <c r="C174" s="50">
        <v>0.315</v>
      </c>
      <c r="D174" s="50">
        <v>103</v>
      </c>
      <c r="E174" s="17">
        <f t="shared" si="4"/>
        <v>0.99580000000000002</v>
      </c>
      <c r="F174" s="17">
        <f t="shared" si="5"/>
        <v>103</v>
      </c>
    </row>
    <row r="175" spans="1:6">
      <c r="A175" s="17">
        <v>0.78449999999999998</v>
      </c>
      <c r="B175" s="50">
        <v>0.99670000000000003</v>
      </c>
      <c r="C175" s="50">
        <v>0.30890000000000001</v>
      </c>
      <c r="D175" s="50">
        <v>103.3</v>
      </c>
      <c r="E175" s="17">
        <f t="shared" si="4"/>
        <v>0.99670000000000003</v>
      </c>
      <c r="F175" s="17">
        <f t="shared" si="5"/>
        <v>103.3</v>
      </c>
    </row>
    <row r="176" spans="1:6">
      <c r="A176" s="17">
        <v>0.80049999999999999</v>
      </c>
      <c r="B176" s="50">
        <v>0.996</v>
      </c>
      <c r="C176" s="50">
        <v>0.30890000000000001</v>
      </c>
      <c r="D176" s="50">
        <v>103.8</v>
      </c>
      <c r="E176" s="17">
        <f t="shared" si="4"/>
        <v>0.996</v>
      </c>
      <c r="F176" s="17">
        <f t="shared" si="5"/>
        <v>103.8</v>
      </c>
    </row>
    <row r="177" spans="1:6">
      <c r="A177" s="17">
        <v>0.8165</v>
      </c>
      <c r="B177" s="50">
        <v>0.99960000000000004</v>
      </c>
      <c r="C177" s="50">
        <v>0.30890000000000001</v>
      </c>
      <c r="D177" s="50">
        <v>103.8</v>
      </c>
      <c r="E177" s="17">
        <f t="shared" si="4"/>
        <v>0.99960000000000004</v>
      </c>
      <c r="F177" s="17">
        <f t="shared" si="5"/>
        <v>103.8</v>
      </c>
    </row>
    <row r="178" spans="1:6">
      <c r="A178" s="17">
        <v>0.83250000000000002</v>
      </c>
      <c r="B178" s="50">
        <v>0.99390000000000001</v>
      </c>
      <c r="C178" s="50">
        <v>0.30890000000000001</v>
      </c>
      <c r="D178" s="50">
        <v>104.3</v>
      </c>
      <c r="E178" s="17">
        <f t="shared" si="4"/>
        <v>0.99390000000000001</v>
      </c>
      <c r="F178" s="17">
        <f t="shared" si="5"/>
        <v>104.3</v>
      </c>
    </row>
    <row r="179" spans="1:6">
      <c r="A179" s="17">
        <v>0.84850000000000003</v>
      </c>
      <c r="B179" s="50">
        <v>1.0009999999999999</v>
      </c>
      <c r="C179" s="50">
        <v>0.30890000000000001</v>
      </c>
      <c r="D179" s="50">
        <v>104.4</v>
      </c>
      <c r="E179" s="17">
        <f t="shared" si="4"/>
        <v>1.0009999999999999</v>
      </c>
      <c r="F179" s="17">
        <f t="shared" si="5"/>
        <v>104.4</v>
      </c>
    </row>
    <row r="180" spans="1:6">
      <c r="A180" s="17">
        <v>0.86450000000000005</v>
      </c>
      <c r="B180" s="17">
        <v>0.99339999999999995</v>
      </c>
      <c r="C180" s="50">
        <v>0.30890000000000001</v>
      </c>
      <c r="D180" s="50">
        <v>104.8</v>
      </c>
      <c r="E180" s="17">
        <f t="shared" si="4"/>
        <v>0.99339999999999995</v>
      </c>
      <c r="F180" s="17">
        <f t="shared" si="5"/>
        <v>104.8</v>
      </c>
    </row>
    <row r="181" spans="1:6">
      <c r="A181" s="17">
        <v>0.88049999999999995</v>
      </c>
      <c r="B181" s="17">
        <v>0.99829999999999997</v>
      </c>
      <c r="C181" s="50">
        <v>0.30890000000000001</v>
      </c>
      <c r="D181" s="50">
        <v>105.2</v>
      </c>
      <c r="E181" s="17">
        <f t="shared" si="4"/>
        <v>0.99829999999999997</v>
      </c>
      <c r="F181" s="17">
        <f t="shared" si="5"/>
        <v>105.2</v>
      </c>
    </row>
    <row r="182" spans="1:6">
      <c r="A182" s="17">
        <v>0.89649999999999996</v>
      </c>
      <c r="B182" s="17">
        <v>0.99760000000000004</v>
      </c>
      <c r="C182" s="50">
        <v>0.30890000000000001</v>
      </c>
      <c r="D182" s="50">
        <v>105.3</v>
      </c>
      <c r="E182" s="17">
        <f t="shared" si="4"/>
        <v>0.99760000000000004</v>
      </c>
      <c r="F182" s="17">
        <f t="shared" si="5"/>
        <v>105.3</v>
      </c>
    </row>
    <row r="183" spans="1:6">
      <c r="A183" s="17">
        <v>0.91249999999999998</v>
      </c>
      <c r="B183" s="50">
        <v>0.99929999999999997</v>
      </c>
      <c r="C183" s="50">
        <v>0.30890000000000001</v>
      </c>
      <c r="D183" s="50">
        <v>105.4</v>
      </c>
      <c r="E183" s="17">
        <f t="shared" si="4"/>
        <v>0.99929999999999997</v>
      </c>
      <c r="F183" s="17">
        <f t="shared" si="5"/>
        <v>105.4</v>
      </c>
    </row>
    <row r="184" spans="1:6">
      <c r="A184" s="17">
        <v>0.92849999999999999</v>
      </c>
      <c r="B184" s="50">
        <v>0.99339999999999995</v>
      </c>
      <c r="C184" s="50">
        <v>0.30890000000000001</v>
      </c>
      <c r="D184" s="50">
        <v>105.9</v>
      </c>
      <c r="E184" s="17">
        <f t="shared" si="4"/>
        <v>0.99339999999999995</v>
      </c>
      <c r="F184" s="17">
        <f t="shared" si="5"/>
        <v>105.9</v>
      </c>
    </row>
    <row r="185" spans="1:6">
      <c r="A185" s="17">
        <v>0.94450000000000001</v>
      </c>
      <c r="B185" s="50">
        <v>0.99839999999999995</v>
      </c>
      <c r="C185" s="50">
        <v>0.30890000000000001</v>
      </c>
      <c r="D185" s="50">
        <v>106.4</v>
      </c>
      <c r="E185" s="17">
        <f t="shared" si="4"/>
        <v>0.99839999999999995</v>
      </c>
      <c r="F185" s="17">
        <f t="shared" si="5"/>
        <v>106.4</v>
      </c>
    </row>
    <row r="186" spans="1:6">
      <c r="A186" s="17">
        <v>0.96050000000000002</v>
      </c>
      <c r="B186" s="50">
        <v>1.0009999999999999</v>
      </c>
      <c r="C186" s="50">
        <v>0.30890000000000001</v>
      </c>
      <c r="D186" s="50">
        <v>106.2</v>
      </c>
      <c r="E186" s="17">
        <f t="shared" si="4"/>
        <v>1.0009999999999999</v>
      </c>
      <c r="F186" s="17">
        <f t="shared" si="5"/>
        <v>106.2</v>
      </c>
    </row>
    <row r="187" spans="1:6">
      <c r="A187" s="17">
        <v>0.97650000000000003</v>
      </c>
      <c r="B187" s="50">
        <v>0.99670000000000003</v>
      </c>
      <c r="C187" s="50">
        <v>0.30890000000000001</v>
      </c>
      <c r="D187" s="50">
        <v>106.4</v>
      </c>
      <c r="E187" s="17">
        <f t="shared" si="4"/>
        <v>0.99670000000000003</v>
      </c>
      <c r="F187" s="17">
        <f t="shared" si="5"/>
        <v>106.4</v>
      </c>
    </row>
    <row r="188" spans="1:6">
      <c r="A188" s="17">
        <v>0.99250000000000005</v>
      </c>
      <c r="B188" s="50">
        <v>0.99770000000000003</v>
      </c>
      <c r="C188" s="50">
        <v>0.30890000000000001</v>
      </c>
      <c r="D188" s="50">
        <v>106.7</v>
      </c>
      <c r="E188" s="17">
        <f t="shared" si="4"/>
        <v>0.99770000000000003</v>
      </c>
      <c r="F188" s="17">
        <f t="shared" si="5"/>
        <v>106.7</v>
      </c>
    </row>
    <row r="189" spans="1:6">
      <c r="A189" s="17">
        <v>1.0085</v>
      </c>
      <c r="B189" s="50">
        <v>0.99670000000000003</v>
      </c>
      <c r="C189" s="50">
        <v>0.30890000000000001</v>
      </c>
      <c r="D189" s="50">
        <v>107</v>
      </c>
      <c r="E189" s="17">
        <f t="shared" si="4"/>
        <v>0.99670000000000003</v>
      </c>
      <c r="F189" s="17">
        <f t="shared" si="5"/>
        <v>107</v>
      </c>
    </row>
    <row r="190" spans="1:6">
      <c r="A190" s="17">
        <v>1.0245</v>
      </c>
      <c r="B190" s="50">
        <v>0.99990000000000001</v>
      </c>
      <c r="C190" s="50">
        <v>0.30890000000000001</v>
      </c>
      <c r="D190" s="50">
        <v>107.1</v>
      </c>
      <c r="E190" s="17">
        <f t="shared" si="4"/>
        <v>0.99990000000000001</v>
      </c>
      <c r="F190" s="17">
        <f t="shared" si="5"/>
        <v>107.1</v>
      </c>
    </row>
    <row r="191" spans="1:6">
      <c r="A191" s="17">
        <v>1.0405</v>
      </c>
      <c r="B191" s="50">
        <v>0.99919999999999998</v>
      </c>
      <c r="C191" s="50">
        <v>0.312</v>
      </c>
      <c r="D191" s="50">
        <v>107.2</v>
      </c>
      <c r="E191" s="17">
        <f t="shared" si="4"/>
        <v>0.99919999999999998</v>
      </c>
      <c r="F191" s="17">
        <f t="shared" si="5"/>
        <v>107.2</v>
      </c>
    </row>
    <row r="192" spans="1:6">
      <c r="A192" s="17">
        <v>1.0565</v>
      </c>
      <c r="B192" s="50">
        <v>0.99690000000000001</v>
      </c>
      <c r="C192" s="50">
        <v>0.312</v>
      </c>
      <c r="D192" s="50">
        <v>107.2</v>
      </c>
      <c r="E192" s="17">
        <f t="shared" si="4"/>
        <v>0.99690000000000001</v>
      </c>
      <c r="F192" s="17">
        <f t="shared" si="5"/>
        <v>107.2</v>
      </c>
    </row>
    <row r="193" spans="1:6">
      <c r="A193" s="17">
        <v>1.0725</v>
      </c>
      <c r="B193" s="50">
        <v>0.99960000000000004</v>
      </c>
      <c r="C193" s="50">
        <v>0.312</v>
      </c>
      <c r="D193" s="50">
        <v>107.4</v>
      </c>
      <c r="E193" s="17">
        <f t="shared" si="4"/>
        <v>0.99960000000000004</v>
      </c>
      <c r="F193" s="17">
        <f t="shared" si="5"/>
        <v>107.4</v>
      </c>
    </row>
    <row r="194" spans="1:6">
      <c r="A194" s="17">
        <v>1.0885</v>
      </c>
      <c r="B194" s="50">
        <v>0.99729999999999996</v>
      </c>
      <c r="C194" s="50">
        <v>0.312</v>
      </c>
      <c r="D194" s="50">
        <v>107.7</v>
      </c>
      <c r="E194" s="17">
        <f t="shared" si="4"/>
        <v>0.99729999999999996</v>
      </c>
      <c r="F194" s="17">
        <f t="shared" si="5"/>
        <v>107.7</v>
      </c>
    </row>
    <row r="195" spans="1:6">
      <c r="A195" s="17">
        <v>1.1045</v>
      </c>
      <c r="B195" s="50">
        <v>0.99890000000000001</v>
      </c>
      <c r="C195" s="50">
        <v>0.312</v>
      </c>
      <c r="D195" s="50">
        <v>107.8</v>
      </c>
      <c r="E195" s="17">
        <f t="shared" si="4"/>
        <v>0.99890000000000001</v>
      </c>
      <c r="F195" s="17">
        <f t="shared" si="5"/>
        <v>107.8</v>
      </c>
    </row>
    <row r="196" spans="1:6">
      <c r="A196" s="17">
        <v>1.1205000000000001</v>
      </c>
      <c r="B196" s="50">
        <v>1.0009999999999999</v>
      </c>
      <c r="C196" s="50">
        <v>0.312</v>
      </c>
      <c r="D196" s="50">
        <v>107.7</v>
      </c>
      <c r="E196" s="17">
        <f t="shared" ref="E196:E259" si="6">IF(B196=MEDIAN($J$1-0.05,$J$1+0.05,B196),B196,0)</f>
        <v>1.0009999999999999</v>
      </c>
      <c r="F196" s="17">
        <f t="shared" ref="F196:F259" si="7">IF(E196=0,0,D196)</f>
        <v>107.7</v>
      </c>
    </row>
    <row r="197" spans="1:6">
      <c r="A197" s="17">
        <v>1.1365000000000001</v>
      </c>
      <c r="B197" s="50">
        <v>0.99850000000000005</v>
      </c>
      <c r="C197" s="50">
        <v>0.312</v>
      </c>
      <c r="D197" s="50">
        <v>107.9</v>
      </c>
      <c r="E197" s="17">
        <f t="shared" si="6"/>
        <v>0.99850000000000005</v>
      </c>
      <c r="F197" s="17">
        <f t="shared" si="7"/>
        <v>107.9</v>
      </c>
    </row>
    <row r="198" spans="1:6">
      <c r="A198" s="17">
        <v>1.1525000000000001</v>
      </c>
      <c r="B198" s="50">
        <v>0.99560000000000004</v>
      </c>
      <c r="C198" s="50">
        <v>0.312</v>
      </c>
      <c r="D198" s="50">
        <v>108.2</v>
      </c>
      <c r="E198" s="17">
        <f t="shared" si="6"/>
        <v>0.99560000000000004</v>
      </c>
      <c r="F198" s="17">
        <f t="shared" si="7"/>
        <v>108.2</v>
      </c>
    </row>
    <row r="199" spans="1:6">
      <c r="A199" s="17">
        <v>1.1685000000000001</v>
      </c>
      <c r="B199" s="50">
        <v>1.0009999999999999</v>
      </c>
      <c r="C199" s="50">
        <v>0.312</v>
      </c>
      <c r="D199" s="50">
        <v>108.4</v>
      </c>
      <c r="E199" s="17">
        <f t="shared" si="6"/>
        <v>1.0009999999999999</v>
      </c>
      <c r="F199" s="17">
        <f t="shared" si="7"/>
        <v>108.4</v>
      </c>
    </row>
    <row r="200" spans="1:6">
      <c r="A200" s="17">
        <v>1.1845000000000001</v>
      </c>
      <c r="B200" s="50">
        <v>1.002</v>
      </c>
      <c r="C200" s="50">
        <v>0.312</v>
      </c>
      <c r="D200" s="50">
        <v>108.2</v>
      </c>
      <c r="E200" s="17">
        <f t="shared" si="6"/>
        <v>1.002</v>
      </c>
      <c r="F200" s="17">
        <f t="shared" si="7"/>
        <v>108.2</v>
      </c>
    </row>
    <row r="201" spans="1:6">
      <c r="A201" s="17">
        <v>1.2004999999999999</v>
      </c>
      <c r="B201" s="50">
        <v>0.99660000000000004</v>
      </c>
      <c r="C201" s="50">
        <v>0.312</v>
      </c>
      <c r="D201" s="50">
        <v>108.2</v>
      </c>
      <c r="E201" s="17">
        <f t="shared" si="6"/>
        <v>0.99660000000000004</v>
      </c>
      <c r="F201" s="17">
        <f t="shared" si="7"/>
        <v>108.2</v>
      </c>
    </row>
    <row r="202" spans="1:6">
      <c r="A202" s="17">
        <v>1.2164999999999999</v>
      </c>
      <c r="B202" s="50">
        <v>0.99750000000000005</v>
      </c>
      <c r="C202" s="50">
        <v>0.312</v>
      </c>
      <c r="D202" s="50">
        <v>108.6</v>
      </c>
      <c r="E202" s="17">
        <f t="shared" si="6"/>
        <v>0.99750000000000005</v>
      </c>
      <c r="F202" s="17">
        <f t="shared" si="7"/>
        <v>108.6</v>
      </c>
    </row>
    <row r="203" spans="1:6">
      <c r="A203" s="17">
        <v>1.2324999999999999</v>
      </c>
      <c r="B203" s="50">
        <v>0.99929999999999997</v>
      </c>
      <c r="C203" s="50">
        <v>0.312</v>
      </c>
      <c r="D203" s="50">
        <v>108.7</v>
      </c>
      <c r="E203" s="17">
        <f t="shared" si="6"/>
        <v>0.99929999999999997</v>
      </c>
      <c r="F203" s="17">
        <f t="shared" si="7"/>
        <v>108.7</v>
      </c>
    </row>
    <row r="204" spans="1:6">
      <c r="A204" s="17">
        <v>1.2565</v>
      </c>
      <c r="B204" s="17">
        <v>1</v>
      </c>
      <c r="C204" s="50">
        <v>0.312</v>
      </c>
      <c r="D204" s="17">
        <v>108.6</v>
      </c>
      <c r="E204" s="17">
        <f t="shared" si="6"/>
        <v>1</v>
      </c>
      <c r="F204" s="17">
        <f t="shared" si="7"/>
        <v>108.6</v>
      </c>
    </row>
    <row r="205" spans="1:6">
      <c r="A205" s="17">
        <v>1.2885</v>
      </c>
      <c r="B205" s="17">
        <v>0.99850000000000005</v>
      </c>
      <c r="C205" s="17">
        <v>0.31390000000000001</v>
      </c>
      <c r="D205" s="17">
        <v>108.9</v>
      </c>
      <c r="E205" s="17">
        <f t="shared" si="6"/>
        <v>0.99850000000000005</v>
      </c>
      <c r="F205" s="17">
        <f t="shared" si="7"/>
        <v>108.9</v>
      </c>
    </row>
    <row r="206" spans="1:6">
      <c r="A206" s="17">
        <v>1.3205</v>
      </c>
      <c r="B206" s="17">
        <v>0.99970000000000003</v>
      </c>
      <c r="C206" s="17">
        <v>0.31390000000000001</v>
      </c>
      <c r="D206" s="17">
        <v>109</v>
      </c>
      <c r="E206" s="17">
        <f t="shared" si="6"/>
        <v>0.99970000000000003</v>
      </c>
      <c r="F206" s="17">
        <f t="shared" si="7"/>
        <v>109</v>
      </c>
    </row>
    <row r="207" spans="1:6">
      <c r="A207" s="17">
        <v>1.3525</v>
      </c>
      <c r="B207" s="17">
        <v>0.99939999999999996</v>
      </c>
      <c r="C207" s="17">
        <v>0.31390000000000001</v>
      </c>
      <c r="D207" s="17">
        <v>109.1</v>
      </c>
      <c r="E207" s="17">
        <f t="shared" si="6"/>
        <v>0.99939999999999996</v>
      </c>
      <c r="F207" s="17">
        <f t="shared" si="7"/>
        <v>109.1</v>
      </c>
    </row>
    <row r="208" spans="1:6">
      <c r="A208" s="17">
        <v>1.3845000000000001</v>
      </c>
      <c r="B208" s="17">
        <v>0.99990000000000001</v>
      </c>
      <c r="C208" s="17">
        <v>0.31390000000000001</v>
      </c>
      <c r="D208" s="17">
        <v>109.3</v>
      </c>
      <c r="E208" s="17">
        <f t="shared" si="6"/>
        <v>0.99990000000000001</v>
      </c>
      <c r="F208" s="17">
        <f t="shared" si="7"/>
        <v>109.3</v>
      </c>
    </row>
    <row r="209" spans="1:6">
      <c r="A209" s="17">
        <v>1.4165000000000001</v>
      </c>
      <c r="B209" s="17">
        <v>0.99860000000000004</v>
      </c>
      <c r="C209" s="17">
        <v>0.31390000000000001</v>
      </c>
      <c r="D209" s="17">
        <v>109.3</v>
      </c>
      <c r="E209" s="17">
        <f t="shared" si="6"/>
        <v>0.99860000000000004</v>
      </c>
      <c r="F209" s="17">
        <f t="shared" si="7"/>
        <v>109.3</v>
      </c>
    </row>
    <row r="210" spans="1:6">
      <c r="A210" s="17">
        <v>1.4484999999999999</v>
      </c>
      <c r="B210" s="17">
        <v>1</v>
      </c>
      <c r="C210" s="17">
        <v>0.31390000000000001</v>
      </c>
      <c r="D210" s="17">
        <v>109.4</v>
      </c>
      <c r="E210" s="17">
        <f t="shared" si="6"/>
        <v>1</v>
      </c>
      <c r="F210" s="17">
        <f t="shared" si="7"/>
        <v>109.4</v>
      </c>
    </row>
    <row r="211" spans="1:6">
      <c r="A211" s="17">
        <v>1.4804999999999999</v>
      </c>
      <c r="B211" s="17">
        <v>0.998</v>
      </c>
      <c r="C211" s="17">
        <v>0.31390000000000001</v>
      </c>
      <c r="D211" s="17">
        <v>109.4</v>
      </c>
      <c r="E211" s="17">
        <f t="shared" si="6"/>
        <v>0.998</v>
      </c>
      <c r="F211" s="17">
        <f t="shared" si="7"/>
        <v>109.4</v>
      </c>
    </row>
    <row r="212" spans="1:6">
      <c r="A212" s="17">
        <v>1.5125</v>
      </c>
      <c r="B212" s="17">
        <v>0.99970000000000003</v>
      </c>
      <c r="C212" s="17">
        <v>0.31390000000000001</v>
      </c>
      <c r="D212" s="17">
        <v>109.5</v>
      </c>
      <c r="E212" s="17">
        <f t="shared" si="6"/>
        <v>0.99970000000000003</v>
      </c>
      <c r="F212" s="17">
        <f t="shared" si="7"/>
        <v>109.5</v>
      </c>
    </row>
    <row r="213" spans="1:6">
      <c r="A213" s="17">
        <v>1.5445</v>
      </c>
      <c r="B213" s="17">
        <v>1</v>
      </c>
      <c r="C213" s="17">
        <v>0.311</v>
      </c>
      <c r="D213" s="17">
        <v>109.6</v>
      </c>
      <c r="E213" s="17">
        <f t="shared" si="6"/>
        <v>1</v>
      </c>
      <c r="F213" s="17">
        <f t="shared" si="7"/>
        <v>109.6</v>
      </c>
    </row>
    <row r="214" spans="1:6">
      <c r="A214" s="17">
        <v>1.5765</v>
      </c>
      <c r="B214" s="17">
        <v>0.99919999999999998</v>
      </c>
      <c r="C214" s="17">
        <v>0.311</v>
      </c>
      <c r="D214" s="17">
        <v>109.7</v>
      </c>
      <c r="E214" s="17">
        <f t="shared" si="6"/>
        <v>0.99919999999999998</v>
      </c>
      <c r="F214" s="17">
        <f t="shared" si="7"/>
        <v>109.7</v>
      </c>
    </row>
    <row r="215" spans="1:6">
      <c r="A215" s="17">
        <v>1.6085</v>
      </c>
      <c r="B215" s="17">
        <v>1.0009999999999999</v>
      </c>
      <c r="C215" s="17">
        <v>0.311</v>
      </c>
      <c r="D215" s="17">
        <v>109.7</v>
      </c>
      <c r="E215" s="17">
        <f t="shared" si="6"/>
        <v>1.0009999999999999</v>
      </c>
      <c r="F215" s="17">
        <f t="shared" si="7"/>
        <v>109.7</v>
      </c>
    </row>
    <row r="216" spans="1:6">
      <c r="A216" s="17">
        <v>1.6405000000000001</v>
      </c>
      <c r="B216" s="17">
        <v>0.99970000000000003</v>
      </c>
      <c r="C216" s="17">
        <v>0.311</v>
      </c>
      <c r="D216" s="17">
        <v>109.7</v>
      </c>
      <c r="E216" s="17">
        <f t="shared" si="6"/>
        <v>0.99970000000000003</v>
      </c>
      <c r="F216" s="17">
        <f t="shared" si="7"/>
        <v>109.7</v>
      </c>
    </row>
    <row r="217" spans="1:6">
      <c r="A217" s="17">
        <v>1.6725000000000001</v>
      </c>
      <c r="B217" s="17">
        <v>0.99909999999999999</v>
      </c>
      <c r="C217" s="17">
        <v>0.311</v>
      </c>
      <c r="D217" s="17">
        <v>109.8</v>
      </c>
      <c r="E217" s="17">
        <f t="shared" si="6"/>
        <v>0.99909999999999999</v>
      </c>
      <c r="F217" s="17">
        <f t="shared" si="7"/>
        <v>109.8</v>
      </c>
    </row>
    <row r="218" spans="1:6">
      <c r="A218" s="17">
        <v>1.7044999999999999</v>
      </c>
      <c r="B218" s="17">
        <v>1</v>
      </c>
      <c r="C218" s="17">
        <v>0.311</v>
      </c>
      <c r="D218" s="17">
        <v>109.8</v>
      </c>
      <c r="E218" s="17">
        <f t="shared" si="6"/>
        <v>1</v>
      </c>
      <c r="F218" s="17">
        <f t="shared" si="7"/>
        <v>109.8</v>
      </c>
    </row>
    <row r="219" spans="1:6">
      <c r="A219" s="17">
        <v>1.7364999999999999</v>
      </c>
      <c r="B219" s="17">
        <v>0.99970000000000003</v>
      </c>
      <c r="C219" s="17">
        <v>0.311</v>
      </c>
      <c r="D219" s="17">
        <v>109.9</v>
      </c>
      <c r="E219" s="17">
        <f t="shared" si="6"/>
        <v>0.99970000000000003</v>
      </c>
      <c r="F219" s="17">
        <f t="shared" si="7"/>
        <v>109.9</v>
      </c>
    </row>
    <row r="220" spans="1:6">
      <c r="A220" s="17">
        <v>1.7685</v>
      </c>
      <c r="B220" s="17">
        <v>0.99980000000000002</v>
      </c>
      <c r="C220" s="17">
        <v>0.311</v>
      </c>
      <c r="D220" s="17">
        <v>109.8</v>
      </c>
      <c r="E220" s="17">
        <f t="shared" si="6"/>
        <v>0.99980000000000002</v>
      </c>
      <c r="F220" s="17">
        <f t="shared" si="7"/>
        <v>109.8</v>
      </c>
    </row>
    <row r="221" spans="1:6">
      <c r="A221" s="17">
        <v>1.8005</v>
      </c>
      <c r="B221" s="17">
        <v>0.99990000000000001</v>
      </c>
      <c r="C221" s="17">
        <v>0.30890000000000001</v>
      </c>
      <c r="D221" s="17">
        <v>109.9</v>
      </c>
      <c r="E221" s="17">
        <f t="shared" si="6"/>
        <v>0.99990000000000001</v>
      </c>
      <c r="F221" s="17">
        <f t="shared" si="7"/>
        <v>109.9</v>
      </c>
    </row>
    <row r="222" spans="1:6">
      <c r="A222" s="17">
        <v>1.8325</v>
      </c>
      <c r="B222" s="17">
        <v>0.99990000000000001</v>
      </c>
      <c r="C222" s="17">
        <v>0.30890000000000001</v>
      </c>
      <c r="D222" s="17">
        <v>109.9</v>
      </c>
      <c r="E222" s="17">
        <f t="shared" si="6"/>
        <v>0.99990000000000001</v>
      </c>
      <c r="F222" s="17">
        <f t="shared" si="7"/>
        <v>109.9</v>
      </c>
    </row>
    <row r="223" spans="1:6">
      <c r="A223" s="17">
        <v>1.8645</v>
      </c>
      <c r="B223" s="17">
        <v>1</v>
      </c>
      <c r="C223" s="17">
        <v>0.30890000000000001</v>
      </c>
      <c r="D223" s="17">
        <v>109.8</v>
      </c>
      <c r="E223" s="17">
        <f t="shared" si="6"/>
        <v>1</v>
      </c>
      <c r="F223" s="17">
        <f t="shared" si="7"/>
        <v>109.8</v>
      </c>
    </row>
    <row r="224" spans="1:6">
      <c r="A224" s="17">
        <v>1.8965000000000001</v>
      </c>
      <c r="B224" s="17">
        <v>0.99980000000000002</v>
      </c>
      <c r="C224" s="17">
        <v>0.30890000000000001</v>
      </c>
      <c r="D224" s="17">
        <v>110</v>
      </c>
      <c r="E224" s="17">
        <f t="shared" si="6"/>
        <v>0.99980000000000002</v>
      </c>
      <c r="F224" s="17">
        <f t="shared" si="7"/>
        <v>110</v>
      </c>
    </row>
    <row r="225" spans="1:6">
      <c r="A225" s="17">
        <v>1.9285000000000001</v>
      </c>
      <c r="B225" s="17">
        <v>1.0009999999999999</v>
      </c>
      <c r="C225" s="17">
        <v>0.30890000000000001</v>
      </c>
      <c r="D225" s="17">
        <v>109.8</v>
      </c>
      <c r="E225" s="17">
        <f t="shared" si="6"/>
        <v>1.0009999999999999</v>
      </c>
      <c r="F225" s="17">
        <f t="shared" si="7"/>
        <v>109.8</v>
      </c>
    </row>
    <row r="226" spans="1:6">
      <c r="A226" s="17">
        <v>1.9604999999999999</v>
      </c>
      <c r="B226" s="17">
        <v>0.99880000000000002</v>
      </c>
      <c r="C226" s="17">
        <v>0.30890000000000001</v>
      </c>
      <c r="D226" s="17">
        <v>110</v>
      </c>
      <c r="E226" s="17">
        <f t="shared" si="6"/>
        <v>0.99880000000000002</v>
      </c>
      <c r="F226" s="17">
        <f t="shared" si="7"/>
        <v>110</v>
      </c>
    </row>
    <row r="227" spans="1:6">
      <c r="A227" s="17">
        <v>1.9924999999999999</v>
      </c>
      <c r="B227" s="17">
        <v>1</v>
      </c>
      <c r="C227" s="17">
        <v>0.30890000000000001</v>
      </c>
      <c r="D227" s="17">
        <v>109.9</v>
      </c>
      <c r="E227" s="17">
        <f t="shared" si="6"/>
        <v>1</v>
      </c>
      <c r="F227" s="17">
        <f t="shared" si="7"/>
        <v>109.9</v>
      </c>
    </row>
    <row r="228" spans="1:6">
      <c r="A228" s="17">
        <v>2.0245000000000002</v>
      </c>
      <c r="B228" s="17">
        <v>0.99919999999999998</v>
      </c>
      <c r="C228" s="50">
        <v>0.3044</v>
      </c>
      <c r="D228" s="17">
        <v>109.9</v>
      </c>
      <c r="E228" s="17">
        <f t="shared" si="6"/>
        <v>0.99919999999999998</v>
      </c>
      <c r="F228" s="17">
        <f t="shared" si="7"/>
        <v>109.9</v>
      </c>
    </row>
    <row r="229" spans="1:6">
      <c r="A229" s="17">
        <v>2.0565000000000002</v>
      </c>
      <c r="B229" s="17">
        <v>1.002</v>
      </c>
      <c r="C229" s="50">
        <v>0.3044</v>
      </c>
      <c r="D229" s="17">
        <v>109.9</v>
      </c>
      <c r="E229" s="17">
        <f t="shared" si="6"/>
        <v>1.002</v>
      </c>
      <c r="F229" s="17">
        <f t="shared" si="7"/>
        <v>109.9</v>
      </c>
    </row>
    <row r="230" spans="1:6">
      <c r="A230" s="17">
        <v>2.0884999999999998</v>
      </c>
      <c r="B230" s="17">
        <v>0.99809999999999999</v>
      </c>
      <c r="C230" s="50">
        <v>0.3044</v>
      </c>
      <c r="D230" s="17">
        <v>109.9</v>
      </c>
      <c r="E230" s="17">
        <f t="shared" si="6"/>
        <v>0.99809999999999999</v>
      </c>
      <c r="F230" s="17">
        <f t="shared" si="7"/>
        <v>109.9</v>
      </c>
    </row>
    <row r="231" spans="1:6">
      <c r="A231" s="17">
        <v>2.1204999999999998</v>
      </c>
      <c r="B231" s="17">
        <v>1.002</v>
      </c>
      <c r="C231" s="50">
        <v>0.3044</v>
      </c>
      <c r="D231" s="17">
        <v>109.8</v>
      </c>
      <c r="E231" s="17">
        <f t="shared" si="6"/>
        <v>1.002</v>
      </c>
      <c r="F231" s="17">
        <f t="shared" si="7"/>
        <v>109.8</v>
      </c>
    </row>
    <row r="232" spans="1:6">
      <c r="A232" s="17">
        <v>2.1524999999999999</v>
      </c>
      <c r="B232" s="17">
        <v>0.99990000000000001</v>
      </c>
      <c r="C232" s="50">
        <v>0.3044</v>
      </c>
      <c r="D232" s="17">
        <v>109.9</v>
      </c>
      <c r="E232" s="17">
        <f t="shared" si="6"/>
        <v>0.99990000000000001</v>
      </c>
      <c r="F232" s="17">
        <f t="shared" si="7"/>
        <v>109.9</v>
      </c>
    </row>
    <row r="233" spans="1:6">
      <c r="A233" s="17">
        <v>2.1844999999999999</v>
      </c>
      <c r="B233" s="17">
        <v>0.99960000000000004</v>
      </c>
      <c r="C233" s="50">
        <v>0.3044</v>
      </c>
      <c r="D233" s="17">
        <v>109.9</v>
      </c>
      <c r="E233" s="17">
        <f t="shared" si="6"/>
        <v>0.99960000000000004</v>
      </c>
      <c r="F233" s="17">
        <f t="shared" si="7"/>
        <v>109.9</v>
      </c>
    </row>
    <row r="234" spans="1:6">
      <c r="A234" s="17">
        <v>2.2164999999999999</v>
      </c>
      <c r="B234" s="17">
        <v>1.0009999999999999</v>
      </c>
      <c r="C234" s="50">
        <v>0.3044</v>
      </c>
      <c r="D234" s="17">
        <v>109.8</v>
      </c>
      <c r="E234" s="17">
        <f t="shared" si="6"/>
        <v>1.0009999999999999</v>
      </c>
      <c r="F234" s="17">
        <f t="shared" si="7"/>
        <v>109.8</v>
      </c>
    </row>
    <row r="235" spans="1:6">
      <c r="A235" s="17">
        <v>2.2484999999999999</v>
      </c>
      <c r="B235" s="17">
        <v>0.99880000000000002</v>
      </c>
      <c r="C235" s="50">
        <v>0.3044</v>
      </c>
      <c r="D235" s="17">
        <v>110</v>
      </c>
      <c r="E235" s="17">
        <f t="shared" si="6"/>
        <v>0.99880000000000002</v>
      </c>
      <c r="F235" s="17">
        <f t="shared" si="7"/>
        <v>110</v>
      </c>
    </row>
    <row r="236" spans="1:6">
      <c r="A236" s="17">
        <v>2.2805</v>
      </c>
      <c r="B236" s="17">
        <v>1</v>
      </c>
      <c r="C236" s="50">
        <v>0.3044</v>
      </c>
      <c r="D236" s="17">
        <v>109.7</v>
      </c>
      <c r="E236" s="17">
        <f t="shared" si="6"/>
        <v>1</v>
      </c>
      <c r="F236" s="17">
        <f t="shared" si="7"/>
        <v>109.7</v>
      </c>
    </row>
    <row r="237" spans="1:6">
      <c r="A237" s="17">
        <v>2.3125</v>
      </c>
      <c r="B237" s="17">
        <v>0.99970000000000003</v>
      </c>
      <c r="C237" s="50">
        <v>0.3044</v>
      </c>
      <c r="D237" s="17">
        <v>109.8</v>
      </c>
      <c r="E237" s="17">
        <f t="shared" si="6"/>
        <v>0.99970000000000003</v>
      </c>
      <c r="F237" s="17">
        <f t="shared" si="7"/>
        <v>109.8</v>
      </c>
    </row>
    <row r="238" spans="1:6">
      <c r="A238" s="17">
        <v>2.3445</v>
      </c>
      <c r="B238" s="17">
        <v>0.99960000000000004</v>
      </c>
      <c r="C238" s="50">
        <v>0.3044</v>
      </c>
      <c r="D238" s="17">
        <v>109.8</v>
      </c>
      <c r="E238" s="17">
        <f t="shared" si="6"/>
        <v>0.99960000000000004</v>
      </c>
      <c r="F238" s="17">
        <f t="shared" si="7"/>
        <v>109.8</v>
      </c>
    </row>
    <row r="239" spans="1:6">
      <c r="A239" s="17">
        <v>2.3765000000000001</v>
      </c>
      <c r="B239" s="17">
        <v>1.0009999999999999</v>
      </c>
      <c r="C239" s="50">
        <v>0.3044</v>
      </c>
      <c r="D239" s="17">
        <v>109.7</v>
      </c>
      <c r="E239" s="17">
        <f t="shared" si="6"/>
        <v>1.0009999999999999</v>
      </c>
      <c r="F239" s="17">
        <f t="shared" si="7"/>
        <v>109.7</v>
      </c>
    </row>
    <row r="240" spans="1:6">
      <c r="A240" s="17">
        <v>2.4085000000000001</v>
      </c>
      <c r="B240" s="17">
        <v>1.0009999999999999</v>
      </c>
      <c r="C240" s="50">
        <v>0.3044</v>
      </c>
      <c r="D240" s="17">
        <v>109.8</v>
      </c>
      <c r="E240" s="17">
        <f t="shared" si="6"/>
        <v>1.0009999999999999</v>
      </c>
      <c r="F240" s="17">
        <f t="shared" si="7"/>
        <v>109.8</v>
      </c>
    </row>
    <row r="241" spans="1:6">
      <c r="A241" s="17">
        <v>2.4405000000000001</v>
      </c>
      <c r="B241" s="17">
        <v>0.99970000000000003</v>
      </c>
      <c r="C241" s="50">
        <v>0.3044</v>
      </c>
      <c r="D241" s="17">
        <v>109.6</v>
      </c>
      <c r="E241" s="17">
        <f t="shared" si="6"/>
        <v>0.99970000000000003</v>
      </c>
      <c r="F241" s="17">
        <f t="shared" si="7"/>
        <v>109.6</v>
      </c>
    </row>
    <row r="242" spans="1:6">
      <c r="A242" s="17">
        <v>2.4725000000000001</v>
      </c>
      <c r="B242" s="17">
        <v>1</v>
      </c>
      <c r="C242" s="50">
        <v>0.3044</v>
      </c>
      <c r="D242" s="17">
        <v>109.8</v>
      </c>
      <c r="E242" s="17">
        <f t="shared" si="6"/>
        <v>1</v>
      </c>
      <c r="F242" s="17">
        <f t="shared" si="7"/>
        <v>109.8</v>
      </c>
    </row>
    <row r="243" spans="1:6">
      <c r="A243" s="17">
        <v>2.5045000000000002</v>
      </c>
      <c r="B243" s="17">
        <v>0.99950000000000006</v>
      </c>
      <c r="C243" s="50">
        <v>0.30320000000000003</v>
      </c>
      <c r="D243" s="17">
        <v>109.6</v>
      </c>
      <c r="E243" s="17">
        <f t="shared" si="6"/>
        <v>0.99950000000000006</v>
      </c>
      <c r="F243" s="17">
        <f t="shared" si="7"/>
        <v>109.6</v>
      </c>
    </row>
    <row r="244" spans="1:6">
      <c r="A244" s="17">
        <v>2.5525000000000002</v>
      </c>
      <c r="B244" s="17">
        <v>0.99990000000000001</v>
      </c>
      <c r="C244" s="50">
        <v>0.30320000000000003</v>
      </c>
      <c r="D244" s="17">
        <v>109.6</v>
      </c>
      <c r="E244" s="17">
        <f t="shared" si="6"/>
        <v>0.99990000000000001</v>
      </c>
      <c r="F244" s="17">
        <f t="shared" si="7"/>
        <v>109.6</v>
      </c>
    </row>
    <row r="245" spans="1:6">
      <c r="A245" s="17">
        <v>2.6164999999999998</v>
      </c>
      <c r="B245" s="17">
        <v>1</v>
      </c>
      <c r="C245" s="50">
        <v>0.30320000000000003</v>
      </c>
      <c r="D245" s="17">
        <v>109.6</v>
      </c>
      <c r="E245" s="17">
        <f t="shared" si="6"/>
        <v>1</v>
      </c>
      <c r="F245" s="17">
        <f t="shared" si="7"/>
        <v>109.6</v>
      </c>
    </row>
    <row r="246" spans="1:6">
      <c r="A246" s="17">
        <v>2.6804999999999999</v>
      </c>
      <c r="B246" s="17">
        <v>1</v>
      </c>
      <c r="C246" s="50">
        <v>0.30320000000000003</v>
      </c>
      <c r="D246" s="17">
        <v>109.6</v>
      </c>
      <c r="E246" s="17">
        <f t="shared" si="6"/>
        <v>1</v>
      </c>
      <c r="F246" s="17">
        <f t="shared" si="7"/>
        <v>109.6</v>
      </c>
    </row>
    <row r="247" spans="1:6">
      <c r="A247" s="17">
        <v>2.7444999999999999</v>
      </c>
      <c r="B247" s="17">
        <v>0.99970000000000003</v>
      </c>
      <c r="C247" s="50">
        <v>0.30109999999999998</v>
      </c>
      <c r="D247" s="17">
        <v>109.5</v>
      </c>
      <c r="E247" s="17">
        <f t="shared" si="6"/>
        <v>0.99970000000000003</v>
      </c>
      <c r="F247" s="17">
        <f t="shared" si="7"/>
        <v>109.5</v>
      </c>
    </row>
    <row r="248" spans="1:6">
      <c r="A248" s="17">
        <v>2.8085</v>
      </c>
      <c r="B248" s="17">
        <v>1</v>
      </c>
      <c r="C248" s="50">
        <v>0.30109999999999998</v>
      </c>
      <c r="D248" s="17">
        <v>109.4</v>
      </c>
      <c r="E248" s="17">
        <f t="shared" si="6"/>
        <v>1</v>
      </c>
      <c r="F248" s="17">
        <f t="shared" si="7"/>
        <v>109.4</v>
      </c>
    </row>
    <row r="249" spans="1:6">
      <c r="A249" s="17">
        <v>2.8725000000000001</v>
      </c>
      <c r="B249" s="17">
        <v>1</v>
      </c>
      <c r="C249" s="50">
        <v>0.30109999999999998</v>
      </c>
      <c r="D249" s="17">
        <v>109.4</v>
      </c>
      <c r="E249" s="17">
        <f t="shared" si="6"/>
        <v>1</v>
      </c>
      <c r="F249" s="17">
        <f t="shared" si="7"/>
        <v>109.4</v>
      </c>
    </row>
    <row r="250" spans="1:6">
      <c r="A250" s="17">
        <v>2.9365000000000001</v>
      </c>
      <c r="B250" s="17">
        <v>1</v>
      </c>
      <c r="C250" s="50">
        <v>0.30109999999999998</v>
      </c>
      <c r="D250" s="17">
        <v>109.4</v>
      </c>
      <c r="E250" s="17">
        <f t="shared" si="6"/>
        <v>1</v>
      </c>
      <c r="F250" s="17">
        <f t="shared" si="7"/>
        <v>109.4</v>
      </c>
    </row>
    <row r="251" spans="1:6">
      <c r="A251" s="17">
        <v>3.0005000000000002</v>
      </c>
      <c r="B251" s="17">
        <v>1.0009999999999999</v>
      </c>
      <c r="C251" s="50">
        <v>0.30020000000000002</v>
      </c>
      <c r="D251" s="17">
        <v>109.3</v>
      </c>
      <c r="E251" s="17">
        <f t="shared" si="6"/>
        <v>1.0009999999999999</v>
      </c>
      <c r="F251" s="17">
        <f t="shared" si="7"/>
        <v>109.3</v>
      </c>
    </row>
    <row r="252" spans="1:6">
      <c r="A252" s="17">
        <v>3.0644999999999998</v>
      </c>
      <c r="B252" s="17">
        <v>0.99950000000000006</v>
      </c>
      <c r="C252" s="50">
        <v>0.30020000000000002</v>
      </c>
      <c r="D252" s="17">
        <v>109.3</v>
      </c>
      <c r="E252" s="17">
        <f t="shared" si="6"/>
        <v>0.99950000000000006</v>
      </c>
      <c r="F252" s="17">
        <f t="shared" si="7"/>
        <v>109.3</v>
      </c>
    </row>
    <row r="253" spans="1:6">
      <c r="A253" s="17">
        <v>3.1284999999999998</v>
      </c>
      <c r="B253" s="17">
        <v>1</v>
      </c>
      <c r="C253" s="50">
        <v>0.30020000000000002</v>
      </c>
      <c r="D253" s="17">
        <v>109.2</v>
      </c>
      <c r="E253" s="17">
        <f t="shared" si="6"/>
        <v>1</v>
      </c>
      <c r="F253" s="17">
        <f t="shared" si="7"/>
        <v>109.2</v>
      </c>
    </row>
    <row r="254" spans="1:6">
      <c r="A254" s="17">
        <v>3.1924999999999999</v>
      </c>
      <c r="B254" s="17">
        <v>1</v>
      </c>
      <c r="C254" s="50">
        <v>0.30020000000000002</v>
      </c>
      <c r="D254" s="17">
        <v>109.2</v>
      </c>
      <c r="E254" s="17">
        <f t="shared" si="6"/>
        <v>1</v>
      </c>
      <c r="F254" s="17">
        <f t="shared" si="7"/>
        <v>109.2</v>
      </c>
    </row>
    <row r="255" spans="1:6">
      <c r="A255" s="17">
        <v>3.2565</v>
      </c>
      <c r="B255" s="17">
        <v>0.99990000000000001</v>
      </c>
      <c r="C255" s="50">
        <v>0.30059999999999998</v>
      </c>
      <c r="D255" s="17">
        <v>109.2</v>
      </c>
      <c r="E255" s="17">
        <f t="shared" si="6"/>
        <v>0.99990000000000001</v>
      </c>
      <c r="F255" s="17">
        <f t="shared" si="7"/>
        <v>109.2</v>
      </c>
    </row>
    <row r="256" spans="1:6">
      <c r="A256" s="17">
        <v>3.3205</v>
      </c>
      <c r="B256" s="17">
        <v>1</v>
      </c>
      <c r="C256" s="50">
        <v>0.30059999999999998</v>
      </c>
      <c r="D256" s="17">
        <v>109.1</v>
      </c>
      <c r="E256" s="17">
        <f t="shared" si="6"/>
        <v>1</v>
      </c>
      <c r="F256" s="17">
        <f t="shared" si="7"/>
        <v>109.1</v>
      </c>
    </row>
    <row r="257" spans="1:6">
      <c r="A257" s="17">
        <v>3.3845000000000001</v>
      </c>
      <c r="B257" s="17">
        <v>1</v>
      </c>
      <c r="C257" s="50">
        <v>0.30059999999999998</v>
      </c>
      <c r="D257" s="17">
        <v>109</v>
      </c>
      <c r="E257" s="17">
        <f t="shared" si="6"/>
        <v>1</v>
      </c>
      <c r="F257" s="17">
        <f t="shared" si="7"/>
        <v>109</v>
      </c>
    </row>
    <row r="258" spans="1:6">
      <c r="A258" s="17">
        <v>3.4485000000000001</v>
      </c>
      <c r="B258" s="17">
        <v>1</v>
      </c>
      <c r="C258" s="50">
        <v>0.30059999999999998</v>
      </c>
      <c r="D258" s="17">
        <v>109</v>
      </c>
      <c r="E258" s="17">
        <f t="shared" si="6"/>
        <v>1</v>
      </c>
      <c r="F258" s="17">
        <f t="shared" si="7"/>
        <v>109</v>
      </c>
    </row>
    <row r="259" spans="1:6">
      <c r="A259" s="17">
        <v>3.5125000000000002</v>
      </c>
      <c r="B259" s="17">
        <v>0.99990000000000001</v>
      </c>
      <c r="C259" s="50">
        <v>0.29880000000000001</v>
      </c>
      <c r="D259" s="17">
        <v>109</v>
      </c>
      <c r="E259" s="17">
        <f t="shared" si="6"/>
        <v>0.99990000000000001</v>
      </c>
      <c r="F259" s="17">
        <f t="shared" si="7"/>
        <v>109</v>
      </c>
    </row>
    <row r="260" spans="1:6">
      <c r="A260" s="17">
        <v>3.5764999999999998</v>
      </c>
      <c r="B260" s="17">
        <v>1</v>
      </c>
      <c r="C260" s="50">
        <v>0.29880000000000001</v>
      </c>
      <c r="D260" s="17">
        <v>109</v>
      </c>
      <c r="E260" s="17">
        <f t="shared" ref="E260:E323" si="8">IF(B260=MEDIAN($J$1-0.05,$J$1+0.05,B260),B260,0)</f>
        <v>1</v>
      </c>
      <c r="F260" s="17">
        <f t="shared" ref="F260:F323" si="9">IF(E260=0,0,D260)</f>
        <v>109</v>
      </c>
    </row>
    <row r="261" spans="1:6">
      <c r="A261" s="17">
        <v>3.6404999999999998</v>
      </c>
      <c r="B261" s="17">
        <v>1</v>
      </c>
      <c r="C261" s="50">
        <v>0.29880000000000001</v>
      </c>
      <c r="D261" s="17">
        <v>108.9</v>
      </c>
      <c r="E261" s="17">
        <f t="shared" si="8"/>
        <v>1</v>
      </c>
      <c r="F261" s="17">
        <f t="shared" si="9"/>
        <v>108.9</v>
      </c>
    </row>
    <row r="262" spans="1:6">
      <c r="A262" s="17">
        <v>3.7044999999999999</v>
      </c>
      <c r="B262" s="17">
        <v>1</v>
      </c>
      <c r="C262" s="50">
        <v>0.29880000000000001</v>
      </c>
      <c r="D262" s="17">
        <v>108.9</v>
      </c>
      <c r="E262" s="17">
        <f t="shared" si="8"/>
        <v>1</v>
      </c>
      <c r="F262" s="17">
        <f t="shared" si="9"/>
        <v>108.9</v>
      </c>
    </row>
    <row r="263" spans="1:6">
      <c r="A263" s="17">
        <v>3.7685</v>
      </c>
      <c r="B263" s="17">
        <v>1</v>
      </c>
      <c r="C263" s="50">
        <v>0.29670000000000002</v>
      </c>
      <c r="D263" s="17">
        <v>108.8</v>
      </c>
      <c r="E263" s="17">
        <f t="shared" si="8"/>
        <v>1</v>
      </c>
      <c r="F263" s="17">
        <f t="shared" si="9"/>
        <v>108.8</v>
      </c>
    </row>
    <row r="264" spans="1:6">
      <c r="A264" s="17">
        <v>3.8325</v>
      </c>
      <c r="B264" s="17">
        <v>0.99990000000000001</v>
      </c>
      <c r="C264" s="50">
        <v>0.29670000000000002</v>
      </c>
      <c r="D264" s="17">
        <v>108.8</v>
      </c>
      <c r="E264" s="17">
        <f t="shared" si="8"/>
        <v>0.99990000000000001</v>
      </c>
      <c r="F264" s="17">
        <f t="shared" si="9"/>
        <v>108.8</v>
      </c>
    </row>
    <row r="265" spans="1:6">
      <c r="A265" s="17">
        <v>3.8965000000000001</v>
      </c>
      <c r="B265" s="17">
        <v>0.99960000000000004</v>
      </c>
      <c r="C265" s="50">
        <v>0.29670000000000002</v>
      </c>
      <c r="D265" s="17">
        <v>108.7</v>
      </c>
      <c r="E265" s="17">
        <f t="shared" si="8"/>
        <v>0.99960000000000004</v>
      </c>
      <c r="F265" s="17">
        <f t="shared" si="9"/>
        <v>108.7</v>
      </c>
    </row>
    <row r="266" spans="1:6">
      <c r="A266" s="17">
        <v>3.9605000000000001</v>
      </c>
      <c r="B266" s="17">
        <v>1</v>
      </c>
      <c r="C266" s="50">
        <v>0.29670000000000002</v>
      </c>
      <c r="D266" s="17">
        <v>108.7</v>
      </c>
      <c r="E266" s="17">
        <f t="shared" si="8"/>
        <v>1</v>
      </c>
      <c r="F266" s="17">
        <f t="shared" si="9"/>
        <v>108.7</v>
      </c>
    </row>
    <row r="267" spans="1:6">
      <c r="A267" s="17">
        <v>4.0244999999999997</v>
      </c>
      <c r="B267" s="17">
        <v>1</v>
      </c>
      <c r="C267" s="50">
        <v>0.29699999999999999</v>
      </c>
      <c r="D267" s="17">
        <v>108.7</v>
      </c>
      <c r="E267" s="17">
        <f t="shared" si="8"/>
        <v>1</v>
      </c>
      <c r="F267" s="17">
        <f t="shared" si="9"/>
        <v>108.7</v>
      </c>
    </row>
    <row r="268" spans="1:6">
      <c r="A268" s="17">
        <v>4.0884999999999998</v>
      </c>
      <c r="B268" s="17">
        <v>1</v>
      </c>
      <c r="C268" s="50">
        <v>0.29699999999999999</v>
      </c>
      <c r="D268" s="17">
        <v>108.7</v>
      </c>
      <c r="E268" s="17">
        <f t="shared" si="8"/>
        <v>1</v>
      </c>
      <c r="F268" s="17">
        <f t="shared" si="9"/>
        <v>108.7</v>
      </c>
    </row>
    <row r="269" spans="1:6">
      <c r="A269" s="17">
        <v>4.1524999999999999</v>
      </c>
      <c r="B269" s="17">
        <v>0.99980000000000002</v>
      </c>
      <c r="C269" s="50">
        <v>0.29699999999999999</v>
      </c>
      <c r="D269" s="17">
        <v>108.6</v>
      </c>
      <c r="E269" s="17">
        <f t="shared" si="8"/>
        <v>0.99980000000000002</v>
      </c>
      <c r="F269" s="17">
        <f t="shared" si="9"/>
        <v>108.6</v>
      </c>
    </row>
    <row r="270" spans="1:6">
      <c r="A270" s="17">
        <v>4.2164999999999999</v>
      </c>
      <c r="B270" s="17">
        <v>1</v>
      </c>
      <c r="C270" s="50">
        <v>0.29699999999999999</v>
      </c>
      <c r="D270" s="17">
        <v>108.6</v>
      </c>
      <c r="E270" s="17">
        <f t="shared" si="8"/>
        <v>1</v>
      </c>
      <c r="F270" s="17">
        <f t="shared" si="9"/>
        <v>108.6</v>
      </c>
    </row>
    <row r="271" spans="1:6">
      <c r="A271" s="17">
        <v>4.2805</v>
      </c>
      <c r="B271" s="17">
        <v>0.99990000000000001</v>
      </c>
      <c r="C271" s="50">
        <v>0.29709999999999998</v>
      </c>
      <c r="D271" s="17">
        <v>108.5</v>
      </c>
      <c r="E271" s="17">
        <f t="shared" si="8"/>
        <v>0.99990000000000001</v>
      </c>
      <c r="F271" s="17">
        <f t="shared" si="9"/>
        <v>108.5</v>
      </c>
    </row>
    <row r="272" spans="1:6">
      <c r="A272" s="17">
        <v>4.3445</v>
      </c>
      <c r="B272" s="17">
        <v>1</v>
      </c>
      <c r="C272" s="50">
        <v>0.29709999999999998</v>
      </c>
      <c r="D272" s="17">
        <v>108.5</v>
      </c>
      <c r="E272" s="17">
        <f t="shared" si="8"/>
        <v>1</v>
      </c>
      <c r="F272" s="17">
        <f t="shared" si="9"/>
        <v>108.5</v>
      </c>
    </row>
    <row r="273" spans="1:6">
      <c r="A273" s="17">
        <v>4.4085000000000001</v>
      </c>
      <c r="B273" s="17">
        <v>0.99970000000000003</v>
      </c>
      <c r="C273" s="50">
        <v>0.29709999999999998</v>
      </c>
      <c r="D273" s="17">
        <v>108.5</v>
      </c>
      <c r="E273" s="17">
        <f t="shared" si="8"/>
        <v>0.99970000000000003</v>
      </c>
      <c r="F273" s="17">
        <f t="shared" si="9"/>
        <v>108.5</v>
      </c>
    </row>
    <row r="274" spans="1:6">
      <c r="A274" s="17">
        <v>4.4725000000000001</v>
      </c>
      <c r="B274" s="17">
        <v>0.99980000000000002</v>
      </c>
      <c r="C274" s="50">
        <v>0.29470000000000002</v>
      </c>
      <c r="D274" s="17">
        <v>108.4</v>
      </c>
      <c r="E274" s="17">
        <f t="shared" si="8"/>
        <v>0.99980000000000002</v>
      </c>
      <c r="F274" s="17">
        <f t="shared" si="9"/>
        <v>108.4</v>
      </c>
    </row>
    <row r="275" spans="1:6">
      <c r="A275" s="17">
        <v>4.5365000000000002</v>
      </c>
      <c r="B275" s="17">
        <v>1</v>
      </c>
      <c r="C275" s="50">
        <v>0.29470000000000002</v>
      </c>
      <c r="D275" s="17">
        <v>108.4</v>
      </c>
      <c r="E275" s="17">
        <f t="shared" si="8"/>
        <v>1</v>
      </c>
      <c r="F275" s="17">
        <f t="shared" si="9"/>
        <v>108.4</v>
      </c>
    </row>
    <row r="276" spans="1:6">
      <c r="A276" s="17">
        <v>4.6005000000000003</v>
      </c>
      <c r="B276" s="17">
        <v>1</v>
      </c>
      <c r="C276" s="50">
        <v>0.29470000000000002</v>
      </c>
      <c r="D276" s="17">
        <v>108.4</v>
      </c>
      <c r="E276" s="17">
        <f t="shared" si="8"/>
        <v>1</v>
      </c>
      <c r="F276" s="17">
        <f t="shared" si="9"/>
        <v>108.4</v>
      </c>
    </row>
    <row r="277" spans="1:6">
      <c r="A277" s="17">
        <v>4.6645000000000003</v>
      </c>
      <c r="B277" s="17">
        <v>0.99990000000000001</v>
      </c>
      <c r="C277" s="50">
        <v>0.29470000000000002</v>
      </c>
      <c r="D277" s="17">
        <v>108.4</v>
      </c>
      <c r="E277" s="17">
        <f t="shared" si="8"/>
        <v>0.99990000000000001</v>
      </c>
      <c r="F277" s="17">
        <f t="shared" si="9"/>
        <v>108.4</v>
      </c>
    </row>
    <row r="278" spans="1:6">
      <c r="A278" s="17">
        <v>4.7285000000000004</v>
      </c>
      <c r="B278" s="17">
        <v>1.0009999999999999</v>
      </c>
      <c r="C278" s="50">
        <v>0.29599999999999999</v>
      </c>
      <c r="D278" s="17">
        <v>108.3</v>
      </c>
      <c r="E278" s="17">
        <f t="shared" si="8"/>
        <v>1.0009999999999999</v>
      </c>
      <c r="F278" s="17">
        <f t="shared" si="9"/>
        <v>108.3</v>
      </c>
    </row>
    <row r="279" spans="1:6">
      <c r="A279" s="17">
        <v>4.7925000000000004</v>
      </c>
      <c r="B279" s="17">
        <v>0.99970000000000003</v>
      </c>
      <c r="C279" s="50">
        <v>0.29599999999999999</v>
      </c>
      <c r="D279" s="17">
        <v>108.3</v>
      </c>
      <c r="E279" s="17">
        <f t="shared" si="8"/>
        <v>0.99970000000000003</v>
      </c>
      <c r="F279" s="17">
        <f t="shared" si="9"/>
        <v>108.3</v>
      </c>
    </row>
    <row r="280" spans="1:6">
      <c r="A280" s="17">
        <v>4.8564999999999996</v>
      </c>
      <c r="B280" s="17">
        <v>0.99980000000000002</v>
      </c>
      <c r="C280" s="50">
        <v>0.29599999999999999</v>
      </c>
      <c r="D280" s="17">
        <v>108.3</v>
      </c>
      <c r="E280" s="17">
        <f t="shared" si="8"/>
        <v>0.99980000000000002</v>
      </c>
      <c r="F280" s="17">
        <f t="shared" si="9"/>
        <v>108.3</v>
      </c>
    </row>
    <row r="281" spans="1:6">
      <c r="A281" s="17">
        <v>4.9204999999999997</v>
      </c>
      <c r="B281" s="17">
        <v>0.99960000000000004</v>
      </c>
      <c r="C281" s="50">
        <v>0.29599999999999999</v>
      </c>
      <c r="D281" s="17">
        <v>108.3</v>
      </c>
      <c r="E281" s="17">
        <f t="shared" si="8"/>
        <v>0.99960000000000004</v>
      </c>
      <c r="F281" s="17">
        <f t="shared" si="9"/>
        <v>108.3</v>
      </c>
    </row>
    <row r="282" spans="1:6">
      <c r="A282" s="17">
        <v>4.9844999999999997</v>
      </c>
      <c r="B282" s="17">
        <v>0.99960000000000004</v>
      </c>
      <c r="C282" s="50">
        <v>0.2928</v>
      </c>
      <c r="D282" s="17">
        <v>108.3</v>
      </c>
      <c r="E282" s="17">
        <f t="shared" si="8"/>
        <v>0.99960000000000004</v>
      </c>
      <c r="F282" s="17">
        <f t="shared" si="9"/>
        <v>108.3</v>
      </c>
    </row>
    <row r="283" spans="1:6">
      <c r="A283" s="17">
        <v>5.0484999999999998</v>
      </c>
      <c r="B283" s="17">
        <v>1</v>
      </c>
      <c r="C283" s="50">
        <v>0.2928</v>
      </c>
      <c r="D283" s="17">
        <v>108.2</v>
      </c>
      <c r="E283" s="17">
        <f t="shared" si="8"/>
        <v>1</v>
      </c>
      <c r="F283" s="17">
        <f t="shared" si="9"/>
        <v>108.2</v>
      </c>
    </row>
    <row r="284" spans="1:6">
      <c r="A284" s="17">
        <v>5.1444999999999999</v>
      </c>
      <c r="B284" s="17">
        <v>1</v>
      </c>
      <c r="C284" s="50">
        <v>0.2928</v>
      </c>
      <c r="D284" s="17">
        <v>108.3</v>
      </c>
      <c r="E284" s="17">
        <f t="shared" si="8"/>
        <v>1</v>
      </c>
      <c r="F284" s="17">
        <f t="shared" si="9"/>
        <v>108.3</v>
      </c>
    </row>
    <row r="285" spans="1:6">
      <c r="A285" s="17">
        <v>5.2725</v>
      </c>
      <c r="B285" s="17">
        <v>0.99980000000000002</v>
      </c>
      <c r="C285" s="50">
        <v>0.29509999999999997</v>
      </c>
      <c r="D285" s="17">
        <v>108.2</v>
      </c>
      <c r="E285" s="17">
        <f t="shared" si="8"/>
        <v>0.99980000000000002</v>
      </c>
      <c r="F285" s="17">
        <f t="shared" si="9"/>
        <v>108.2</v>
      </c>
    </row>
    <row r="286" spans="1:6">
      <c r="A286" s="17">
        <v>5.4005000000000001</v>
      </c>
      <c r="B286" s="17">
        <v>1</v>
      </c>
      <c r="C286" s="50">
        <v>0.29509999999999997</v>
      </c>
      <c r="D286" s="17">
        <v>108.1</v>
      </c>
      <c r="E286" s="17">
        <f t="shared" si="8"/>
        <v>1</v>
      </c>
      <c r="F286" s="17">
        <f t="shared" si="9"/>
        <v>108.1</v>
      </c>
    </row>
    <row r="287" spans="1:6">
      <c r="A287" s="17">
        <v>5.5285000000000002</v>
      </c>
      <c r="B287" s="17">
        <v>0.99980000000000002</v>
      </c>
      <c r="C287" s="50">
        <v>0.29389999999999999</v>
      </c>
      <c r="D287" s="17">
        <v>108.1</v>
      </c>
      <c r="E287" s="17">
        <f t="shared" si="8"/>
        <v>0.99980000000000002</v>
      </c>
      <c r="F287" s="17">
        <f t="shared" si="9"/>
        <v>108.1</v>
      </c>
    </row>
    <row r="288" spans="1:6">
      <c r="A288" s="17">
        <v>5.6565000000000003</v>
      </c>
      <c r="B288" s="17">
        <v>1</v>
      </c>
      <c r="C288" s="50">
        <v>0.29370000000000002</v>
      </c>
      <c r="D288" s="17">
        <v>108.1</v>
      </c>
      <c r="E288" s="17">
        <f t="shared" si="8"/>
        <v>1</v>
      </c>
      <c r="F288" s="17">
        <f t="shared" si="9"/>
        <v>108.1</v>
      </c>
    </row>
    <row r="289" spans="1:6">
      <c r="A289" s="17">
        <v>5.7845000000000004</v>
      </c>
      <c r="B289" s="17">
        <v>0.99990000000000001</v>
      </c>
      <c r="C289" s="50">
        <v>0.29370000000000002</v>
      </c>
      <c r="D289" s="17">
        <v>108</v>
      </c>
      <c r="E289" s="17">
        <f t="shared" si="8"/>
        <v>0.99990000000000001</v>
      </c>
      <c r="F289" s="17">
        <f t="shared" si="9"/>
        <v>108</v>
      </c>
    </row>
    <row r="290" spans="1:6">
      <c r="A290" s="17">
        <v>5.9124999999999996</v>
      </c>
      <c r="B290" s="17">
        <v>1</v>
      </c>
      <c r="C290" s="50">
        <v>0.29370000000000002</v>
      </c>
      <c r="D290" s="17">
        <v>108</v>
      </c>
      <c r="E290" s="17">
        <f t="shared" si="8"/>
        <v>1</v>
      </c>
      <c r="F290" s="17">
        <f t="shared" si="9"/>
        <v>108</v>
      </c>
    </row>
    <row r="291" spans="1:6">
      <c r="A291" s="17">
        <v>6.0404999999999998</v>
      </c>
      <c r="B291" s="17">
        <v>0.99970000000000003</v>
      </c>
      <c r="C291" s="50">
        <v>0.29370000000000002</v>
      </c>
      <c r="D291" s="17">
        <v>108</v>
      </c>
      <c r="E291" s="17">
        <f t="shared" si="8"/>
        <v>0.99970000000000003</v>
      </c>
      <c r="F291" s="17">
        <f t="shared" si="9"/>
        <v>108</v>
      </c>
    </row>
    <row r="292" spans="1:6">
      <c r="A292" s="17">
        <v>6.1684999999999999</v>
      </c>
      <c r="B292" s="17">
        <v>1</v>
      </c>
      <c r="C292" s="50">
        <v>0.29409999999999997</v>
      </c>
      <c r="D292" s="17">
        <v>107.9</v>
      </c>
      <c r="E292" s="17">
        <f t="shared" si="8"/>
        <v>1</v>
      </c>
      <c r="F292" s="17">
        <f t="shared" si="9"/>
        <v>107.9</v>
      </c>
    </row>
    <row r="293" spans="1:6">
      <c r="A293" s="17">
        <v>6.2965</v>
      </c>
      <c r="B293" s="17">
        <v>1</v>
      </c>
      <c r="C293" s="50">
        <v>0.29409999999999997</v>
      </c>
      <c r="D293" s="17">
        <v>107.9</v>
      </c>
      <c r="E293" s="17">
        <f t="shared" si="8"/>
        <v>1</v>
      </c>
      <c r="F293" s="17">
        <f t="shared" si="9"/>
        <v>107.9</v>
      </c>
    </row>
    <row r="294" spans="1:6">
      <c r="A294" s="17">
        <v>6.4245000000000001</v>
      </c>
      <c r="B294" s="17">
        <v>1</v>
      </c>
      <c r="C294" s="50">
        <v>0.2949</v>
      </c>
      <c r="D294" s="17">
        <v>107.9</v>
      </c>
      <c r="E294" s="17">
        <f t="shared" si="8"/>
        <v>1</v>
      </c>
      <c r="F294" s="17">
        <f t="shared" si="9"/>
        <v>107.9</v>
      </c>
    </row>
    <row r="295" spans="1:6">
      <c r="A295" s="17">
        <v>6.5525000000000002</v>
      </c>
      <c r="B295" s="17">
        <v>0.99960000000000004</v>
      </c>
      <c r="C295" s="50">
        <v>0.2949</v>
      </c>
      <c r="D295" s="17">
        <v>107.9</v>
      </c>
      <c r="E295" s="17">
        <f t="shared" si="8"/>
        <v>0.99960000000000004</v>
      </c>
      <c r="F295" s="17">
        <f t="shared" si="9"/>
        <v>107.9</v>
      </c>
    </row>
    <row r="296" spans="1:6">
      <c r="A296" s="17">
        <v>6.6805000000000003</v>
      </c>
      <c r="B296" s="17">
        <v>1</v>
      </c>
      <c r="C296" s="50">
        <v>0.29409999999999997</v>
      </c>
      <c r="D296" s="17">
        <v>107.8</v>
      </c>
      <c r="E296" s="17">
        <f t="shared" si="8"/>
        <v>1</v>
      </c>
      <c r="F296" s="17">
        <f t="shared" si="9"/>
        <v>107.8</v>
      </c>
    </row>
    <row r="297" spans="1:6">
      <c r="A297" s="17">
        <v>6.8085000000000004</v>
      </c>
      <c r="B297" s="17">
        <v>0.99990000000000001</v>
      </c>
      <c r="C297" s="50">
        <v>0.29409999999999997</v>
      </c>
      <c r="D297" s="17">
        <v>107.8</v>
      </c>
      <c r="E297" s="17">
        <f t="shared" si="8"/>
        <v>0.99990000000000001</v>
      </c>
      <c r="F297" s="17">
        <f t="shared" si="9"/>
        <v>107.8</v>
      </c>
    </row>
    <row r="298" spans="1:6">
      <c r="A298" s="17">
        <v>6.9364999999999997</v>
      </c>
      <c r="B298" s="17">
        <v>0.99990000000000001</v>
      </c>
      <c r="C298" s="50">
        <v>0.29699999999999999</v>
      </c>
      <c r="D298" s="17">
        <v>107.8</v>
      </c>
      <c r="E298" s="17">
        <f t="shared" si="8"/>
        <v>0.99990000000000001</v>
      </c>
      <c r="F298" s="17">
        <f t="shared" si="9"/>
        <v>107.8</v>
      </c>
    </row>
    <row r="299" spans="1:6">
      <c r="A299" s="17">
        <v>7.0644999999999998</v>
      </c>
      <c r="B299" s="17">
        <v>0.99990000000000001</v>
      </c>
      <c r="C299" s="50">
        <v>0.29699999999999999</v>
      </c>
      <c r="D299" s="17">
        <v>107.8</v>
      </c>
      <c r="E299" s="17">
        <f t="shared" si="8"/>
        <v>0.99990000000000001</v>
      </c>
      <c r="F299" s="17">
        <f t="shared" si="9"/>
        <v>107.8</v>
      </c>
    </row>
    <row r="300" spans="1:6">
      <c r="A300" s="17">
        <v>7.1924999999999999</v>
      </c>
      <c r="B300" s="17">
        <v>1</v>
      </c>
      <c r="C300" s="50">
        <v>0.29520000000000002</v>
      </c>
      <c r="D300" s="17">
        <v>107.7</v>
      </c>
      <c r="E300" s="17">
        <f t="shared" si="8"/>
        <v>1</v>
      </c>
      <c r="F300" s="17">
        <f t="shared" si="9"/>
        <v>107.7</v>
      </c>
    </row>
    <row r="301" spans="1:6">
      <c r="A301" s="17">
        <v>7.3205</v>
      </c>
      <c r="B301" s="17">
        <v>0.99990000000000001</v>
      </c>
      <c r="C301" s="50">
        <v>0.29520000000000002</v>
      </c>
      <c r="D301" s="17">
        <v>107.8</v>
      </c>
      <c r="E301" s="17">
        <f t="shared" si="8"/>
        <v>0.99990000000000001</v>
      </c>
      <c r="F301" s="17">
        <f t="shared" si="9"/>
        <v>107.8</v>
      </c>
    </row>
    <row r="302" spans="1:6">
      <c r="A302" s="17">
        <v>7.4485000000000001</v>
      </c>
      <c r="B302" s="17">
        <v>1</v>
      </c>
      <c r="C302" s="50">
        <v>0.29599999999999999</v>
      </c>
      <c r="D302" s="17">
        <v>107.8</v>
      </c>
      <c r="E302" s="17">
        <f t="shared" si="8"/>
        <v>1</v>
      </c>
      <c r="F302" s="17">
        <f t="shared" si="9"/>
        <v>107.8</v>
      </c>
    </row>
    <row r="303" spans="1:6">
      <c r="A303" s="17">
        <v>7.5765000000000002</v>
      </c>
      <c r="B303" s="17">
        <v>0.99990000000000001</v>
      </c>
      <c r="C303" s="50">
        <v>0.29599999999999999</v>
      </c>
      <c r="D303" s="17">
        <v>107.8</v>
      </c>
      <c r="E303" s="17">
        <f t="shared" si="8"/>
        <v>0.99990000000000001</v>
      </c>
      <c r="F303" s="17">
        <f t="shared" si="9"/>
        <v>107.8</v>
      </c>
    </row>
    <row r="304" spans="1:6">
      <c r="A304" s="17">
        <v>7.7045000000000003</v>
      </c>
      <c r="B304" s="17">
        <v>0.99960000000000004</v>
      </c>
      <c r="C304" s="50">
        <v>0.29299999999999998</v>
      </c>
      <c r="D304" s="17">
        <v>107.7</v>
      </c>
      <c r="E304" s="17">
        <f t="shared" si="8"/>
        <v>0.99960000000000004</v>
      </c>
      <c r="F304" s="17">
        <f t="shared" si="9"/>
        <v>107.7</v>
      </c>
    </row>
    <row r="305" spans="1:6">
      <c r="A305" s="17">
        <v>7.8324999999999996</v>
      </c>
      <c r="B305" s="17">
        <v>1</v>
      </c>
      <c r="C305" s="50">
        <v>0.29299999999999998</v>
      </c>
      <c r="D305" s="17">
        <v>107.7</v>
      </c>
      <c r="E305" s="17">
        <f t="shared" si="8"/>
        <v>1</v>
      </c>
      <c r="F305" s="17">
        <f t="shared" si="9"/>
        <v>107.7</v>
      </c>
    </row>
    <row r="306" spans="1:6">
      <c r="A306" s="17">
        <v>7.9604999999999997</v>
      </c>
      <c r="B306" s="17">
        <v>0.99950000000000006</v>
      </c>
      <c r="C306" s="50">
        <v>0.29680000000000001</v>
      </c>
      <c r="D306" s="17">
        <v>107.7</v>
      </c>
      <c r="E306" s="17">
        <f t="shared" si="8"/>
        <v>0.99950000000000006</v>
      </c>
      <c r="F306" s="17">
        <f t="shared" si="9"/>
        <v>107.7</v>
      </c>
    </row>
    <row r="307" spans="1:6">
      <c r="A307" s="17">
        <v>8.0884999999999998</v>
      </c>
      <c r="B307" s="17">
        <v>1</v>
      </c>
      <c r="C307" s="50">
        <v>0.29680000000000001</v>
      </c>
      <c r="D307" s="17">
        <v>107.7</v>
      </c>
      <c r="E307" s="17">
        <f t="shared" si="8"/>
        <v>1</v>
      </c>
      <c r="F307" s="17">
        <f t="shared" si="9"/>
        <v>107.7</v>
      </c>
    </row>
    <row r="308" spans="1:6">
      <c r="A308" s="17">
        <v>8.2164999999999999</v>
      </c>
      <c r="B308" s="17">
        <v>0.99980000000000002</v>
      </c>
      <c r="C308" s="50">
        <v>0.29580000000000001</v>
      </c>
      <c r="D308" s="17">
        <v>107.7</v>
      </c>
      <c r="E308" s="17">
        <f t="shared" si="8"/>
        <v>0.99980000000000002</v>
      </c>
      <c r="F308" s="17">
        <f t="shared" si="9"/>
        <v>107.7</v>
      </c>
    </row>
    <row r="309" spans="1:6">
      <c r="A309" s="17">
        <v>8.3445</v>
      </c>
      <c r="B309" s="17">
        <v>1</v>
      </c>
      <c r="C309" s="50">
        <v>0.29580000000000001</v>
      </c>
      <c r="D309" s="17">
        <v>107.7</v>
      </c>
      <c r="E309" s="17">
        <f t="shared" si="8"/>
        <v>1</v>
      </c>
      <c r="F309" s="17">
        <f t="shared" si="9"/>
        <v>107.7</v>
      </c>
    </row>
    <row r="310" spans="1:6">
      <c r="A310" s="17">
        <v>8.4725000000000001</v>
      </c>
      <c r="B310" s="17">
        <v>1</v>
      </c>
      <c r="C310" s="50">
        <v>0.2979</v>
      </c>
      <c r="D310" s="17">
        <v>107.7</v>
      </c>
      <c r="E310" s="17">
        <f t="shared" si="8"/>
        <v>1</v>
      </c>
      <c r="F310" s="17">
        <f t="shared" si="9"/>
        <v>107.7</v>
      </c>
    </row>
    <row r="311" spans="1:6">
      <c r="A311" s="17">
        <v>8.6005000000000003</v>
      </c>
      <c r="B311" s="17">
        <v>1</v>
      </c>
      <c r="C311" s="50">
        <v>0.2979</v>
      </c>
      <c r="D311" s="17">
        <v>107.6</v>
      </c>
      <c r="E311" s="17">
        <f t="shared" si="8"/>
        <v>1</v>
      </c>
      <c r="F311" s="17">
        <f t="shared" si="9"/>
        <v>107.6</v>
      </c>
    </row>
    <row r="312" spans="1:6">
      <c r="A312" s="17">
        <v>8.7285000000000004</v>
      </c>
      <c r="B312" s="17">
        <v>0.99970000000000003</v>
      </c>
      <c r="C312" s="50">
        <v>0.29830000000000001</v>
      </c>
      <c r="D312" s="17">
        <v>107.6</v>
      </c>
      <c r="E312" s="17">
        <f t="shared" si="8"/>
        <v>0.99970000000000003</v>
      </c>
      <c r="F312" s="17">
        <f t="shared" si="9"/>
        <v>107.6</v>
      </c>
    </row>
    <row r="313" spans="1:6">
      <c r="A313" s="17">
        <v>8.8565000000000005</v>
      </c>
      <c r="B313" s="17">
        <v>1</v>
      </c>
      <c r="C313" s="50">
        <v>0.29749999999999999</v>
      </c>
      <c r="D313" s="17">
        <v>107.6</v>
      </c>
      <c r="E313" s="17">
        <f t="shared" si="8"/>
        <v>1</v>
      </c>
      <c r="F313" s="17">
        <f t="shared" si="9"/>
        <v>107.6</v>
      </c>
    </row>
    <row r="314" spans="1:6">
      <c r="A314" s="17">
        <v>8.9845000000000006</v>
      </c>
      <c r="B314" s="17">
        <v>1</v>
      </c>
      <c r="C314" s="50">
        <v>0.29749999999999999</v>
      </c>
      <c r="D314" s="17">
        <v>107.6</v>
      </c>
      <c r="E314" s="17">
        <f t="shared" si="8"/>
        <v>1</v>
      </c>
      <c r="F314" s="17">
        <f t="shared" si="9"/>
        <v>107.6</v>
      </c>
    </row>
    <row r="315" spans="1:6">
      <c r="A315" s="17">
        <v>9.1125000000000007</v>
      </c>
      <c r="B315" s="17">
        <v>0.99990000000000001</v>
      </c>
      <c r="C315" s="50">
        <v>0.2979</v>
      </c>
      <c r="D315" s="17">
        <v>107.7</v>
      </c>
      <c r="E315" s="17">
        <f t="shared" si="8"/>
        <v>0.99990000000000001</v>
      </c>
      <c r="F315" s="17">
        <f t="shared" si="9"/>
        <v>107.7</v>
      </c>
    </row>
    <row r="316" spans="1:6">
      <c r="A316" s="17">
        <v>9.2405000000000008</v>
      </c>
      <c r="B316" s="17">
        <v>0.99970000000000003</v>
      </c>
      <c r="C316" s="50">
        <v>0.2979</v>
      </c>
      <c r="D316" s="17">
        <v>107.6</v>
      </c>
      <c r="E316" s="17">
        <f t="shared" si="8"/>
        <v>0.99970000000000003</v>
      </c>
      <c r="F316" s="17">
        <f t="shared" si="9"/>
        <v>107.6</v>
      </c>
    </row>
    <row r="317" spans="1:6">
      <c r="A317" s="17">
        <v>9.3684999999999992</v>
      </c>
      <c r="B317" s="17">
        <v>1</v>
      </c>
      <c r="C317" s="50">
        <v>0.29620000000000002</v>
      </c>
      <c r="D317" s="17">
        <v>107.6</v>
      </c>
      <c r="E317" s="17">
        <f t="shared" si="8"/>
        <v>1</v>
      </c>
      <c r="F317" s="17">
        <f t="shared" si="9"/>
        <v>107.6</v>
      </c>
    </row>
    <row r="318" spans="1:6">
      <c r="A318" s="17">
        <v>9.4964999999999993</v>
      </c>
      <c r="B318" s="17">
        <v>1</v>
      </c>
      <c r="C318" s="50">
        <v>0.29620000000000002</v>
      </c>
      <c r="D318" s="17">
        <v>107.6</v>
      </c>
      <c r="E318" s="17">
        <f t="shared" si="8"/>
        <v>1</v>
      </c>
      <c r="F318" s="17">
        <f t="shared" si="9"/>
        <v>107.6</v>
      </c>
    </row>
    <row r="319" spans="1:6">
      <c r="A319" s="17">
        <v>9.6244999999999994</v>
      </c>
      <c r="B319" s="17">
        <v>1</v>
      </c>
      <c r="C319" s="50">
        <v>0.29749999999999999</v>
      </c>
      <c r="D319" s="17">
        <v>107.6</v>
      </c>
      <c r="E319" s="17">
        <f t="shared" si="8"/>
        <v>1</v>
      </c>
      <c r="F319" s="17">
        <f t="shared" si="9"/>
        <v>107.6</v>
      </c>
    </row>
    <row r="320" spans="1:6">
      <c r="A320" s="17">
        <v>9.7524999999999995</v>
      </c>
      <c r="B320" s="17">
        <v>0.99939999999999996</v>
      </c>
      <c r="C320" s="50">
        <v>0.29749999999999999</v>
      </c>
      <c r="D320" s="17">
        <v>107.6</v>
      </c>
      <c r="E320" s="17">
        <f t="shared" si="8"/>
        <v>0.99939999999999996</v>
      </c>
      <c r="F320" s="17">
        <f t="shared" si="9"/>
        <v>107.6</v>
      </c>
    </row>
    <row r="321" spans="1:6">
      <c r="A321" s="17">
        <v>9.8804999999999996</v>
      </c>
      <c r="B321" s="17">
        <v>1</v>
      </c>
      <c r="C321" s="50">
        <v>0.29659999999999997</v>
      </c>
      <c r="D321" s="17">
        <v>107.6</v>
      </c>
      <c r="E321" s="17">
        <f t="shared" si="8"/>
        <v>1</v>
      </c>
      <c r="F321" s="17">
        <f t="shared" si="9"/>
        <v>107.6</v>
      </c>
    </row>
    <row r="322" spans="1:6">
      <c r="A322" s="17">
        <v>10.009</v>
      </c>
      <c r="B322" s="17">
        <v>1</v>
      </c>
      <c r="C322" s="50">
        <v>0.29659999999999997</v>
      </c>
      <c r="D322" s="17">
        <v>107.6</v>
      </c>
      <c r="E322" s="17">
        <f t="shared" si="8"/>
        <v>1</v>
      </c>
      <c r="F322" s="17">
        <f t="shared" si="9"/>
        <v>107.6</v>
      </c>
    </row>
    <row r="323" spans="1:6">
      <c r="A323" s="17">
        <v>10.137</v>
      </c>
      <c r="B323" s="17">
        <v>1</v>
      </c>
      <c r="C323" s="50">
        <v>0.2964</v>
      </c>
      <c r="D323" s="17">
        <v>107.6</v>
      </c>
      <c r="E323" s="17">
        <f t="shared" si="8"/>
        <v>1</v>
      </c>
      <c r="F323" s="17">
        <f t="shared" si="9"/>
        <v>107.6</v>
      </c>
    </row>
    <row r="324" spans="1:6">
      <c r="A324" s="17">
        <v>10.327999999999999</v>
      </c>
      <c r="B324" s="17">
        <v>0.99980000000000002</v>
      </c>
      <c r="C324" s="50">
        <v>0.29730000000000001</v>
      </c>
      <c r="D324" s="17">
        <v>107.6</v>
      </c>
      <c r="E324" s="17">
        <f t="shared" ref="E324:E387" si="10">IF(B324=MEDIAN($J$1-0.05,$J$1+0.05,B324),B324,0)</f>
        <v>0.99980000000000002</v>
      </c>
      <c r="F324" s="17">
        <f t="shared" ref="F324:F387" si="11">IF(E324=0,0,D324)</f>
        <v>107.6</v>
      </c>
    </row>
    <row r="325" spans="1:6">
      <c r="A325" s="17">
        <v>10.585000000000001</v>
      </c>
      <c r="B325" s="17">
        <v>1</v>
      </c>
      <c r="C325" s="50">
        <v>0.29830000000000001</v>
      </c>
      <c r="D325" s="17">
        <v>107.6</v>
      </c>
      <c r="E325" s="17">
        <f t="shared" si="10"/>
        <v>1</v>
      </c>
      <c r="F325" s="17">
        <f t="shared" si="11"/>
        <v>107.6</v>
      </c>
    </row>
    <row r="326" spans="1:6">
      <c r="A326" s="17">
        <v>10.84</v>
      </c>
      <c r="B326" s="17">
        <v>0.99980000000000002</v>
      </c>
      <c r="C326" s="50">
        <v>0.29720000000000002</v>
      </c>
      <c r="D326" s="17">
        <v>107.6</v>
      </c>
      <c r="E326" s="17">
        <f t="shared" si="10"/>
        <v>0.99980000000000002</v>
      </c>
      <c r="F326" s="17">
        <f t="shared" si="11"/>
        <v>107.6</v>
      </c>
    </row>
    <row r="327" spans="1:6">
      <c r="A327" s="17">
        <v>11.097</v>
      </c>
      <c r="B327" s="17">
        <v>1</v>
      </c>
      <c r="C327" s="50">
        <v>0.29720000000000002</v>
      </c>
      <c r="D327" s="17">
        <v>107.6</v>
      </c>
      <c r="E327" s="17">
        <f t="shared" si="10"/>
        <v>1</v>
      </c>
      <c r="F327" s="17">
        <f t="shared" si="11"/>
        <v>107.6</v>
      </c>
    </row>
    <row r="328" spans="1:6">
      <c r="A328" s="17">
        <v>11.352</v>
      </c>
      <c r="B328" s="17">
        <v>0.99980000000000002</v>
      </c>
      <c r="C328" s="50">
        <v>0.29920000000000002</v>
      </c>
      <c r="D328" s="17">
        <v>107.6</v>
      </c>
      <c r="E328" s="17">
        <f t="shared" si="10"/>
        <v>0.99980000000000002</v>
      </c>
      <c r="F328" s="17">
        <f t="shared" si="11"/>
        <v>107.6</v>
      </c>
    </row>
    <row r="329" spans="1:6">
      <c r="A329" s="17">
        <v>11.608000000000001</v>
      </c>
      <c r="B329" s="17">
        <v>1</v>
      </c>
      <c r="C329" s="50">
        <v>0.30059999999999998</v>
      </c>
      <c r="D329" s="17">
        <v>107.6</v>
      </c>
      <c r="E329" s="17">
        <f t="shared" si="10"/>
        <v>1</v>
      </c>
      <c r="F329" s="17">
        <f t="shared" si="11"/>
        <v>107.6</v>
      </c>
    </row>
    <row r="330" spans="1:6">
      <c r="A330" s="17">
        <v>11.865</v>
      </c>
      <c r="B330" s="17">
        <v>0.99990000000000001</v>
      </c>
      <c r="C330" s="50">
        <v>0.30049999999999999</v>
      </c>
      <c r="D330" s="17">
        <v>107.6</v>
      </c>
      <c r="E330" s="17">
        <f t="shared" si="10"/>
        <v>0.99990000000000001</v>
      </c>
      <c r="F330" s="17">
        <f t="shared" si="11"/>
        <v>107.6</v>
      </c>
    </row>
    <row r="331" spans="1:6">
      <c r="A331" s="17">
        <v>12.12</v>
      </c>
      <c r="B331" s="17">
        <v>1</v>
      </c>
      <c r="C331" s="50">
        <v>0.3</v>
      </c>
      <c r="D331" s="17">
        <v>107.6</v>
      </c>
      <c r="E331" s="17">
        <f t="shared" si="10"/>
        <v>1</v>
      </c>
      <c r="F331" s="17">
        <f t="shared" si="11"/>
        <v>107.6</v>
      </c>
    </row>
    <row r="332" spans="1:6">
      <c r="A332" s="17">
        <v>12.377000000000001</v>
      </c>
      <c r="B332" s="17">
        <v>0.99990000000000001</v>
      </c>
      <c r="C332" s="50">
        <v>0.29959999999999998</v>
      </c>
      <c r="D332" s="17">
        <v>107.6</v>
      </c>
      <c r="E332" s="17">
        <f t="shared" si="10"/>
        <v>0.99990000000000001</v>
      </c>
      <c r="F332" s="17">
        <f t="shared" si="11"/>
        <v>107.6</v>
      </c>
    </row>
    <row r="333" spans="1:6">
      <c r="A333" s="17">
        <v>12.632</v>
      </c>
      <c r="B333" s="17">
        <v>1</v>
      </c>
      <c r="C333" s="50">
        <v>0.30249999999999999</v>
      </c>
      <c r="D333" s="17">
        <v>107.6</v>
      </c>
      <c r="E333" s="17">
        <f t="shared" si="10"/>
        <v>1</v>
      </c>
      <c r="F333" s="17">
        <f t="shared" si="11"/>
        <v>107.6</v>
      </c>
    </row>
    <row r="334" spans="1:6">
      <c r="A334" s="17">
        <v>12.888999999999999</v>
      </c>
      <c r="B334" s="17">
        <v>0.99980000000000002</v>
      </c>
      <c r="C334" s="17">
        <v>0.30149999999999999</v>
      </c>
      <c r="D334" s="17">
        <v>107.7</v>
      </c>
      <c r="E334" s="17">
        <f t="shared" si="10"/>
        <v>0.99980000000000002</v>
      </c>
      <c r="F334" s="17">
        <f t="shared" si="11"/>
        <v>107.7</v>
      </c>
    </row>
    <row r="335" spans="1:6">
      <c r="A335" s="17">
        <v>13.144</v>
      </c>
      <c r="B335" s="17">
        <v>1</v>
      </c>
      <c r="C335" s="17">
        <v>0.29959999999999998</v>
      </c>
      <c r="D335" s="17">
        <v>107.6</v>
      </c>
      <c r="E335" s="17">
        <f t="shared" si="10"/>
        <v>1</v>
      </c>
      <c r="F335" s="17">
        <f t="shared" si="11"/>
        <v>107.6</v>
      </c>
    </row>
    <row r="336" spans="1:6">
      <c r="A336" s="17">
        <v>13.401</v>
      </c>
      <c r="B336" s="17">
        <v>0.99990000000000001</v>
      </c>
      <c r="C336" s="17">
        <v>0.2994</v>
      </c>
      <c r="D336" s="17">
        <v>107.7</v>
      </c>
      <c r="E336" s="17">
        <f t="shared" si="10"/>
        <v>0.99990000000000001</v>
      </c>
      <c r="F336" s="17">
        <f t="shared" si="11"/>
        <v>107.7</v>
      </c>
    </row>
    <row r="337" spans="1:6">
      <c r="A337" s="17">
        <v>13.656000000000001</v>
      </c>
      <c r="B337" s="17">
        <v>0.99990000000000001</v>
      </c>
      <c r="C337" s="50">
        <v>0.3034</v>
      </c>
      <c r="D337" s="17">
        <v>107.7</v>
      </c>
      <c r="E337" s="17">
        <f t="shared" si="10"/>
        <v>0.99990000000000001</v>
      </c>
      <c r="F337" s="17">
        <f t="shared" si="11"/>
        <v>107.7</v>
      </c>
    </row>
    <row r="338" spans="1:6">
      <c r="A338" s="17">
        <v>13.913</v>
      </c>
      <c r="B338" s="17">
        <v>1</v>
      </c>
      <c r="C338" s="17">
        <v>0.2994</v>
      </c>
      <c r="D338" s="17">
        <v>107.7</v>
      </c>
      <c r="E338" s="17">
        <f t="shared" si="10"/>
        <v>1</v>
      </c>
      <c r="F338" s="17">
        <f t="shared" si="11"/>
        <v>107.7</v>
      </c>
    </row>
    <row r="339" spans="1:6">
      <c r="A339" s="17">
        <v>14.167999999999999</v>
      </c>
      <c r="B339" s="17">
        <v>1</v>
      </c>
      <c r="C339" s="17">
        <v>0.3004</v>
      </c>
      <c r="D339" s="17">
        <v>107.7</v>
      </c>
      <c r="E339" s="17">
        <f t="shared" si="10"/>
        <v>1</v>
      </c>
      <c r="F339" s="17">
        <f t="shared" si="11"/>
        <v>107.7</v>
      </c>
    </row>
    <row r="340" spans="1:6">
      <c r="A340" s="17">
        <v>14.425000000000001</v>
      </c>
      <c r="B340" s="17">
        <v>0.99990000000000001</v>
      </c>
      <c r="C340" s="17">
        <v>0.30080000000000001</v>
      </c>
      <c r="D340" s="17">
        <v>107.7</v>
      </c>
      <c r="E340" s="17">
        <f t="shared" si="10"/>
        <v>0.99990000000000001</v>
      </c>
      <c r="F340" s="17">
        <f t="shared" si="11"/>
        <v>107.7</v>
      </c>
    </row>
    <row r="341" spans="1:6">
      <c r="A341" s="17">
        <v>14.680999999999999</v>
      </c>
      <c r="B341" s="17">
        <v>0.99990000000000001</v>
      </c>
      <c r="C341" s="50">
        <v>0.29959999999999998</v>
      </c>
      <c r="D341" s="17">
        <v>107.7</v>
      </c>
      <c r="E341" s="17">
        <f t="shared" si="10"/>
        <v>0.99990000000000001</v>
      </c>
      <c r="F341" s="17">
        <f t="shared" si="11"/>
        <v>107.7</v>
      </c>
    </row>
    <row r="342" spans="1:6">
      <c r="A342" s="17">
        <v>14.936</v>
      </c>
      <c r="B342" s="17">
        <v>0.99990000000000001</v>
      </c>
      <c r="C342" s="17">
        <v>0.30270000000000002</v>
      </c>
      <c r="D342" s="17">
        <v>107.7</v>
      </c>
      <c r="E342" s="17">
        <f t="shared" si="10"/>
        <v>0.99990000000000001</v>
      </c>
      <c r="F342" s="17">
        <f t="shared" si="11"/>
        <v>107.7</v>
      </c>
    </row>
    <row r="343" spans="1:6">
      <c r="A343" s="17">
        <v>15.193</v>
      </c>
      <c r="B343" s="17">
        <v>1</v>
      </c>
      <c r="C343" s="17">
        <v>0.30249999999999999</v>
      </c>
      <c r="D343" s="17">
        <v>107.7</v>
      </c>
      <c r="E343" s="17">
        <f t="shared" si="10"/>
        <v>1</v>
      </c>
      <c r="F343" s="17">
        <f t="shared" si="11"/>
        <v>107.7</v>
      </c>
    </row>
    <row r="344" spans="1:6">
      <c r="A344" s="17">
        <v>15.448</v>
      </c>
      <c r="B344" s="17">
        <v>0.99990000000000001</v>
      </c>
      <c r="C344" s="17">
        <v>0.30249999999999999</v>
      </c>
      <c r="D344" s="17">
        <v>107.7</v>
      </c>
      <c r="E344" s="17">
        <f t="shared" si="10"/>
        <v>0.99990000000000001</v>
      </c>
      <c r="F344" s="17">
        <f t="shared" si="11"/>
        <v>107.7</v>
      </c>
    </row>
    <row r="345" spans="1:6">
      <c r="A345" s="17">
        <v>15.705</v>
      </c>
      <c r="B345" s="17">
        <v>0.99990000000000001</v>
      </c>
      <c r="C345" s="50">
        <v>0.30280000000000001</v>
      </c>
      <c r="D345" s="17">
        <v>107.8</v>
      </c>
      <c r="E345" s="17">
        <f t="shared" si="10"/>
        <v>0.99990000000000001</v>
      </c>
      <c r="F345" s="17">
        <f t="shared" si="11"/>
        <v>107.8</v>
      </c>
    </row>
    <row r="346" spans="1:6">
      <c r="A346" s="17">
        <v>15.96</v>
      </c>
      <c r="B346" s="17">
        <v>0.99990000000000001</v>
      </c>
      <c r="C346" s="50">
        <v>0.30059999999999998</v>
      </c>
      <c r="D346" s="17">
        <v>107.8</v>
      </c>
      <c r="E346" s="17">
        <f t="shared" si="10"/>
        <v>0.99990000000000001</v>
      </c>
      <c r="F346" s="17">
        <f t="shared" si="11"/>
        <v>107.8</v>
      </c>
    </row>
    <row r="347" spans="1:6">
      <c r="A347" s="17">
        <v>16.216000000000001</v>
      </c>
      <c r="B347" s="17">
        <v>1</v>
      </c>
      <c r="C347" s="17">
        <v>0.30149999999999999</v>
      </c>
      <c r="D347" s="17">
        <v>107.8</v>
      </c>
      <c r="E347" s="17">
        <f t="shared" si="10"/>
        <v>1</v>
      </c>
      <c r="F347" s="17">
        <f t="shared" si="11"/>
        <v>107.8</v>
      </c>
    </row>
    <row r="348" spans="1:6">
      <c r="A348" s="17">
        <v>16.472000000000001</v>
      </c>
      <c r="B348" s="17">
        <v>0.99990000000000001</v>
      </c>
      <c r="C348" s="50">
        <v>0.30470000000000003</v>
      </c>
      <c r="D348" s="17">
        <v>107.8</v>
      </c>
      <c r="E348" s="17">
        <f t="shared" si="10"/>
        <v>0.99990000000000001</v>
      </c>
      <c r="F348" s="17">
        <f t="shared" si="11"/>
        <v>107.8</v>
      </c>
    </row>
    <row r="349" spans="1:6">
      <c r="A349" s="17">
        <v>16.728999999999999</v>
      </c>
      <c r="B349" s="17">
        <v>1</v>
      </c>
      <c r="C349" s="50">
        <v>0.30459999999999998</v>
      </c>
      <c r="D349" s="17">
        <v>107.8</v>
      </c>
      <c r="E349" s="17">
        <f t="shared" si="10"/>
        <v>1</v>
      </c>
      <c r="F349" s="17">
        <f t="shared" si="11"/>
        <v>107.8</v>
      </c>
    </row>
    <row r="350" spans="1:6">
      <c r="A350" s="17">
        <v>16.984999999999999</v>
      </c>
      <c r="B350" s="17">
        <v>0.99980000000000002</v>
      </c>
      <c r="C350" s="50">
        <v>0.30470000000000003</v>
      </c>
      <c r="D350" s="17">
        <v>107.9</v>
      </c>
      <c r="E350" s="17">
        <f t="shared" si="10"/>
        <v>0.99980000000000002</v>
      </c>
      <c r="F350" s="17">
        <f t="shared" si="11"/>
        <v>107.9</v>
      </c>
    </row>
    <row r="351" spans="1:6">
      <c r="A351" s="17">
        <v>17.239999999999998</v>
      </c>
      <c r="B351" s="17">
        <v>0.99990000000000001</v>
      </c>
      <c r="C351" s="17">
        <v>0.30380000000000001</v>
      </c>
      <c r="D351" s="17">
        <v>107.9</v>
      </c>
      <c r="E351" s="17">
        <f t="shared" si="10"/>
        <v>0.99990000000000001</v>
      </c>
      <c r="F351" s="17">
        <f t="shared" si="11"/>
        <v>107.9</v>
      </c>
    </row>
    <row r="352" spans="1:6">
      <c r="A352" s="17">
        <v>17.497</v>
      </c>
      <c r="B352" s="17">
        <v>1</v>
      </c>
      <c r="C352" s="17">
        <v>0.30470000000000003</v>
      </c>
      <c r="D352" s="17">
        <v>107.9</v>
      </c>
      <c r="E352" s="17">
        <f t="shared" si="10"/>
        <v>1</v>
      </c>
      <c r="F352" s="17">
        <f t="shared" si="11"/>
        <v>107.9</v>
      </c>
    </row>
    <row r="353" spans="1:6">
      <c r="A353" s="17">
        <v>17.753</v>
      </c>
      <c r="B353" s="17">
        <v>0.99990000000000001</v>
      </c>
      <c r="C353" s="50">
        <v>0.30359999999999998</v>
      </c>
      <c r="D353" s="17">
        <v>107.9</v>
      </c>
      <c r="E353" s="17">
        <f t="shared" si="10"/>
        <v>0.99990000000000001</v>
      </c>
      <c r="F353" s="17">
        <f t="shared" si="11"/>
        <v>107.9</v>
      </c>
    </row>
    <row r="354" spans="1:6">
      <c r="A354" s="17">
        <v>18.007999999999999</v>
      </c>
      <c r="B354" s="17">
        <v>1</v>
      </c>
      <c r="C354" s="50">
        <v>0.30380000000000001</v>
      </c>
      <c r="D354" s="17">
        <v>107.9</v>
      </c>
      <c r="E354" s="17">
        <f t="shared" si="10"/>
        <v>1</v>
      </c>
      <c r="F354" s="17">
        <f t="shared" si="11"/>
        <v>107.9</v>
      </c>
    </row>
    <row r="355" spans="1:6">
      <c r="A355" s="17">
        <v>18.263999999999999</v>
      </c>
      <c r="B355" s="17">
        <v>0.99990000000000001</v>
      </c>
      <c r="C355" s="17">
        <v>0.30399999999999999</v>
      </c>
      <c r="D355" s="17">
        <v>107.9</v>
      </c>
      <c r="E355" s="17">
        <f t="shared" si="10"/>
        <v>0.99990000000000001</v>
      </c>
      <c r="F355" s="17">
        <f t="shared" si="11"/>
        <v>107.9</v>
      </c>
    </row>
    <row r="356" spans="1:6">
      <c r="A356" s="17">
        <v>18.521000000000001</v>
      </c>
      <c r="B356" s="17">
        <v>1</v>
      </c>
      <c r="C356" s="50">
        <v>0.30680000000000002</v>
      </c>
      <c r="D356" s="17">
        <v>107.9</v>
      </c>
      <c r="E356" s="17">
        <f t="shared" si="10"/>
        <v>1</v>
      </c>
      <c r="F356" s="17">
        <f t="shared" si="11"/>
        <v>107.9</v>
      </c>
    </row>
    <row r="357" spans="1:6">
      <c r="A357" s="17">
        <v>18.777000000000001</v>
      </c>
      <c r="B357" s="17">
        <v>0.99990000000000001</v>
      </c>
      <c r="C357" s="50">
        <v>0.30570000000000003</v>
      </c>
      <c r="D357" s="17">
        <v>107.9</v>
      </c>
      <c r="E357" s="17">
        <f t="shared" si="10"/>
        <v>0.99990000000000001</v>
      </c>
      <c r="F357" s="17">
        <f t="shared" si="11"/>
        <v>107.9</v>
      </c>
    </row>
    <row r="358" spans="1:6">
      <c r="A358" s="17">
        <v>19.032</v>
      </c>
      <c r="B358" s="17">
        <v>1</v>
      </c>
      <c r="C358" s="50">
        <v>0.30630000000000002</v>
      </c>
      <c r="D358" s="17">
        <v>108</v>
      </c>
      <c r="E358" s="17">
        <f t="shared" si="10"/>
        <v>1</v>
      </c>
      <c r="F358" s="17">
        <f t="shared" si="11"/>
        <v>108</v>
      </c>
    </row>
    <row r="359" spans="1:6">
      <c r="A359" s="17">
        <v>19.288</v>
      </c>
      <c r="B359" s="17">
        <v>0.99990000000000001</v>
      </c>
      <c r="C359" s="17">
        <v>0.30680000000000002</v>
      </c>
      <c r="D359" s="17">
        <v>108</v>
      </c>
      <c r="E359" s="17">
        <f t="shared" si="10"/>
        <v>0.99990000000000001</v>
      </c>
      <c r="F359" s="17">
        <f t="shared" si="11"/>
        <v>108</v>
      </c>
    </row>
    <row r="360" spans="1:6">
      <c r="A360" s="17">
        <v>19.545000000000002</v>
      </c>
      <c r="B360" s="17">
        <v>1</v>
      </c>
      <c r="C360" s="50">
        <v>0.3049</v>
      </c>
      <c r="D360" s="17">
        <v>108</v>
      </c>
      <c r="E360" s="17">
        <f t="shared" si="10"/>
        <v>1</v>
      </c>
      <c r="F360" s="17">
        <f t="shared" si="11"/>
        <v>108</v>
      </c>
    </row>
    <row r="361" spans="1:6">
      <c r="A361" s="17">
        <v>19.800999999999998</v>
      </c>
      <c r="B361" s="17">
        <v>1</v>
      </c>
      <c r="C361" s="50">
        <v>0.307</v>
      </c>
      <c r="D361" s="17">
        <v>108</v>
      </c>
      <c r="E361" s="17">
        <f t="shared" si="10"/>
        <v>1</v>
      </c>
      <c r="F361" s="17">
        <f t="shared" si="11"/>
        <v>108</v>
      </c>
    </row>
    <row r="362" spans="1:6">
      <c r="A362" s="17">
        <v>20.056000000000001</v>
      </c>
      <c r="B362" s="17">
        <v>1</v>
      </c>
      <c r="C362" s="50">
        <v>0.30659999999999998</v>
      </c>
      <c r="D362" s="17">
        <v>108</v>
      </c>
      <c r="E362" s="17">
        <f t="shared" si="10"/>
        <v>1</v>
      </c>
      <c r="F362" s="17">
        <f t="shared" si="11"/>
        <v>108</v>
      </c>
    </row>
    <row r="363" spans="1:6">
      <c r="A363" s="17">
        <v>20.312999999999999</v>
      </c>
      <c r="B363" s="17">
        <v>1</v>
      </c>
      <c r="C363" s="50">
        <v>0.30659999999999998</v>
      </c>
      <c r="D363" s="17">
        <v>108</v>
      </c>
      <c r="E363" s="17">
        <f t="shared" si="10"/>
        <v>1</v>
      </c>
      <c r="F363" s="17">
        <f t="shared" si="11"/>
        <v>108</v>
      </c>
    </row>
    <row r="364" spans="1:6">
      <c r="A364" s="17">
        <v>20.696999999999999</v>
      </c>
      <c r="B364" s="17">
        <v>0.99990000000000001</v>
      </c>
      <c r="C364" s="50">
        <v>0.30590000000000001</v>
      </c>
      <c r="D364" s="17">
        <v>108</v>
      </c>
      <c r="E364" s="17">
        <f t="shared" si="10"/>
        <v>0.99990000000000001</v>
      </c>
      <c r="F364" s="17">
        <f t="shared" si="11"/>
        <v>108</v>
      </c>
    </row>
    <row r="365" spans="1:6">
      <c r="A365" s="17">
        <v>21.207999999999998</v>
      </c>
      <c r="B365" s="17">
        <v>1</v>
      </c>
      <c r="C365" s="50">
        <v>0.30869999999999997</v>
      </c>
      <c r="D365" s="17">
        <v>108.1</v>
      </c>
      <c r="E365" s="17">
        <f t="shared" si="10"/>
        <v>1</v>
      </c>
      <c r="F365" s="17">
        <f t="shared" si="11"/>
        <v>108.1</v>
      </c>
    </row>
    <row r="366" spans="1:6">
      <c r="A366" s="17">
        <v>21.721</v>
      </c>
      <c r="B366" s="17">
        <v>1</v>
      </c>
      <c r="C366" s="50">
        <v>0.30869999999999997</v>
      </c>
      <c r="D366" s="17">
        <v>108.1</v>
      </c>
      <c r="E366" s="17">
        <f t="shared" si="10"/>
        <v>1</v>
      </c>
      <c r="F366" s="17">
        <f t="shared" si="11"/>
        <v>108.1</v>
      </c>
    </row>
    <row r="367" spans="1:6">
      <c r="A367" s="17">
        <v>22.233000000000001</v>
      </c>
      <c r="B367" s="17">
        <v>1</v>
      </c>
      <c r="C367" s="50">
        <v>0.30740000000000001</v>
      </c>
      <c r="D367" s="17">
        <v>108.1</v>
      </c>
      <c r="E367" s="17">
        <f t="shared" si="10"/>
        <v>1</v>
      </c>
      <c r="F367" s="17">
        <f t="shared" si="11"/>
        <v>108.1</v>
      </c>
    </row>
    <row r="368" spans="1:6">
      <c r="A368" s="17">
        <v>22.744</v>
      </c>
      <c r="B368" s="17">
        <v>0.99990000000000001</v>
      </c>
      <c r="C368" s="17">
        <v>0.30909999999999999</v>
      </c>
      <c r="D368" s="17">
        <v>108.1</v>
      </c>
      <c r="E368" s="17">
        <f t="shared" si="10"/>
        <v>0.99990000000000001</v>
      </c>
      <c r="F368" s="17">
        <f t="shared" si="11"/>
        <v>108.1</v>
      </c>
    </row>
    <row r="369" spans="1:6">
      <c r="A369" s="17">
        <v>23.257000000000001</v>
      </c>
      <c r="B369" s="17">
        <v>1</v>
      </c>
      <c r="C369" s="50">
        <v>0.308</v>
      </c>
      <c r="D369" s="17">
        <v>108.1</v>
      </c>
      <c r="E369" s="17">
        <f t="shared" si="10"/>
        <v>1</v>
      </c>
      <c r="F369" s="17">
        <f t="shared" si="11"/>
        <v>108.1</v>
      </c>
    </row>
    <row r="370" spans="1:6">
      <c r="A370" s="17">
        <v>23.768000000000001</v>
      </c>
      <c r="B370" s="17">
        <v>1</v>
      </c>
      <c r="C370" s="50">
        <v>0.311</v>
      </c>
      <c r="D370" s="17">
        <v>108.1</v>
      </c>
      <c r="E370" s="17">
        <f t="shared" si="10"/>
        <v>1</v>
      </c>
      <c r="F370" s="17">
        <f t="shared" si="11"/>
        <v>108.1</v>
      </c>
    </row>
    <row r="371" spans="1:6">
      <c r="A371" s="17">
        <v>24.280999999999999</v>
      </c>
      <c r="B371" s="17">
        <v>1</v>
      </c>
      <c r="C371" s="50">
        <v>0.307</v>
      </c>
      <c r="D371" s="17">
        <v>108.1</v>
      </c>
      <c r="E371" s="17">
        <f t="shared" si="10"/>
        <v>1</v>
      </c>
      <c r="F371" s="17">
        <f t="shared" si="11"/>
        <v>108.1</v>
      </c>
    </row>
    <row r="372" spans="1:6">
      <c r="A372" s="17">
        <v>24.792000000000002</v>
      </c>
      <c r="B372" s="17">
        <v>0.99990000000000001</v>
      </c>
      <c r="C372" s="50">
        <v>0.31009999999999999</v>
      </c>
      <c r="D372" s="17">
        <v>108.1</v>
      </c>
      <c r="E372" s="17">
        <f t="shared" si="10"/>
        <v>0.99990000000000001</v>
      </c>
      <c r="F372" s="17">
        <f t="shared" si="11"/>
        <v>108.1</v>
      </c>
    </row>
    <row r="373" spans="1:6">
      <c r="A373" s="17">
        <v>25.305</v>
      </c>
      <c r="B373" s="17">
        <v>0.99990000000000001</v>
      </c>
      <c r="C373" s="50">
        <v>0.30930000000000002</v>
      </c>
      <c r="D373" s="17">
        <v>108.1</v>
      </c>
      <c r="E373" s="17">
        <f t="shared" si="10"/>
        <v>0.99990000000000001</v>
      </c>
      <c r="F373" s="17">
        <f t="shared" si="11"/>
        <v>108.1</v>
      </c>
    </row>
    <row r="374" spans="1:6">
      <c r="A374" s="17">
        <v>25.815999999999999</v>
      </c>
      <c r="B374" s="17">
        <v>1</v>
      </c>
      <c r="C374" s="50">
        <v>0.31</v>
      </c>
      <c r="D374" s="17">
        <v>108.1</v>
      </c>
      <c r="E374" s="17">
        <f t="shared" si="10"/>
        <v>1</v>
      </c>
      <c r="F374" s="17">
        <f t="shared" si="11"/>
        <v>108.1</v>
      </c>
    </row>
    <row r="375" spans="1:6">
      <c r="A375" s="17">
        <v>26.329000000000001</v>
      </c>
      <c r="B375" s="17">
        <v>0.99990000000000001</v>
      </c>
      <c r="C375" s="50">
        <v>0.30909999999999999</v>
      </c>
      <c r="D375" s="17">
        <v>108.1</v>
      </c>
      <c r="E375" s="17">
        <f t="shared" si="10"/>
        <v>0.99990000000000001</v>
      </c>
      <c r="F375" s="17">
        <f t="shared" si="11"/>
        <v>108.1</v>
      </c>
    </row>
    <row r="376" spans="1:6">
      <c r="A376" s="17">
        <v>26.84</v>
      </c>
      <c r="B376" s="17">
        <v>1</v>
      </c>
      <c r="C376" s="50">
        <v>0.30990000000000001</v>
      </c>
      <c r="D376" s="17">
        <v>108.2</v>
      </c>
      <c r="E376" s="17">
        <f t="shared" si="10"/>
        <v>1</v>
      </c>
      <c r="F376" s="17">
        <f t="shared" si="11"/>
        <v>108.2</v>
      </c>
    </row>
    <row r="377" spans="1:6">
      <c r="A377" s="17">
        <v>27.353000000000002</v>
      </c>
      <c r="B377" s="17">
        <v>0.99990000000000001</v>
      </c>
      <c r="C377" s="50">
        <v>0.30819999999999997</v>
      </c>
      <c r="D377" s="17">
        <v>108.1</v>
      </c>
      <c r="E377" s="17">
        <f t="shared" si="10"/>
        <v>0.99990000000000001</v>
      </c>
      <c r="F377" s="17">
        <f t="shared" si="11"/>
        <v>108.1</v>
      </c>
    </row>
    <row r="378" spans="1:6">
      <c r="A378" s="17">
        <v>27.864999999999998</v>
      </c>
      <c r="B378" s="17">
        <v>1</v>
      </c>
      <c r="C378" s="50">
        <v>0.30969999999999998</v>
      </c>
      <c r="D378" s="17">
        <v>108.1</v>
      </c>
      <c r="E378" s="17">
        <f t="shared" si="10"/>
        <v>1</v>
      </c>
      <c r="F378" s="17">
        <f t="shared" si="11"/>
        <v>108.1</v>
      </c>
    </row>
    <row r="379" spans="1:6">
      <c r="A379" s="17">
        <v>28.376000000000001</v>
      </c>
      <c r="B379" s="17">
        <v>1</v>
      </c>
      <c r="C379" s="50">
        <v>0.31309999999999999</v>
      </c>
      <c r="D379" s="17">
        <v>108.1</v>
      </c>
      <c r="E379" s="17">
        <f t="shared" si="10"/>
        <v>1</v>
      </c>
      <c r="F379" s="17">
        <f t="shared" si="11"/>
        <v>108.1</v>
      </c>
    </row>
    <row r="380" spans="1:6">
      <c r="A380" s="17">
        <v>28.888999999999999</v>
      </c>
      <c r="B380" s="17">
        <v>1</v>
      </c>
      <c r="C380" s="50">
        <v>0.31269999999999998</v>
      </c>
      <c r="D380" s="17">
        <v>108</v>
      </c>
      <c r="E380" s="17">
        <f t="shared" si="10"/>
        <v>1</v>
      </c>
      <c r="F380" s="17">
        <f t="shared" si="11"/>
        <v>108</v>
      </c>
    </row>
    <row r="381" spans="1:6">
      <c r="A381" s="17">
        <v>29.4</v>
      </c>
      <c r="B381" s="17">
        <v>0.99990000000000001</v>
      </c>
      <c r="C381" s="50">
        <v>0.31309999999999999</v>
      </c>
      <c r="D381" s="17">
        <v>108</v>
      </c>
      <c r="E381" s="17">
        <f t="shared" si="10"/>
        <v>0.99990000000000001</v>
      </c>
      <c r="F381" s="17">
        <f t="shared" si="11"/>
        <v>108</v>
      </c>
    </row>
    <row r="382" spans="1:6">
      <c r="A382" s="17">
        <v>29.913</v>
      </c>
      <c r="B382" s="17">
        <v>1</v>
      </c>
      <c r="C382" s="50">
        <v>0.311</v>
      </c>
      <c r="D382" s="17">
        <v>108</v>
      </c>
      <c r="E382" s="17">
        <f t="shared" si="10"/>
        <v>1</v>
      </c>
      <c r="F382" s="17">
        <f t="shared" si="11"/>
        <v>108</v>
      </c>
    </row>
    <row r="383" spans="1:6">
      <c r="A383" s="17">
        <v>30.423999999999999</v>
      </c>
      <c r="B383" s="17">
        <v>1</v>
      </c>
      <c r="C383" s="17">
        <v>0.31409999999999999</v>
      </c>
      <c r="D383" s="17">
        <v>108</v>
      </c>
      <c r="E383" s="17">
        <f t="shared" si="10"/>
        <v>1</v>
      </c>
      <c r="F383" s="17">
        <f t="shared" si="11"/>
        <v>108</v>
      </c>
    </row>
    <row r="384" spans="1:6">
      <c r="A384" s="17">
        <v>30.937000000000001</v>
      </c>
      <c r="B384" s="17">
        <v>0.99990000000000001</v>
      </c>
      <c r="C384" s="17">
        <v>0.31119999999999998</v>
      </c>
      <c r="D384" s="17">
        <v>108</v>
      </c>
      <c r="E384" s="17">
        <f t="shared" si="10"/>
        <v>0.99990000000000001</v>
      </c>
      <c r="F384" s="17">
        <f t="shared" si="11"/>
        <v>108</v>
      </c>
    </row>
    <row r="385" spans="1:6">
      <c r="A385" s="17">
        <v>31.448</v>
      </c>
      <c r="B385" s="17">
        <v>1</v>
      </c>
      <c r="C385" s="17">
        <v>0.31290000000000001</v>
      </c>
      <c r="D385" s="17">
        <v>108</v>
      </c>
      <c r="E385" s="17">
        <f t="shared" si="10"/>
        <v>1</v>
      </c>
      <c r="F385" s="17">
        <f t="shared" si="11"/>
        <v>108</v>
      </c>
    </row>
    <row r="386" spans="1:6">
      <c r="A386" s="17">
        <v>31.960999999999999</v>
      </c>
      <c r="B386" s="17">
        <v>1</v>
      </c>
      <c r="C386" s="17">
        <v>0.312</v>
      </c>
      <c r="D386" s="17">
        <v>108.1</v>
      </c>
      <c r="E386" s="17">
        <f t="shared" si="10"/>
        <v>1</v>
      </c>
      <c r="F386" s="17">
        <f t="shared" si="11"/>
        <v>108.1</v>
      </c>
    </row>
    <row r="387" spans="1:6">
      <c r="A387" s="17">
        <v>32.472000000000001</v>
      </c>
      <c r="B387" s="17">
        <v>1</v>
      </c>
      <c r="C387" s="17">
        <v>0.311</v>
      </c>
      <c r="D387" s="17">
        <v>108.1</v>
      </c>
      <c r="E387" s="17">
        <f t="shared" si="10"/>
        <v>1</v>
      </c>
      <c r="F387" s="17">
        <f t="shared" si="11"/>
        <v>108.1</v>
      </c>
    </row>
    <row r="388" spans="1:6">
      <c r="A388" s="17">
        <v>32.984999999999999</v>
      </c>
      <c r="B388" s="17">
        <v>1</v>
      </c>
      <c r="C388" s="50">
        <v>0.31119999999999998</v>
      </c>
      <c r="D388" s="17">
        <v>108</v>
      </c>
      <c r="E388" s="17">
        <f t="shared" ref="E388:E421" si="12">IF(B388=MEDIAN($J$1-0.05,$J$1+0.05,B388),B388,0)</f>
        <v>1</v>
      </c>
      <c r="F388" s="17">
        <f t="shared" ref="F388:F451" si="13">IF(E388=0,0,D388)</f>
        <v>108</v>
      </c>
    </row>
    <row r="389" spans="1:6">
      <c r="A389" s="17">
        <v>33.496000000000002</v>
      </c>
      <c r="B389" s="17">
        <v>1</v>
      </c>
      <c r="C389" s="50">
        <v>0.30930000000000002</v>
      </c>
      <c r="D389" s="17">
        <v>108</v>
      </c>
      <c r="E389" s="17">
        <f t="shared" si="12"/>
        <v>1</v>
      </c>
      <c r="F389" s="17">
        <f t="shared" si="13"/>
        <v>108</v>
      </c>
    </row>
    <row r="390" spans="1:6">
      <c r="A390" s="17">
        <v>34.008000000000003</v>
      </c>
      <c r="B390" s="17">
        <v>1</v>
      </c>
      <c r="C390" s="17">
        <v>0.31480000000000002</v>
      </c>
      <c r="D390" s="17">
        <v>108</v>
      </c>
      <c r="E390" s="17">
        <f t="shared" si="12"/>
        <v>1</v>
      </c>
      <c r="F390" s="17">
        <f t="shared" si="13"/>
        <v>108</v>
      </c>
    </row>
    <row r="391" spans="1:6">
      <c r="A391" s="17">
        <v>34.521000000000001</v>
      </c>
      <c r="B391" s="17">
        <v>0.99990000000000001</v>
      </c>
      <c r="C391" s="17">
        <v>0.31240000000000001</v>
      </c>
      <c r="D391" s="17">
        <v>108</v>
      </c>
      <c r="E391" s="17">
        <f t="shared" si="12"/>
        <v>0.99990000000000001</v>
      </c>
      <c r="F391" s="17">
        <f t="shared" si="13"/>
        <v>108</v>
      </c>
    </row>
    <row r="392" spans="1:6">
      <c r="A392" s="17">
        <v>35.033000000000001</v>
      </c>
      <c r="B392" s="17">
        <v>1</v>
      </c>
      <c r="C392" s="50">
        <v>0.312</v>
      </c>
      <c r="D392" s="17">
        <v>108</v>
      </c>
      <c r="E392" s="17">
        <f t="shared" si="12"/>
        <v>1</v>
      </c>
      <c r="F392" s="17">
        <f t="shared" si="13"/>
        <v>108</v>
      </c>
    </row>
    <row r="393" spans="1:6">
      <c r="A393" s="17">
        <v>35.543999999999997</v>
      </c>
      <c r="B393" s="17">
        <v>0.99990000000000001</v>
      </c>
      <c r="C393" s="50">
        <v>0.31369999999999998</v>
      </c>
      <c r="D393" s="17">
        <v>107.9</v>
      </c>
      <c r="E393" s="17">
        <f t="shared" si="12"/>
        <v>0.99990000000000001</v>
      </c>
      <c r="F393" s="17">
        <f t="shared" si="13"/>
        <v>107.9</v>
      </c>
    </row>
    <row r="394" spans="1:6">
      <c r="A394" s="17">
        <v>36.055999999999997</v>
      </c>
      <c r="B394" s="17">
        <v>0.99990000000000001</v>
      </c>
      <c r="C394" s="50">
        <v>0.311</v>
      </c>
      <c r="D394" s="17">
        <v>107.9</v>
      </c>
      <c r="E394" s="17">
        <f t="shared" si="12"/>
        <v>0.99990000000000001</v>
      </c>
      <c r="F394" s="17">
        <f t="shared" si="13"/>
        <v>107.9</v>
      </c>
    </row>
    <row r="395" spans="1:6">
      <c r="A395" s="17">
        <v>36.569000000000003</v>
      </c>
      <c r="B395" s="17">
        <v>1</v>
      </c>
      <c r="C395" s="50">
        <v>0.31219999999999998</v>
      </c>
      <c r="D395" s="17">
        <v>107.9</v>
      </c>
      <c r="E395" s="17">
        <f t="shared" si="12"/>
        <v>1</v>
      </c>
      <c r="F395" s="17">
        <f t="shared" si="13"/>
        <v>107.9</v>
      </c>
    </row>
    <row r="396" spans="1:6">
      <c r="A396" s="17">
        <v>37.081000000000003</v>
      </c>
      <c r="B396" s="17">
        <v>1</v>
      </c>
      <c r="C396" s="50">
        <v>0.31409999999999999</v>
      </c>
      <c r="D396" s="17">
        <v>107.8</v>
      </c>
      <c r="E396" s="17">
        <f t="shared" si="12"/>
        <v>1</v>
      </c>
      <c r="F396" s="17">
        <f t="shared" si="13"/>
        <v>107.8</v>
      </c>
    </row>
    <row r="397" spans="1:6">
      <c r="A397" s="17">
        <v>37.591999999999999</v>
      </c>
      <c r="B397" s="17">
        <v>0.99990000000000001</v>
      </c>
      <c r="C397" s="50">
        <v>0.311</v>
      </c>
      <c r="D397" s="17">
        <v>107.9</v>
      </c>
      <c r="E397" s="17">
        <f t="shared" si="12"/>
        <v>0.99990000000000001</v>
      </c>
      <c r="F397" s="17">
        <f t="shared" si="13"/>
        <v>107.9</v>
      </c>
    </row>
    <row r="398" spans="1:6">
      <c r="A398" s="17">
        <v>38.103999999999999</v>
      </c>
      <c r="B398" s="17">
        <v>1</v>
      </c>
      <c r="C398" s="50">
        <v>0.31159999999999999</v>
      </c>
      <c r="D398" s="17">
        <v>107.9</v>
      </c>
      <c r="E398" s="17">
        <f t="shared" si="12"/>
        <v>1</v>
      </c>
      <c r="F398" s="17">
        <f t="shared" si="13"/>
        <v>107.9</v>
      </c>
    </row>
    <row r="399" spans="1:6">
      <c r="A399" s="17">
        <v>38.616999999999997</v>
      </c>
      <c r="B399" s="17">
        <v>1</v>
      </c>
      <c r="C399" s="50">
        <v>0.31230000000000002</v>
      </c>
      <c r="D399" s="17">
        <v>107.8</v>
      </c>
      <c r="E399" s="17">
        <f t="shared" si="12"/>
        <v>1</v>
      </c>
      <c r="F399" s="17">
        <f t="shared" si="13"/>
        <v>107.8</v>
      </c>
    </row>
    <row r="400" spans="1:6">
      <c r="A400" s="17">
        <v>39.128999999999998</v>
      </c>
      <c r="B400" s="17">
        <v>0.99990000000000001</v>
      </c>
      <c r="C400" s="50">
        <v>0.31209999999999999</v>
      </c>
      <c r="D400" s="17">
        <v>107.8</v>
      </c>
      <c r="E400" s="17">
        <f t="shared" si="12"/>
        <v>0.99990000000000001</v>
      </c>
      <c r="F400" s="17">
        <f t="shared" si="13"/>
        <v>107.8</v>
      </c>
    </row>
    <row r="401" spans="1:6">
      <c r="A401" s="17">
        <v>39.64</v>
      </c>
      <c r="B401" s="17">
        <v>1</v>
      </c>
      <c r="C401" s="50">
        <v>0.31309999999999999</v>
      </c>
      <c r="D401" s="17">
        <v>107.8</v>
      </c>
      <c r="E401" s="17">
        <f t="shared" si="12"/>
        <v>1</v>
      </c>
      <c r="F401" s="17">
        <f t="shared" si="13"/>
        <v>107.8</v>
      </c>
    </row>
    <row r="402" spans="1:6">
      <c r="A402" s="17">
        <v>40.152999999999999</v>
      </c>
      <c r="B402" s="17">
        <v>1</v>
      </c>
      <c r="C402" s="50">
        <v>0.31480000000000002</v>
      </c>
      <c r="D402" s="17">
        <v>107.7</v>
      </c>
      <c r="E402" s="17">
        <f t="shared" si="12"/>
        <v>1</v>
      </c>
      <c r="F402" s="17">
        <f t="shared" si="13"/>
        <v>107.7</v>
      </c>
    </row>
    <row r="403" spans="1:6">
      <c r="A403" s="17">
        <v>40.664999999999999</v>
      </c>
      <c r="B403" s="17">
        <v>1</v>
      </c>
      <c r="C403" s="50">
        <v>0.31290000000000001</v>
      </c>
      <c r="D403" s="17">
        <v>107.7</v>
      </c>
      <c r="E403" s="17">
        <f t="shared" si="12"/>
        <v>1</v>
      </c>
      <c r="F403" s="17">
        <f t="shared" si="13"/>
        <v>107.7</v>
      </c>
    </row>
    <row r="404" spans="1:6">
      <c r="A404" s="17">
        <v>41.432000000000002</v>
      </c>
      <c r="B404" s="17">
        <v>0.99990000000000001</v>
      </c>
      <c r="C404" s="50">
        <v>0.31459999999999999</v>
      </c>
      <c r="D404" s="17">
        <v>107.7</v>
      </c>
      <c r="E404" s="17">
        <f t="shared" si="12"/>
        <v>0.99990000000000001</v>
      </c>
      <c r="F404" s="17">
        <f t="shared" si="13"/>
        <v>107.7</v>
      </c>
    </row>
    <row r="405" spans="1:6">
      <c r="A405" s="17">
        <v>42.457000000000001</v>
      </c>
      <c r="B405" s="17">
        <v>1</v>
      </c>
      <c r="C405" s="50">
        <v>0.31390000000000001</v>
      </c>
      <c r="D405" s="17">
        <v>107.6</v>
      </c>
      <c r="E405" s="17">
        <f t="shared" si="12"/>
        <v>1</v>
      </c>
      <c r="F405" s="17">
        <f t="shared" si="13"/>
        <v>107.6</v>
      </c>
    </row>
    <row r="406" spans="1:6">
      <c r="A406" s="17">
        <v>43.48</v>
      </c>
      <c r="B406" s="17">
        <v>1</v>
      </c>
      <c r="C406" s="50">
        <v>0.312</v>
      </c>
      <c r="D406" s="17">
        <v>107.6</v>
      </c>
      <c r="E406" s="17">
        <f t="shared" si="12"/>
        <v>1</v>
      </c>
      <c r="F406" s="17">
        <f t="shared" si="13"/>
        <v>107.6</v>
      </c>
    </row>
    <row r="407" spans="1:6">
      <c r="A407" s="17">
        <v>44.505000000000003</v>
      </c>
      <c r="B407" s="17">
        <v>1</v>
      </c>
      <c r="C407" s="50">
        <v>0.31390000000000001</v>
      </c>
      <c r="D407" s="17">
        <v>107.5</v>
      </c>
      <c r="E407" s="17">
        <f t="shared" si="12"/>
        <v>1</v>
      </c>
      <c r="F407" s="17">
        <f t="shared" si="13"/>
        <v>107.5</v>
      </c>
    </row>
    <row r="408" spans="1:6">
      <c r="A408" s="17">
        <v>45.527999999999999</v>
      </c>
      <c r="B408" s="17">
        <v>1</v>
      </c>
      <c r="C408" s="50">
        <v>0.31580000000000003</v>
      </c>
      <c r="D408" s="17">
        <v>107.4</v>
      </c>
      <c r="E408" s="17">
        <f t="shared" si="12"/>
        <v>1</v>
      </c>
      <c r="F408" s="17">
        <f t="shared" si="13"/>
        <v>107.4</v>
      </c>
    </row>
    <row r="409" spans="1:6">
      <c r="A409" s="17">
        <v>46.552999999999997</v>
      </c>
      <c r="B409" s="17">
        <v>1</v>
      </c>
      <c r="C409" s="50">
        <v>0.30890000000000001</v>
      </c>
      <c r="D409" s="17">
        <v>107.4</v>
      </c>
      <c r="E409" s="17">
        <f t="shared" si="12"/>
        <v>1</v>
      </c>
      <c r="F409" s="17">
        <f t="shared" si="13"/>
        <v>107.4</v>
      </c>
    </row>
    <row r="410" spans="1:6">
      <c r="A410" s="17">
        <v>47.576000000000001</v>
      </c>
      <c r="B410" s="17">
        <v>1</v>
      </c>
      <c r="C410" s="50">
        <v>0.311</v>
      </c>
      <c r="D410" s="17">
        <v>107.4</v>
      </c>
      <c r="E410" s="17">
        <f t="shared" si="12"/>
        <v>1</v>
      </c>
      <c r="F410" s="17">
        <f t="shared" si="13"/>
        <v>107.4</v>
      </c>
    </row>
    <row r="411" spans="1:6">
      <c r="A411" s="17">
        <v>48.6</v>
      </c>
      <c r="B411" s="17">
        <v>1</v>
      </c>
      <c r="C411" s="50">
        <v>0.31180000000000002</v>
      </c>
      <c r="D411" s="17">
        <v>107.3</v>
      </c>
      <c r="E411" s="17">
        <f t="shared" si="12"/>
        <v>1</v>
      </c>
      <c r="F411" s="17">
        <f t="shared" si="13"/>
        <v>107.3</v>
      </c>
    </row>
    <row r="412" spans="1:6">
      <c r="A412" s="17">
        <v>49.625</v>
      </c>
      <c r="B412" s="17">
        <v>1</v>
      </c>
      <c r="C412" s="50">
        <v>0.30990000000000001</v>
      </c>
      <c r="D412" s="17">
        <v>107.2</v>
      </c>
      <c r="E412" s="17">
        <f t="shared" si="12"/>
        <v>1</v>
      </c>
      <c r="F412" s="17">
        <f t="shared" si="13"/>
        <v>107.2</v>
      </c>
    </row>
    <row r="413" spans="1:6">
      <c r="A413" s="17">
        <v>50.648000000000003</v>
      </c>
      <c r="B413" s="17">
        <v>1</v>
      </c>
      <c r="C413" s="50">
        <v>0.31119999999999998</v>
      </c>
      <c r="D413" s="17">
        <v>107.2</v>
      </c>
      <c r="E413" s="17">
        <f t="shared" si="12"/>
        <v>1</v>
      </c>
      <c r="F413" s="17">
        <f t="shared" si="13"/>
        <v>107.2</v>
      </c>
    </row>
    <row r="414" spans="1:6">
      <c r="A414" s="17">
        <v>51.673000000000002</v>
      </c>
      <c r="B414" s="17">
        <v>1</v>
      </c>
      <c r="C414" s="50">
        <v>0.314</v>
      </c>
      <c r="D414" s="17">
        <v>107.1</v>
      </c>
      <c r="E414" s="17">
        <f t="shared" si="12"/>
        <v>1</v>
      </c>
      <c r="F414" s="17">
        <f t="shared" si="13"/>
        <v>107.1</v>
      </c>
    </row>
    <row r="415" spans="1:6">
      <c r="A415" s="17">
        <v>52.695999999999998</v>
      </c>
      <c r="B415" s="17">
        <v>1</v>
      </c>
      <c r="C415" s="50">
        <v>0.312</v>
      </c>
      <c r="D415" s="17">
        <v>107.1</v>
      </c>
      <c r="E415" s="17">
        <f t="shared" si="12"/>
        <v>1</v>
      </c>
      <c r="F415" s="17">
        <f t="shared" si="13"/>
        <v>107.1</v>
      </c>
    </row>
    <row r="416" spans="1:6">
      <c r="A416" s="17">
        <v>53.720999999999997</v>
      </c>
      <c r="B416" s="17">
        <v>1</v>
      </c>
      <c r="C416" s="50">
        <v>0.31159999999999999</v>
      </c>
      <c r="D416" s="17">
        <v>107</v>
      </c>
      <c r="E416" s="17">
        <f t="shared" si="12"/>
        <v>1</v>
      </c>
      <c r="F416" s="17">
        <f t="shared" si="13"/>
        <v>107</v>
      </c>
    </row>
    <row r="417" spans="1:6">
      <c r="A417" s="17">
        <v>54.744</v>
      </c>
      <c r="B417" s="17">
        <v>1</v>
      </c>
      <c r="C417" s="50">
        <v>0.3105</v>
      </c>
      <c r="D417" s="17">
        <v>107</v>
      </c>
      <c r="E417" s="17">
        <f t="shared" si="12"/>
        <v>1</v>
      </c>
      <c r="F417" s="17">
        <f t="shared" si="13"/>
        <v>107</v>
      </c>
    </row>
    <row r="418" spans="1:6">
      <c r="A418" s="17">
        <v>55.768999999999998</v>
      </c>
      <c r="B418" s="17">
        <v>1</v>
      </c>
      <c r="C418" s="50">
        <v>0.311</v>
      </c>
      <c r="D418" s="17">
        <v>106.9</v>
      </c>
      <c r="E418" s="17">
        <f t="shared" si="12"/>
        <v>1</v>
      </c>
      <c r="F418" s="17">
        <f t="shared" si="13"/>
        <v>106.9</v>
      </c>
    </row>
    <row r="419" spans="1:6">
      <c r="A419" s="17">
        <v>56.792000000000002</v>
      </c>
      <c r="B419" s="17">
        <v>1</v>
      </c>
      <c r="C419" s="50">
        <v>0.31080000000000002</v>
      </c>
      <c r="D419" s="17">
        <v>106.8</v>
      </c>
      <c r="E419" s="17">
        <f t="shared" si="12"/>
        <v>1</v>
      </c>
      <c r="F419" s="17">
        <f t="shared" si="13"/>
        <v>106.8</v>
      </c>
    </row>
    <row r="420" spans="1:6">
      <c r="A420" s="17">
        <v>57.817</v>
      </c>
      <c r="B420" s="17">
        <v>1</v>
      </c>
      <c r="C420" s="50">
        <v>0.31409999999999999</v>
      </c>
      <c r="D420" s="17">
        <v>106.7</v>
      </c>
      <c r="E420" s="17">
        <f t="shared" si="12"/>
        <v>1</v>
      </c>
      <c r="F420" s="17">
        <f t="shared" si="13"/>
        <v>106.7</v>
      </c>
    </row>
    <row r="421" spans="1:6">
      <c r="A421" s="17">
        <v>58.84</v>
      </c>
      <c r="B421" s="17">
        <v>0.99990000000000001</v>
      </c>
      <c r="C421" s="50">
        <v>0.31119999999999998</v>
      </c>
      <c r="D421" s="17">
        <v>106.7</v>
      </c>
      <c r="E421" s="17">
        <f t="shared" si="12"/>
        <v>0.99990000000000001</v>
      </c>
      <c r="F421" s="17">
        <f t="shared" si="13"/>
        <v>106.7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R23"/>
  <sheetViews>
    <sheetView workbookViewId="0">
      <selection sqref="A1 A1:I133"/>
    </sheetView>
  </sheetViews>
  <sheetFormatPr defaultColWidth="9.140625" defaultRowHeight="15"/>
  <cols>
    <col min="1" max="1" width="23.5703125" style="17" bestFit="1" customWidth="1"/>
    <col min="2" max="2" width="32" style="17" bestFit="1" customWidth="1"/>
    <col min="3" max="3" width="27" style="17" bestFit="1" customWidth="1"/>
    <col min="4" max="4" width="14.42578125" style="17" bestFit="1" customWidth="1"/>
    <col min="5" max="5" width="17.28515625" style="17" bestFit="1" customWidth="1"/>
    <col min="6" max="6" width="9.140625" style="17" customWidth="1"/>
    <col min="7" max="16384" width="9.140625" style="17"/>
  </cols>
  <sheetData>
    <row r="1" spans="1:70" customFormat="1" ht="30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</row>
    <row r="2" spans="1:70" customFormat="1" ht="15" customHeight="1">
      <c r="A2" s="17"/>
      <c r="B2" s="17"/>
      <c r="C2" s="17"/>
      <c r="D2" s="17"/>
      <c r="E2" s="17"/>
      <c r="F2" s="17"/>
      <c r="G2" s="17"/>
      <c r="H2" s="17"/>
      <c r="I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</row>
    <row r="3" spans="1:70" customFormat="1" ht="15" customHeight="1">
      <c r="A3" s="17"/>
      <c r="B3" s="17"/>
      <c r="C3" s="17"/>
      <c r="D3" s="17"/>
      <c r="E3" s="17"/>
      <c r="F3" s="17"/>
      <c r="G3" s="17"/>
      <c r="H3" s="17"/>
      <c r="I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</row>
    <row r="4" spans="1:70" customFormat="1" ht="15" customHeight="1">
      <c r="A4" s="17"/>
      <c r="B4" s="17"/>
      <c r="C4" s="17"/>
      <c r="D4" s="17"/>
      <c r="E4" s="17"/>
      <c r="F4" s="17"/>
      <c r="G4" s="17"/>
      <c r="H4" s="17"/>
      <c r="I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</row>
    <row r="5" spans="1:70" customFormat="1" ht="15" customHeight="1">
      <c r="A5" s="17"/>
      <c r="B5" s="17"/>
      <c r="C5" s="17"/>
      <c r="D5" s="17"/>
      <c r="E5" s="17"/>
      <c r="F5" s="17"/>
      <c r="G5" s="17"/>
      <c r="H5" s="17"/>
      <c r="I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</row>
    <row r="6" spans="1:70" customFormat="1" ht="15" customHeight="1">
      <c r="A6" s="17"/>
      <c r="B6" s="17"/>
      <c r="C6" s="17"/>
      <c r="D6" s="17"/>
      <c r="E6" s="17"/>
      <c r="F6" s="17"/>
      <c r="G6" s="17"/>
      <c r="H6" s="17"/>
      <c r="I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</row>
    <row r="7" spans="1:70" customFormat="1" ht="15" customHeight="1">
      <c r="A7" s="17"/>
      <c r="B7" s="17"/>
      <c r="C7" s="17"/>
      <c r="D7" s="17"/>
      <c r="E7" s="17"/>
      <c r="F7" s="17"/>
      <c r="G7" s="17"/>
      <c r="H7" s="17"/>
      <c r="I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</row>
    <row r="8" spans="1:70" customFormat="1" ht="15" customHeight="1">
      <c r="A8" s="17"/>
      <c r="B8" s="17"/>
      <c r="C8" s="17"/>
      <c r="D8" s="17"/>
      <c r="E8" s="17"/>
      <c r="F8" s="17"/>
      <c r="G8" s="17"/>
      <c r="H8" s="17"/>
      <c r="I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</row>
    <row r="9" spans="1:70" customFormat="1" ht="15" customHeight="1">
      <c r="A9" s="17"/>
      <c r="B9" s="17"/>
      <c r="C9" s="17"/>
      <c r="D9" s="17"/>
      <c r="E9" s="17"/>
      <c r="F9" s="17"/>
      <c r="G9" s="17"/>
      <c r="H9" s="17"/>
      <c r="I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</row>
    <row r="10" spans="1:70" customFormat="1" ht="15" customHeight="1">
      <c r="A10" s="17"/>
      <c r="B10" s="17"/>
      <c r="C10" s="17"/>
      <c r="D10" s="17"/>
      <c r="E10" s="17"/>
      <c r="F10" s="17"/>
      <c r="G10" s="17"/>
      <c r="H10" s="17"/>
      <c r="I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  <c r="BO10" s="17"/>
      <c r="BP10" s="17"/>
      <c r="BQ10" s="17"/>
      <c r="BR10" s="17"/>
    </row>
    <row r="11" spans="1:70" customFormat="1" ht="15" customHeight="1">
      <c r="A11" s="17"/>
      <c r="B11" s="17"/>
      <c r="C11" s="17"/>
      <c r="D11" s="17"/>
      <c r="E11" s="17"/>
      <c r="F11" s="17"/>
      <c r="G11" s="17"/>
      <c r="H11" s="17"/>
      <c r="I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</row>
    <row r="12" spans="1:70" customFormat="1" ht="15" customHeight="1">
      <c r="A12" s="17"/>
      <c r="B12" s="17"/>
      <c r="C12" s="17"/>
      <c r="D12" s="17"/>
      <c r="E12" s="17"/>
      <c r="F12" s="17"/>
      <c r="G12" s="17"/>
      <c r="H12" s="17"/>
      <c r="I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</row>
    <row r="13" spans="1:70" customFormat="1" ht="15" customHeight="1">
      <c r="A13" s="17"/>
      <c r="B13" s="17"/>
      <c r="C13" s="17"/>
      <c r="D13" s="17"/>
      <c r="E13" s="17"/>
      <c r="F13" s="17"/>
      <c r="G13" s="17"/>
      <c r="H13" s="17"/>
      <c r="I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</row>
    <row r="14" spans="1:70" customFormat="1" ht="15" customHeight="1">
      <c r="A14" s="17"/>
      <c r="B14" s="17"/>
      <c r="C14" s="17"/>
      <c r="D14" s="17"/>
      <c r="E14" s="17"/>
      <c r="F14" s="17"/>
      <c r="G14" s="17"/>
      <c r="H14" s="17"/>
      <c r="I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</row>
    <row r="15" spans="1:70" customFormat="1" ht="15" customHeight="1">
      <c r="A15" s="17"/>
      <c r="B15" s="17"/>
      <c r="C15" s="17"/>
      <c r="D15" s="17"/>
      <c r="E15" s="17"/>
      <c r="F15" s="17"/>
      <c r="G15" s="17"/>
      <c r="H15" s="17"/>
      <c r="I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</row>
    <row r="16" spans="1:70" customFormat="1" ht="15" customHeight="1">
      <c r="A16" s="17"/>
      <c r="B16" s="17"/>
      <c r="C16" s="17"/>
      <c r="D16" s="17"/>
      <c r="E16" s="17"/>
      <c r="F16" s="17"/>
      <c r="G16" s="17"/>
      <c r="H16" s="17"/>
      <c r="I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</row>
    <row r="17" spans="1:70" customFormat="1" ht="15" customHeight="1">
      <c r="A17" s="17"/>
      <c r="B17" s="17"/>
      <c r="C17" s="17"/>
      <c r="D17" s="17"/>
      <c r="E17" s="17"/>
      <c r="F17" s="17"/>
      <c r="G17" s="17"/>
      <c r="H17" s="17"/>
      <c r="I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</row>
    <row r="18" spans="1:70" customFormat="1" ht="15" customHeight="1">
      <c r="A18" s="17"/>
      <c r="B18" s="17"/>
      <c r="C18" s="17"/>
      <c r="D18" s="17"/>
      <c r="E18" s="17"/>
      <c r="F18" s="17"/>
      <c r="G18" s="17"/>
      <c r="H18" s="17"/>
      <c r="I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</row>
    <row r="19" spans="1:70" customFormat="1" ht="15" customHeight="1">
      <c r="A19" s="17"/>
      <c r="B19" s="17"/>
      <c r="C19" s="17"/>
      <c r="D19" s="17"/>
      <c r="E19" s="17"/>
      <c r="F19" s="17"/>
      <c r="G19" s="17"/>
      <c r="H19" s="17"/>
      <c r="I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</row>
    <row r="20" spans="1:70" customFormat="1" ht="15" customHeight="1">
      <c r="A20" s="17"/>
      <c r="B20" s="17"/>
      <c r="C20" s="17"/>
      <c r="D20" s="17"/>
      <c r="E20" s="17"/>
      <c r="F20" s="17"/>
      <c r="G20" s="17"/>
      <c r="H20" s="17"/>
      <c r="I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</row>
    <row r="21" spans="1:70" customFormat="1" ht="15" customHeight="1">
      <c r="A21" s="17"/>
      <c r="B21" s="17"/>
      <c r="C21" s="17"/>
      <c r="D21" s="17"/>
      <c r="E21" s="17"/>
      <c r="F21" s="17"/>
      <c r="G21" s="17"/>
      <c r="H21" s="17"/>
      <c r="I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</row>
    <row r="22" spans="1:70" customFormat="1" ht="15" customHeight="1">
      <c r="A22" s="17"/>
      <c r="B22" s="17"/>
      <c r="C22" s="17"/>
      <c r="D22" s="17"/>
      <c r="E22" s="17"/>
      <c r="F22" s="17"/>
      <c r="G22" s="17"/>
      <c r="H22" s="17"/>
      <c r="I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</row>
    <row r="23" spans="1:70" customFormat="1" ht="15" customHeight="1">
      <c r="A23" s="17"/>
      <c r="B23" s="17"/>
      <c r="C23" s="17"/>
      <c r="D23" s="17"/>
      <c r="E23" s="17"/>
      <c r="F23" s="17"/>
      <c r="G23" s="17"/>
      <c r="H23" s="17"/>
      <c r="I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</row>
  </sheetData>
  <sortState ref="A2:I133">
    <sortCondition ref="F2:F133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J23"/>
  <sheetViews>
    <sheetView workbookViewId="0">
      <selection activeCell="A2" sqref="A2 A2:A23"/>
    </sheetView>
  </sheetViews>
  <sheetFormatPr defaultRowHeight="15"/>
  <cols>
    <col min="1" max="1" width="23.5703125" style="17" bestFit="1" customWidth="1"/>
    <col min="2" max="2" width="32" style="17" bestFit="1" customWidth="1"/>
    <col min="3" max="3" width="27" style="17" bestFit="1" customWidth="1"/>
    <col min="4" max="4" width="14.42578125" style="17" bestFit="1" customWidth="1"/>
    <col min="5" max="5" width="17.28515625" style="17" bestFit="1" customWidth="1"/>
  </cols>
  <sheetData>
    <row r="1" spans="1:10" s="17" customFormat="1" ht="30" customHeight="1">
      <c r="A1" s="53" t="s">
        <v>77</v>
      </c>
      <c r="B1" s="53" t="s">
        <v>78</v>
      </c>
      <c r="C1" s="53" t="s">
        <v>79</v>
      </c>
      <c r="D1" s="53" t="s">
        <v>80</v>
      </c>
      <c r="E1" s="53" t="s">
        <v>81</v>
      </c>
      <c r="F1" s="53" t="s">
        <v>82</v>
      </c>
      <c r="G1" s="53" t="s">
        <v>83</v>
      </c>
      <c r="H1" s="53" t="s">
        <v>84</v>
      </c>
      <c r="I1" s="53" t="s">
        <v>85</v>
      </c>
    </row>
    <row r="2" spans="1:10" ht="15" customHeight="1">
      <c r="A2" s="17" t="s">
        <v>86</v>
      </c>
      <c r="C2" s="17" t="s">
        <v>87</v>
      </c>
      <c r="D2" s="59"/>
      <c r="F2" s="17"/>
      <c r="G2" s="17"/>
      <c r="H2" s="17"/>
      <c r="I2" s="17"/>
      <c r="J2" s="17"/>
    </row>
    <row r="3" spans="1:10" ht="15" customHeight="1">
      <c r="A3" s="17" t="s">
        <v>86</v>
      </c>
      <c r="C3" s="17" t="s">
        <v>88</v>
      </c>
      <c r="D3" s="59"/>
      <c r="F3" s="17"/>
      <c r="G3" s="17"/>
      <c r="H3" s="17"/>
      <c r="I3" s="17"/>
      <c r="J3" s="17"/>
    </row>
    <row r="4" spans="1:10" ht="15" customHeight="1">
      <c r="A4" s="17" t="s">
        <v>86</v>
      </c>
      <c r="C4" s="17" t="s">
        <v>89</v>
      </c>
      <c r="D4" s="59"/>
      <c r="F4" s="17"/>
      <c r="G4" s="17"/>
      <c r="H4" s="17"/>
      <c r="I4" s="17"/>
      <c r="J4" s="17"/>
    </row>
    <row r="5" spans="1:10" ht="15" customHeight="1">
      <c r="A5" s="17" t="s">
        <v>86</v>
      </c>
      <c r="C5" s="17" t="s">
        <v>90</v>
      </c>
      <c r="D5" s="59"/>
      <c r="F5" s="17"/>
      <c r="G5" s="17"/>
      <c r="H5" s="17"/>
      <c r="I5" s="17"/>
      <c r="J5" s="17"/>
    </row>
    <row r="6" spans="1:10" ht="15" customHeight="1">
      <c r="A6" s="17" t="s">
        <v>86</v>
      </c>
      <c r="C6" s="17" t="s">
        <v>91</v>
      </c>
      <c r="D6" s="59"/>
      <c r="F6" s="17"/>
      <c r="G6" s="17"/>
      <c r="H6" s="17"/>
      <c r="I6" s="17"/>
      <c r="J6" s="17"/>
    </row>
    <row r="7" spans="1:10" ht="15" customHeight="1">
      <c r="A7" s="17" t="s">
        <v>86</v>
      </c>
      <c r="C7" s="17" t="s">
        <v>92</v>
      </c>
      <c r="D7" s="59"/>
      <c r="F7" s="17"/>
      <c r="G7" s="17"/>
      <c r="H7" s="17"/>
      <c r="I7" s="17"/>
      <c r="J7" s="17"/>
    </row>
    <row r="8" spans="1:10" ht="15" customHeight="1">
      <c r="A8" s="17" t="s">
        <v>86</v>
      </c>
      <c r="C8" s="17" t="s">
        <v>93</v>
      </c>
      <c r="D8" s="59"/>
      <c r="F8" s="17"/>
      <c r="G8" s="17"/>
      <c r="H8" s="17"/>
      <c r="I8" s="17"/>
      <c r="J8" s="17"/>
    </row>
    <row r="9" spans="1:10" ht="15" customHeight="1">
      <c r="A9" s="17" t="s">
        <v>86</v>
      </c>
      <c r="C9" s="17" t="s">
        <v>94</v>
      </c>
      <c r="D9" s="59"/>
      <c r="F9" s="17"/>
      <c r="G9" s="17"/>
      <c r="H9" s="17"/>
      <c r="I9" s="17"/>
      <c r="J9" s="17"/>
    </row>
    <row r="10" spans="1:10" ht="15" customHeight="1">
      <c r="A10" s="17" t="s">
        <v>86</v>
      </c>
      <c r="C10" s="17" t="s">
        <v>95</v>
      </c>
      <c r="D10" s="59"/>
      <c r="F10" s="17"/>
      <c r="G10" s="17"/>
      <c r="H10" s="17"/>
      <c r="I10" s="17"/>
      <c r="J10" s="17"/>
    </row>
    <row r="11" spans="1:10" ht="15" customHeight="1">
      <c r="A11" s="17" t="s">
        <v>86</v>
      </c>
      <c r="C11" s="17" t="s">
        <v>17</v>
      </c>
      <c r="D11" s="59"/>
      <c r="F11" s="17"/>
      <c r="G11" s="17"/>
      <c r="H11" s="17"/>
      <c r="I11" s="17"/>
      <c r="J11" s="17"/>
    </row>
    <row r="12" spans="1:10" ht="15" customHeight="1">
      <c r="A12" s="17" t="s">
        <v>86</v>
      </c>
      <c r="C12" s="17" t="s">
        <v>18</v>
      </c>
      <c r="D12" s="59"/>
      <c r="F12" s="17"/>
      <c r="G12" s="17"/>
      <c r="H12" s="17"/>
      <c r="I12" s="17"/>
      <c r="J12" s="17"/>
    </row>
    <row r="13" spans="1:10" ht="15" customHeight="1">
      <c r="A13" s="17" t="s">
        <v>86</v>
      </c>
      <c r="C13" s="17" t="s">
        <v>19</v>
      </c>
      <c r="D13" s="59"/>
      <c r="F13" s="17"/>
      <c r="G13" s="17"/>
      <c r="H13" s="17"/>
      <c r="I13" s="17"/>
      <c r="J13" s="17"/>
    </row>
    <row r="14" spans="1:10" ht="15" customHeight="1">
      <c r="A14" s="17" t="s">
        <v>86</v>
      </c>
      <c r="C14" s="17" t="s">
        <v>20</v>
      </c>
      <c r="D14" s="59"/>
      <c r="F14" s="17"/>
      <c r="G14" s="17"/>
      <c r="H14" s="17"/>
      <c r="I14" s="17"/>
      <c r="J14" s="17"/>
    </row>
    <row r="15" spans="1:10" ht="15" customHeight="1">
      <c r="A15" s="17" t="s">
        <v>86</v>
      </c>
      <c r="C15" s="17" t="s">
        <v>21</v>
      </c>
      <c r="D15" s="59"/>
      <c r="F15" s="17"/>
      <c r="G15" s="17"/>
      <c r="H15" s="17"/>
      <c r="I15" s="17"/>
      <c r="J15" s="17"/>
    </row>
    <row r="16" spans="1:10" ht="15" customHeight="1">
      <c r="A16" s="17" t="s">
        <v>86</v>
      </c>
      <c r="C16" s="17" t="s">
        <v>22</v>
      </c>
      <c r="D16" s="59"/>
      <c r="F16" s="17"/>
      <c r="G16" s="17"/>
      <c r="H16" s="17"/>
      <c r="I16" s="17"/>
      <c r="J16" s="17"/>
    </row>
    <row r="17" spans="1:10" ht="15" customHeight="1">
      <c r="A17" s="17" t="s">
        <v>86</v>
      </c>
      <c r="C17" s="17" t="s">
        <v>23</v>
      </c>
      <c r="D17" s="59"/>
      <c r="F17" s="17"/>
      <c r="G17" s="17"/>
      <c r="H17" s="17"/>
      <c r="I17" s="17"/>
      <c r="J17" s="17"/>
    </row>
    <row r="18" spans="1:10" ht="15" customHeight="1">
      <c r="A18" s="17" t="s">
        <v>86</v>
      </c>
      <c r="C18" s="17" t="s">
        <v>24</v>
      </c>
      <c r="D18" s="59"/>
      <c r="F18" s="17"/>
      <c r="G18" s="17"/>
      <c r="H18" s="17"/>
      <c r="I18" s="17"/>
      <c r="J18" s="17"/>
    </row>
    <row r="19" spans="1:10" ht="15" customHeight="1">
      <c r="A19" s="17" t="s">
        <v>86</v>
      </c>
      <c r="C19" s="17" t="s">
        <v>96</v>
      </c>
      <c r="D19" s="59"/>
      <c r="F19" s="17"/>
      <c r="G19" s="17"/>
      <c r="H19" s="17"/>
      <c r="I19" s="17"/>
      <c r="J19" s="17"/>
    </row>
    <row r="20" spans="1:10" ht="15" customHeight="1">
      <c r="A20" s="17" t="s">
        <v>86</v>
      </c>
      <c r="C20" s="17" t="s">
        <v>97</v>
      </c>
      <c r="D20" s="59"/>
      <c r="F20" s="17"/>
      <c r="G20" s="17"/>
      <c r="H20" s="17"/>
      <c r="I20" s="17"/>
      <c r="J20" s="17"/>
    </row>
    <row r="21" spans="1:10" ht="15" customHeight="1">
      <c r="A21" s="17" t="s">
        <v>86</v>
      </c>
      <c r="C21" s="17" t="s">
        <v>98</v>
      </c>
      <c r="D21" s="59"/>
      <c r="F21" s="17"/>
      <c r="G21" s="17"/>
      <c r="H21" s="17"/>
      <c r="I21" s="17"/>
      <c r="J21" s="17"/>
    </row>
    <row r="22" spans="1:10" ht="15" customHeight="1">
      <c r="A22" s="17" t="s">
        <v>86</v>
      </c>
      <c r="C22" s="17" t="s">
        <v>99</v>
      </c>
      <c r="D22" s="59"/>
      <c r="F22" s="17"/>
      <c r="G22" s="17"/>
      <c r="H22" s="17"/>
      <c r="I22" s="17"/>
      <c r="J22" s="17"/>
    </row>
    <row r="23" spans="1:10" ht="15" customHeight="1" thickBot="1">
      <c r="A23" s="42" t="s">
        <v>86</v>
      </c>
      <c r="B23" s="42"/>
      <c r="C23" s="42" t="s">
        <v>100</v>
      </c>
      <c r="D23" s="60"/>
      <c r="E23" s="42"/>
      <c r="F23" s="42"/>
      <c r="G23" s="42"/>
      <c r="H23" s="42"/>
      <c r="I23" s="42"/>
      <c r="J23" s="1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1C4D3DCA-CF7D-4BB9-87AB-7D94CDC66985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1CFC723D-66FA-4CA7-8C34-37596A95140D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40</vt:i4>
      </vt:variant>
    </vt:vector>
  </HeadingPairs>
  <TitlesOfParts>
    <vt:vector size="46" baseType="lpstr">
      <vt:lpstr>Summary Table</vt:lpstr>
      <vt:lpstr>Automation</vt:lpstr>
      <vt:lpstr>Yield, Bubble Pinch</vt:lpstr>
      <vt:lpstr>Fract-Band</vt:lpstr>
      <vt:lpstr>SPTT Entry</vt:lpstr>
      <vt:lpstr>Template</vt:lpstr>
      <vt:lpstr>Automation!solver_adj</vt:lpstr>
      <vt:lpstr>Automation!solver_lhs1</vt:lpstr>
      <vt:lpstr>'Summary Table'!solver_lhs1</vt:lpstr>
      <vt:lpstr>Automation!solver_lhs10</vt:lpstr>
      <vt:lpstr>Automation!solver_lhs11</vt:lpstr>
      <vt:lpstr>Automation!solver_lhs12</vt:lpstr>
      <vt:lpstr>Automation!solver_lhs13</vt:lpstr>
      <vt:lpstr>Automation!solver_lhs14</vt:lpstr>
      <vt:lpstr>Automation!solver_lhs15</vt:lpstr>
      <vt:lpstr>Automation!solver_lhs16</vt:lpstr>
      <vt:lpstr>Automation!solver_lhs17</vt:lpstr>
      <vt:lpstr>Automation!solver_lhs18</vt:lpstr>
      <vt:lpstr>Automation!solver_lhs19</vt:lpstr>
      <vt:lpstr>Automation!solver_lhs2</vt:lpstr>
      <vt:lpstr>'Summary Table'!solver_lhs2</vt:lpstr>
      <vt:lpstr>Automation!solver_lhs20</vt:lpstr>
      <vt:lpstr>Automation!solver_lhs21</vt:lpstr>
      <vt:lpstr>Automation!solver_lhs22</vt:lpstr>
      <vt:lpstr>Automation!solver_lhs23</vt:lpstr>
      <vt:lpstr>Automation!solver_lhs24</vt:lpstr>
      <vt:lpstr>Automation!solver_lhs25</vt:lpstr>
      <vt:lpstr>Automation!solver_lhs26</vt:lpstr>
      <vt:lpstr>Automation!solver_lhs27</vt:lpstr>
      <vt:lpstr>Automation!solver_lhs28</vt:lpstr>
      <vt:lpstr>Automation!solver_lhs3</vt:lpstr>
      <vt:lpstr>Automation!solver_lhs4</vt:lpstr>
      <vt:lpstr>'Summary Table'!solver_lhs4</vt:lpstr>
      <vt:lpstr>Automation!solver_lhs5</vt:lpstr>
      <vt:lpstr>Automation!solver_lhs6</vt:lpstr>
      <vt:lpstr>Automation!solver_lhs7</vt:lpstr>
      <vt:lpstr>Automation!solver_lhs8</vt:lpstr>
      <vt:lpstr>Automation!solver_lhs9</vt:lpstr>
      <vt:lpstr>Automation!solver_opt</vt:lpstr>
      <vt:lpstr>Automation!solver_rhs1</vt:lpstr>
      <vt:lpstr>Automation!solver_rhs13</vt:lpstr>
      <vt:lpstr>Automation!solver_rhs17</vt:lpstr>
      <vt:lpstr>Automation!solver_rhs21</vt:lpstr>
      <vt:lpstr>Automation!solver_rhs25</vt:lpstr>
      <vt:lpstr>Automation!solver_rhs5</vt:lpstr>
      <vt:lpstr>Automation!solver_rhs9</vt:lpstr>
    </vt:vector>
  </TitlesOfParts>
  <Company>Procter &amp; Gamble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Lipic</dc:creator>
  <cp:lastModifiedBy>mallon.dr</cp:lastModifiedBy>
  <cp:lastPrinted>2014-10-27T20:32:30Z</cp:lastPrinted>
  <dcterms:created xsi:type="dcterms:W3CDTF">2013-02-21T02:59:43Z</dcterms:created>
  <dcterms:modified xsi:type="dcterms:W3CDTF">2016-05-03T19:59:49Z</dcterms:modified>
</cp:coreProperties>
</file>