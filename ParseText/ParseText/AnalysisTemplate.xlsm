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wmf" ContentType="image/x-w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defaultThemeVersion="124226"/>
  <bookViews>
    <workbookView xWindow="2220" yWindow="435" windowWidth="10845" windowHeight="5055" tabRatio="548"/>
  </bookViews>
  <sheets>
    <sheet name="Summary Table" sheetId="1" r:id="rId1"/>
    <sheet name="Automation" sheetId="7" r:id="rId2"/>
    <sheet name="Yield, Bubble Pinch" sheetId="11" r:id="rId3"/>
    <sheet name="Fract-Band" sheetId="12" r:id="rId4"/>
    <sheet name="SPTT Entry" sheetId="15" r:id="rId5"/>
    <sheet name="Template" sheetId="16" r:id="rId6"/>
  </sheets>
  <definedNames>
    <definedName name="solver_adj" localSheetId="1" hidden="1">Automation!$M$4:$M$6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Automation!$M$5</definedName>
    <definedName name="solver_lhs1" localSheetId="0" hidden="1">'Summary Table'!$L$6</definedName>
    <definedName name="solver_lhs10" localSheetId="1" hidden="1">Automation!$M$5</definedName>
    <definedName name="solver_lhs11" localSheetId="1" hidden="1">Automation!$M$4</definedName>
    <definedName name="solver_lhs12" localSheetId="1" hidden="1">Automation!$M$6</definedName>
    <definedName name="solver_lhs13" localSheetId="1" hidden="1">Automation!$M$5</definedName>
    <definedName name="solver_lhs14" localSheetId="1" hidden="1">Automation!$M$5</definedName>
    <definedName name="solver_lhs15" localSheetId="1" hidden="1">Automation!$M$4</definedName>
    <definedName name="solver_lhs16" localSheetId="1" hidden="1">Automation!$M$6</definedName>
    <definedName name="solver_lhs17" localSheetId="1" hidden="1">Automation!$M$5</definedName>
    <definedName name="solver_lhs18" localSheetId="1" hidden="1">Automation!$M$5</definedName>
    <definedName name="solver_lhs19" localSheetId="1" hidden="1">Automation!$M$4</definedName>
    <definedName name="solver_lhs2" localSheetId="1" hidden="1">Automation!$M$5</definedName>
    <definedName name="solver_lhs2" localSheetId="0" hidden="1">'Summary Table'!$L$6</definedName>
    <definedName name="solver_lhs20" localSheetId="1" hidden="1">Automation!$M$6</definedName>
    <definedName name="solver_lhs21" localSheetId="1" hidden="1">Automation!$M$5</definedName>
    <definedName name="solver_lhs22" localSheetId="1" hidden="1">Automation!$M$5</definedName>
    <definedName name="solver_lhs23" localSheetId="1" hidden="1">Automation!$M$4</definedName>
    <definedName name="solver_lhs24" localSheetId="1" hidden="1">Automation!$M$6</definedName>
    <definedName name="solver_lhs25" localSheetId="1" hidden="1">Automation!$M$5</definedName>
    <definedName name="solver_lhs26" localSheetId="1" hidden="1">Automation!$M$5</definedName>
    <definedName name="solver_lhs27" localSheetId="1" hidden="1">Automation!$M$4</definedName>
    <definedName name="solver_lhs28" localSheetId="1" hidden="1">Automation!$M$6</definedName>
    <definedName name="solver_lhs3" localSheetId="1" hidden="1">Automation!$M$4</definedName>
    <definedName name="solver_lhs3" localSheetId="0" hidden="1">'Summary Table'!#REF!</definedName>
    <definedName name="solver_lhs4" localSheetId="1" hidden="1">Automation!$M$6</definedName>
    <definedName name="solver_lhs4" localSheetId="0" hidden="1">'Summary Table'!$L$7</definedName>
    <definedName name="solver_lhs5" localSheetId="1" hidden="1">Automation!$M$5</definedName>
    <definedName name="solver_lhs6" localSheetId="1" hidden="1">Automation!$M$5</definedName>
    <definedName name="solver_lhs7" localSheetId="1" hidden="1">Automation!$M$4</definedName>
    <definedName name="solver_lhs8" localSheetId="1" hidden="1">Automation!$M$6</definedName>
    <definedName name="solver_lhs9" localSheetId="1" hidden="1">Automation!$M$5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4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Automation!$M$3</definedName>
    <definedName name="solver_pre" localSheetId="1" hidden="1">0.000001</definedName>
    <definedName name="solver_pre" localSheetId="0" hidden="1">0.000001</definedName>
    <definedName name="solver_rel1" localSheetId="1" hidden="1">1</definedName>
    <definedName name="solver_rel1" localSheetId="0" hidden="1">1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" localSheetId="0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1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1</definedName>
    <definedName name="solver_rhs1" localSheetId="1" hidden="1">Automation!$M$4</definedName>
    <definedName name="solver_rhs1" localSheetId="0" hidden="1">'Summary Table'!#REF!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Automation!$M$4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Automation!$M$4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" localSheetId="0" hidden="1">0</definedName>
    <definedName name="solver_rhs20" localSheetId="1" hidden="1">0</definedName>
    <definedName name="solver_rhs21" localSheetId="1" hidden="1">Automation!$M$4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Automation!$M$4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Automation!$M$4</definedName>
    <definedName name="solver_rhs6" localSheetId="1" hidden="1">0</definedName>
    <definedName name="solver_rhs7" localSheetId="1" hidden="1">0</definedName>
    <definedName name="solver_rhs8" localSheetId="1" hidden="1">0</definedName>
    <definedName name="solver_rhs9" localSheetId="1" hidden="1">Automation!$M$4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</definedNames>
  <calcPr calcId="125725"/>
</workbook>
</file>

<file path=xl/calcChain.xml><?xml version="1.0" encoding="utf-8"?>
<calcChain xmlns="http://schemas.openxmlformats.org/spreadsheetml/2006/main">
  <c r="M31" i="11"/>
  <c r="H8"/>
  <c r="H7"/>
  <c r="H6"/>
  <c r="H5"/>
  <c r="M3"/>
  <c r="K3" l="1"/>
  <c r="L3"/>
  <c r="M27" l="1"/>
  <c r="M28"/>
  <c r="M29"/>
  <c r="M30"/>
  <c r="M32"/>
  <c r="M33"/>
  <c r="M34"/>
  <c r="M35"/>
  <c r="M36"/>
  <c r="M37"/>
  <c r="M38"/>
  <c r="M39"/>
  <c r="M40"/>
  <c r="AB4" i="7" a="1"/>
  <c r="AB4" s="1"/>
  <c r="AB5" a="1"/>
  <c r="AB5" s="1"/>
  <c r="AB6" a="1"/>
  <c r="AB6" s="1"/>
  <c r="AB7" a="1"/>
  <c r="AB7" s="1"/>
  <c r="AB8" a="1"/>
  <c r="AB8" s="1"/>
  <c r="AB9" a="1"/>
  <c r="AB9" s="1"/>
  <c r="AB10" a="1"/>
  <c r="AB10" s="1"/>
  <c r="AB11" a="1"/>
  <c r="AB11" s="1"/>
  <c r="AB12" a="1"/>
  <c r="AB12" s="1"/>
  <c r="AB13" a="1"/>
  <c r="AB13" s="1"/>
  <c r="AB14" a="1"/>
  <c r="AB14" s="1"/>
  <c r="AB15" a="1"/>
  <c r="AB15" s="1"/>
  <c r="AB16" a="1"/>
  <c r="AB16" s="1"/>
  <c r="AB17" a="1"/>
  <c r="AB17" s="1"/>
  <c r="AB18" a="1"/>
  <c r="AB18" s="1"/>
  <c r="AB19" a="1"/>
  <c r="AB19" s="1"/>
  <c r="AB20" a="1"/>
  <c r="AB20" s="1"/>
  <c r="AB21" a="1"/>
  <c r="AB21" s="1"/>
  <c r="AB22" a="1"/>
  <c r="AB22" s="1"/>
  <c r="AB23" a="1"/>
  <c r="AB23" s="1"/>
  <c r="AB24" a="1"/>
  <c r="AB24" s="1"/>
  <c r="AB25" a="1"/>
  <c r="AB25" s="1"/>
  <c r="AB26" a="1"/>
  <c r="AB26" s="1"/>
  <c r="AB27" a="1"/>
  <c r="AB27" s="1"/>
  <c r="AB28" a="1"/>
  <c r="AB28" s="1"/>
  <c r="AB29" a="1"/>
  <c r="AB29" s="1"/>
  <c r="AB30" a="1"/>
  <c r="AB30" s="1"/>
  <c r="AB31" a="1"/>
  <c r="AB31" s="1"/>
  <c r="AB32" a="1"/>
  <c r="AB32" s="1"/>
  <c r="AB33" a="1"/>
  <c r="AB33" s="1"/>
  <c r="AB34" a="1"/>
  <c r="AB34" s="1"/>
  <c r="AB35" a="1"/>
  <c r="AB35" s="1"/>
  <c r="AB36" a="1"/>
  <c r="AB36" s="1"/>
  <c r="AB37" a="1"/>
  <c r="AB37" s="1"/>
  <c r="AB38" a="1"/>
  <c r="AB38" s="1"/>
  <c r="AB39" a="1"/>
  <c r="AB39" s="1"/>
  <c r="AB40" a="1"/>
  <c r="AB40" s="1"/>
  <c r="AB41" a="1"/>
  <c r="AB41" s="1"/>
  <c r="AB42" a="1"/>
  <c r="AB42" s="1"/>
  <c r="AB43" a="1"/>
  <c r="AB43" s="1"/>
  <c r="AB44" a="1"/>
  <c r="AB44" s="1"/>
  <c r="AB45" a="1"/>
  <c r="AB45" s="1"/>
  <c r="AB46" a="1"/>
  <c r="AB46" s="1"/>
  <c r="AB47" a="1"/>
  <c r="AB47" s="1"/>
  <c r="AB48" a="1"/>
  <c r="AB48" s="1"/>
  <c r="AB49" a="1"/>
  <c r="AB49" s="1"/>
  <c r="AB50" a="1"/>
  <c r="AB50" s="1"/>
  <c r="AB51" a="1"/>
  <c r="AB51" s="1"/>
  <c r="AB52" a="1"/>
  <c r="AB52" s="1"/>
  <c r="AB53" a="1"/>
  <c r="AB53" s="1"/>
  <c r="AB54" a="1"/>
  <c r="AB54" s="1"/>
  <c r="AB55" a="1"/>
  <c r="AB55" s="1"/>
  <c r="AB56" a="1"/>
  <c r="AB56" s="1"/>
  <c r="AB57" a="1"/>
  <c r="AB57" s="1"/>
  <c r="AB58" a="1"/>
  <c r="AB58" s="1"/>
  <c r="AB59" a="1"/>
  <c r="AB59" s="1"/>
  <c r="AB60" a="1"/>
  <c r="AB60" s="1"/>
  <c r="AB61" a="1"/>
  <c r="AB61" s="1"/>
  <c r="AB62" a="1"/>
  <c r="AB62" s="1"/>
  <c r="AB63" a="1"/>
  <c r="AB63" s="1"/>
  <c r="AB64" a="1"/>
  <c r="AB64" s="1"/>
  <c r="AB65" a="1"/>
  <c r="AB65" s="1"/>
  <c r="AB66" a="1"/>
  <c r="AB66" s="1"/>
  <c r="AB67" a="1"/>
  <c r="AB67" s="1"/>
  <c r="AB68" a="1"/>
  <c r="AB68" s="1"/>
  <c r="AB69" a="1"/>
  <c r="AB69" s="1"/>
  <c r="AB70" a="1"/>
  <c r="AB70" s="1"/>
  <c r="AB71" a="1"/>
  <c r="AB71" s="1"/>
  <c r="AB72" a="1"/>
  <c r="AB72" s="1"/>
  <c r="AB73" a="1"/>
  <c r="AB73" s="1"/>
  <c r="AB74" a="1"/>
  <c r="AB74" s="1"/>
  <c r="AB75" a="1"/>
  <c r="AB75" s="1"/>
  <c r="AB76" a="1"/>
  <c r="AB76" s="1"/>
  <c r="AB77" a="1"/>
  <c r="AB77" s="1"/>
  <c r="AB78" a="1"/>
  <c r="AB78" s="1"/>
  <c r="AB79" a="1"/>
  <c r="AB79" s="1"/>
  <c r="AB80" a="1"/>
  <c r="AB80" s="1"/>
  <c r="AB81" a="1"/>
  <c r="AB81" s="1"/>
  <c r="AB82" a="1"/>
  <c r="AB82" s="1"/>
  <c r="AB83" a="1"/>
  <c r="AB83" s="1"/>
  <c r="AB84" a="1"/>
  <c r="AB84" s="1"/>
  <c r="AB85" a="1"/>
  <c r="AB85" s="1"/>
  <c r="AB86" a="1"/>
  <c r="AB86" s="1"/>
  <c r="AB87" a="1"/>
  <c r="AB87" s="1"/>
  <c r="AB88" a="1"/>
  <c r="AB88" s="1"/>
  <c r="AB89" a="1"/>
  <c r="AB89" s="1"/>
  <c r="AB90" a="1"/>
  <c r="AB90" s="1"/>
  <c r="AB91" a="1"/>
  <c r="AB91" s="1"/>
  <c r="AB92" a="1"/>
  <c r="AB92" s="1"/>
  <c r="AB93" a="1"/>
  <c r="AB93" s="1"/>
  <c r="AB94" a="1"/>
  <c r="AB94" s="1"/>
  <c r="AB95" a="1"/>
  <c r="AB95" s="1"/>
  <c r="AB96" a="1"/>
  <c r="AB96" s="1"/>
  <c r="AB97" a="1"/>
  <c r="AB97" s="1"/>
  <c r="AB98" a="1"/>
  <c r="AB98" s="1"/>
  <c r="AB99" a="1"/>
  <c r="AB99" s="1"/>
  <c r="AB100" a="1"/>
  <c r="AB100" s="1"/>
  <c r="AB101" a="1"/>
  <c r="AB101" s="1"/>
  <c r="AB102" a="1"/>
  <c r="AB102" s="1"/>
  <c r="AB103" a="1"/>
  <c r="AB103" s="1"/>
  <c r="AB104" a="1"/>
  <c r="AB104" s="1"/>
  <c r="AB105" a="1"/>
  <c r="AB105" s="1"/>
  <c r="AB106" a="1"/>
  <c r="AB106" s="1"/>
  <c r="AB107" a="1"/>
  <c r="AB107" s="1"/>
  <c r="AB108" a="1"/>
  <c r="AB108" s="1"/>
  <c r="AB109" a="1"/>
  <c r="AB109" s="1"/>
  <c r="AB110" a="1"/>
  <c r="AB110" s="1"/>
  <c r="AB111" a="1"/>
  <c r="AB111" s="1"/>
  <c r="AB112" a="1"/>
  <c r="AB112" s="1"/>
  <c r="AB113" a="1"/>
  <c r="AB113" s="1"/>
  <c r="AB114" a="1"/>
  <c r="AB114" s="1"/>
  <c r="AB115" a="1"/>
  <c r="AB115" s="1"/>
  <c r="AB116" a="1"/>
  <c r="AB116" s="1"/>
  <c r="AB117" a="1"/>
  <c r="AB117" s="1"/>
  <c r="AB118" a="1"/>
  <c r="AB118" s="1"/>
  <c r="AB119" a="1"/>
  <c r="AB119" s="1"/>
  <c r="AB120" a="1"/>
  <c r="AB120" s="1"/>
  <c r="AB121" a="1"/>
  <c r="AB121" s="1"/>
  <c r="AB122" a="1"/>
  <c r="AB122" s="1"/>
  <c r="AB123" a="1"/>
  <c r="AB123" s="1"/>
  <c r="AB124" a="1"/>
  <c r="AB124" s="1"/>
  <c r="AB125" a="1"/>
  <c r="AB125" s="1"/>
  <c r="AB126" a="1"/>
  <c r="AB126" s="1"/>
  <c r="AB127" a="1"/>
  <c r="AB127" s="1"/>
  <c r="AB128" a="1"/>
  <c r="AB128" s="1"/>
  <c r="AB129" a="1"/>
  <c r="AB129" s="1"/>
  <c r="AB130" a="1"/>
  <c r="AB130" s="1"/>
  <c r="AB131" a="1"/>
  <c r="AB131" s="1"/>
  <c r="AB132" a="1"/>
  <c r="AB132" s="1"/>
  <c r="AB133" a="1"/>
  <c r="AB133" s="1"/>
  <c r="AB134" a="1"/>
  <c r="AB134" s="1"/>
  <c r="AB135" a="1"/>
  <c r="AB135" s="1"/>
  <c r="AB136" a="1"/>
  <c r="AB136" s="1"/>
  <c r="AB137" a="1"/>
  <c r="AB137" s="1"/>
  <c r="AB138" a="1"/>
  <c r="AB138" s="1"/>
  <c r="AB139" a="1"/>
  <c r="AB139" s="1"/>
  <c r="AB140" a="1"/>
  <c r="AB140" s="1"/>
  <c r="AB141" a="1"/>
  <c r="AB141" s="1"/>
  <c r="AB142" a="1"/>
  <c r="AB142" s="1"/>
  <c r="AB143" a="1"/>
  <c r="AB143" s="1"/>
  <c r="AB144" a="1"/>
  <c r="AB144" s="1"/>
  <c r="AB145" a="1"/>
  <c r="AB145" s="1"/>
  <c r="AB146" a="1"/>
  <c r="AB146" s="1"/>
  <c r="AB147" a="1"/>
  <c r="AB147" s="1"/>
  <c r="AB148" a="1"/>
  <c r="AB148" s="1"/>
  <c r="E33" i="12"/>
  <c r="F33" s="1"/>
  <c r="E32"/>
  <c r="F32" s="1"/>
  <c r="E31"/>
  <c r="F31" s="1"/>
  <c r="E204"/>
  <c r="F204" s="1"/>
  <c r="E205"/>
  <c r="F205" s="1"/>
  <c r="E206"/>
  <c r="F206" s="1"/>
  <c r="E207"/>
  <c r="F207" s="1"/>
  <c r="E208"/>
  <c r="F208" s="1"/>
  <c r="E209"/>
  <c r="F209" s="1"/>
  <c r="E210"/>
  <c r="F210" s="1"/>
  <c r="E211"/>
  <c r="F211" s="1"/>
  <c r="E212"/>
  <c r="F212" s="1"/>
  <c r="E213"/>
  <c r="F213" s="1"/>
  <c r="E214"/>
  <c r="F214" s="1"/>
  <c r="E215"/>
  <c r="F215" s="1"/>
  <c r="E216"/>
  <c r="F216" s="1"/>
  <c r="E217"/>
  <c r="F217" s="1"/>
  <c r="E218"/>
  <c r="F218" s="1"/>
  <c r="E219"/>
  <c r="F219" s="1"/>
  <c r="E220"/>
  <c r="F220" s="1"/>
  <c r="E221"/>
  <c r="F221" s="1"/>
  <c r="E222"/>
  <c r="F222" s="1"/>
  <c r="E223"/>
  <c r="F223" s="1"/>
  <c r="E224"/>
  <c r="F224" s="1"/>
  <c r="E225"/>
  <c r="F225" s="1"/>
  <c r="E226"/>
  <c r="F226" s="1"/>
  <c r="E227"/>
  <c r="F227" s="1"/>
  <c r="E228"/>
  <c r="F228" s="1"/>
  <c r="E229"/>
  <c r="F229" s="1"/>
  <c r="E230"/>
  <c r="F230" s="1"/>
  <c r="E231"/>
  <c r="F231" s="1"/>
  <c r="E232"/>
  <c r="F232" s="1"/>
  <c r="E233"/>
  <c r="F233" s="1"/>
  <c r="E234"/>
  <c r="F234" s="1"/>
  <c r="E235"/>
  <c r="F235" s="1"/>
  <c r="E236"/>
  <c r="F236" s="1"/>
  <c r="E237"/>
  <c r="F237" s="1"/>
  <c r="E238"/>
  <c r="F238" s="1"/>
  <c r="E239"/>
  <c r="F239" s="1"/>
  <c r="E240"/>
  <c r="F240" s="1"/>
  <c r="E241"/>
  <c r="F241" s="1"/>
  <c r="E242"/>
  <c r="F242" s="1"/>
  <c r="E243"/>
  <c r="F243" s="1"/>
  <c r="E244"/>
  <c r="F244" s="1"/>
  <c r="E245"/>
  <c r="F245" s="1"/>
  <c r="E246"/>
  <c r="F246" s="1"/>
  <c r="E247"/>
  <c r="F247" s="1"/>
  <c r="E248"/>
  <c r="F248" s="1"/>
  <c r="E249"/>
  <c r="F249" s="1"/>
  <c r="E250"/>
  <c r="F250" s="1"/>
  <c r="E251"/>
  <c r="F251" s="1"/>
  <c r="E252"/>
  <c r="F252" s="1"/>
  <c r="E253"/>
  <c r="F253" s="1"/>
  <c r="E254"/>
  <c r="F254" s="1"/>
  <c r="E255"/>
  <c r="F255" s="1"/>
  <c r="E256"/>
  <c r="F256" s="1"/>
  <c r="E257"/>
  <c r="F257" s="1"/>
  <c r="E258"/>
  <c r="F258" s="1"/>
  <c r="E259"/>
  <c r="F259" s="1"/>
  <c r="E260"/>
  <c r="F260" s="1"/>
  <c r="E261"/>
  <c r="F261" s="1"/>
  <c r="E262"/>
  <c r="F262" s="1"/>
  <c r="E263"/>
  <c r="F263" s="1"/>
  <c r="E264"/>
  <c r="F264" s="1"/>
  <c r="E265"/>
  <c r="F265" s="1"/>
  <c r="E266"/>
  <c r="F266" s="1"/>
  <c r="E267"/>
  <c r="F267" s="1"/>
  <c r="E268"/>
  <c r="F268" s="1"/>
  <c r="E269"/>
  <c r="F269" s="1"/>
  <c r="E270"/>
  <c r="F270" s="1"/>
  <c r="E271"/>
  <c r="F271" s="1"/>
  <c r="E272"/>
  <c r="F272" s="1"/>
  <c r="E273"/>
  <c r="F273" s="1"/>
  <c r="E274"/>
  <c r="F274" s="1"/>
  <c r="E275"/>
  <c r="F275" s="1"/>
  <c r="E276"/>
  <c r="F276" s="1"/>
  <c r="E277"/>
  <c r="F277" s="1"/>
  <c r="E278"/>
  <c r="F278" s="1"/>
  <c r="E279"/>
  <c r="F279" s="1"/>
  <c r="E280"/>
  <c r="F280" s="1"/>
  <c r="E281"/>
  <c r="F281" s="1"/>
  <c r="E282"/>
  <c r="F282" s="1"/>
  <c r="E283"/>
  <c r="F283" s="1"/>
  <c r="E284"/>
  <c r="F284" s="1"/>
  <c r="E285"/>
  <c r="F285" s="1"/>
  <c r="E286"/>
  <c r="F286" s="1"/>
  <c r="E287"/>
  <c r="F287" s="1"/>
  <c r="E288"/>
  <c r="F288" s="1"/>
  <c r="E289"/>
  <c r="F289" s="1"/>
  <c r="E290"/>
  <c r="F290" s="1"/>
  <c r="E291"/>
  <c r="F291" s="1"/>
  <c r="E292"/>
  <c r="F292" s="1"/>
  <c r="E293"/>
  <c r="F293" s="1"/>
  <c r="E294"/>
  <c r="F294" s="1"/>
  <c r="E295"/>
  <c r="F295" s="1"/>
  <c r="E296"/>
  <c r="F296" s="1"/>
  <c r="E297"/>
  <c r="F297" s="1"/>
  <c r="E298"/>
  <c r="F298" s="1"/>
  <c r="E299"/>
  <c r="F299" s="1"/>
  <c r="E300"/>
  <c r="F300" s="1"/>
  <c r="E301"/>
  <c r="F301" s="1"/>
  <c r="E302"/>
  <c r="F302" s="1"/>
  <c r="E303"/>
  <c r="F303" s="1"/>
  <c r="E304"/>
  <c r="F304" s="1"/>
  <c r="E305"/>
  <c r="F305" s="1"/>
  <c r="E306"/>
  <c r="F306" s="1"/>
  <c r="E307"/>
  <c r="F307" s="1"/>
  <c r="E308"/>
  <c r="F308" s="1"/>
  <c r="E309"/>
  <c r="F309" s="1"/>
  <c r="E310"/>
  <c r="F310" s="1"/>
  <c r="E311"/>
  <c r="F311" s="1"/>
  <c r="E312"/>
  <c r="F312" s="1"/>
  <c r="E313"/>
  <c r="F313" s="1"/>
  <c r="E314"/>
  <c r="F314" s="1"/>
  <c r="E315"/>
  <c r="F315" s="1"/>
  <c r="E316"/>
  <c r="F316" s="1"/>
  <c r="E317"/>
  <c r="F317" s="1"/>
  <c r="E318"/>
  <c r="F318" s="1"/>
  <c r="E319"/>
  <c r="F319" s="1"/>
  <c r="E320"/>
  <c r="F320" s="1"/>
  <c r="E321"/>
  <c r="F321" s="1"/>
  <c r="E322"/>
  <c r="F322" s="1"/>
  <c r="E323"/>
  <c r="F323" s="1"/>
  <c r="E324"/>
  <c r="F324" s="1"/>
  <c r="E325"/>
  <c r="F325" s="1"/>
  <c r="E326"/>
  <c r="F326" s="1"/>
  <c r="E327"/>
  <c r="F327" s="1"/>
  <c r="E328"/>
  <c r="F328" s="1"/>
  <c r="E329"/>
  <c r="F329" s="1"/>
  <c r="E330"/>
  <c r="F330" s="1"/>
  <c r="E331"/>
  <c r="F331" s="1"/>
  <c r="E332"/>
  <c r="F332" s="1"/>
  <c r="E333"/>
  <c r="F333" s="1"/>
  <c r="E334"/>
  <c r="F334" s="1"/>
  <c r="E335"/>
  <c r="F335" s="1"/>
  <c r="E336"/>
  <c r="F336" s="1"/>
  <c r="E337"/>
  <c r="F337" s="1"/>
  <c r="E338"/>
  <c r="F338" s="1"/>
  <c r="E339"/>
  <c r="F339" s="1"/>
  <c r="E340"/>
  <c r="F340" s="1"/>
  <c r="E341"/>
  <c r="F341" s="1"/>
  <c r="E342"/>
  <c r="F342" s="1"/>
  <c r="E343"/>
  <c r="F343" s="1"/>
  <c r="E344"/>
  <c r="F344" s="1"/>
  <c r="E345"/>
  <c r="F345" s="1"/>
  <c r="E346"/>
  <c r="F346" s="1"/>
  <c r="E347"/>
  <c r="F347" s="1"/>
  <c r="E348"/>
  <c r="F348" s="1"/>
  <c r="E349"/>
  <c r="F349" s="1"/>
  <c r="E350"/>
  <c r="F350" s="1"/>
  <c r="E351"/>
  <c r="F351" s="1"/>
  <c r="E352"/>
  <c r="F352" s="1"/>
  <c r="E353"/>
  <c r="F353" s="1"/>
  <c r="E354"/>
  <c r="F354" s="1"/>
  <c r="E355"/>
  <c r="F355" s="1"/>
  <c r="E356"/>
  <c r="F356" s="1"/>
  <c r="E357"/>
  <c r="F357" s="1"/>
  <c r="E358"/>
  <c r="F358" s="1"/>
  <c r="E359"/>
  <c r="F359" s="1"/>
  <c r="E360"/>
  <c r="F360" s="1"/>
  <c r="E361"/>
  <c r="F361" s="1"/>
  <c r="E362"/>
  <c r="F362" s="1"/>
  <c r="E363"/>
  <c r="F363" s="1"/>
  <c r="E364"/>
  <c r="F364" s="1"/>
  <c r="E365"/>
  <c r="F365" s="1"/>
  <c r="E366"/>
  <c r="F366" s="1"/>
  <c r="E367"/>
  <c r="F367" s="1"/>
  <c r="E368"/>
  <c r="F368" s="1"/>
  <c r="E369"/>
  <c r="F369" s="1"/>
  <c r="E370"/>
  <c r="F370" s="1"/>
  <c r="E371"/>
  <c r="F371" s="1"/>
  <c r="E372"/>
  <c r="F372" s="1"/>
  <c r="E373"/>
  <c r="F373" s="1"/>
  <c r="E374"/>
  <c r="F374" s="1"/>
  <c r="E375"/>
  <c r="F375" s="1"/>
  <c r="E376"/>
  <c r="F376" s="1"/>
  <c r="E377"/>
  <c r="F377" s="1"/>
  <c r="E378"/>
  <c r="F378" s="1"/>
  <c r="E379"/>
  <c r="F379" s="1"/>
  <c r="E380"/>
  <c r="F380" s="1"/>
  <c r="E381"/>
  <c r="F381" s="1"/>
  <c r="E382"/>
  <c r="F382" s="1"/>
  <c r="E383"/>
  <c r="F383" s="1"/>
  <c r="E384"/>
  <c r="F384" s="1"/>
  <c r="E385"/>
  <c r="F385" s="1"/>
  <c r="E386"/>
  <c r="F386" s="1"/>
  <c r="E387"/>
  <c r="F387" s="1"/>
  <c r="E388"/>
  <c r="F388" s="1"/>
  <c r="E389"/>
  <c r="F389" s="1"/>
  <c r="E390"/>
  <c r="F390" s="1"/>
  <c r="E391"/>
  <c r="F391" s="1"/>
  <c r="E392"/>
  <c r="F392" s="1"/>
  <c r="E393"/>
  <c r="F393" s="1"/>
  <c r="E394"/>
  <c r="F394" s="1"/>
  <c r="E395"/>
  <c r="F395" s="1"/>
  <c r="E396"/>
  <c r="F396" s="1"/>
  <c r="E397"/>
  <c r="F397" s="1"/>
  <c r="E398"/>
  <c r="F398" s="1"/>
  <c r="E399"/>
  <c r="F399" s="1"/>
  <c r="E400"/>
  <c r="F400" s="1"/>
  <c r="E401"/>
  <c r="F401" s="1"/>
  <c r="E402"/>
  <c r="F402" s="1"/>
  <c r="E403"/>
  <c r="F403" s="1"/>
  <c r="E404"/>
  <c r="F404" s="1"/>
  <c r="E405"/>
  <c r="F405" s="1"/>
  <c r="E406"/>
  <c r="F406" s="1"/>
  <c r="E407"/>
  <c r="F407" s="1"/>
  <c r="E408"/>
  <c r="F408" s="1"/>
  <c r="E409"/>
  <c r="F409" s="1"/>
  <c r="E410"/>
  <c r="F410" s="1"/>
  <c r="E411"/>
  <c r="F411" s="1"/>
  <c r="E412"/>
  <c r="F412" s="1"/>
  <c r="E413"/>
  <c r="F413" s="1"/>
  <c r="E414"/>
  <c r="F414" s="1"/>
  <c r="E415"/>
  <c r="F415" s="1"/>
  <c r="E416"/>
  <c r="F416" s="1"/>
  <c r="E417"/>
  <c r="F417" s="1"/>
  <c r="E418"/>
  <c r="F418" s="1"/>
  <c r="E419"/>
  <c r="F419" s="1"/>
  <c r="E420"/>
  <c r="F420" s="1"/>
  <c r="E421"/>
  <c r="F421" s="1"/>
  <c r="I5"/>
  <c r="I4"/>
  <c r="E5"/>
  <c r="F5" s="1"/>
  <c r="E6"/>
  <c r="F6" s="1"/>
  <c r="E7"/>
  <c r="F7" s="1"/>
  <c r="E8"/>
  <c r="F8" s="1"/>
  <c r="E9"/>
  <c r="F9" s="1"/>
  <c r="E10"/>
  <c r="F10" s="1"/>
  <c r="E11"/>
  <c r="F11" s="1"/>
  <c r="E12"/>
  <c r="F12" s="1"/>
  <c r="E13"/>
  <c r="F13" s="1"/>
  <c r="E14"/>
  <c r="F14" s="1"/>
  <c r="E15"/>
  <c r="F15" s="1"/>
  <c r="E16"/>
  <c r="F16" s="1"/>
  <c r="E17"/>
  <c r="F17" s="1"/>
  <c r="E18"/>
  <c r="F18" s="1"/>
  <c r="E19"/>
  <c r="F19" s="1"/>
  <c r="E20"/>
  <c r="F20" s="1"/>
  <c r="E21"/>
  <c r="F21" s="1"/>
  <c r="E22"/>
  <c r="F22" s="1"/>
  <c r="E23"/>
  <c r="F23" s="1"/>
  <c r="E24"/>
  <c r="F24" s="1"/>
  <c r="E25"/>
  <c r="F25" s="1"/>
  <c r="E26"/>
  <c r="F26" s="1"/>
  <c r="E27"/>
  <c r="F27" s="1"/>
  <c r="E28"/>
  <c r="F28" s="1"/>
  <c r="E29"/>
  <c r="F29" s="1"/>
  <c r="E30"/>
  <c r="F30" s="1"/>
  <c r="E34"/>
  <c r="F34" s="1"/>
  <c r="E35"/>
  <c r="F35" s="1"/>
  <c r="E36"/>
  <c r="F36" s="1"/>
  <c r="E37"/>
  <c r="F37" s="1"/>
  <c r="E38"/>
  <c r="F38" s="1"/>
  <c r="E39"/>
  <c r="F39" s="1"/>
  <c r="E40"/>
  <c r="F40" s="1"/>
  <c r="E41"/>
  <c r="F41" s="1"/>
  <c r="E42"/>
  <c r="F42" s="1"/>
  <c r="E43"/>
  <c r="F43" s="1"/>
  <c r="E44"/>
  <c r="F44" s="1"/>
  <c r="E45"/>
  <c r="F45" s="1"/>
  <c r="E46"/>
  <c r="F46" s="1"/>
  <c r="E47"/>
  <c r="F47" s="1"/>
  <c r="E48"/>
  <c r="F48" s="1"/>
  <c r="E49"/>
  <c r="F49" s="1"/>
  <c r="E50"/>
  <c r="F50" s="1"/>
  <c r="E51"/>
  <c r="F51" s="1"/>
  <c r="E52"/>
  <c r="F52" s="1"/>
  <c r="E53"/>
  <c r="F53" s="1"/>
  <c r="E54"/>
  <c r="F54" s="1"/>
  <c r="E55"/>
  <c r="F55" s="1"/>
  <c r="E56"/>
  <c r="F56" s="1"/>
  <c r="E57"/>
  <c r="F57" s="1"/>
  <c r="E58"/>
  <c r="F58" s="1"/>
  <c r="E59"/>
  <c r="F59" s="1"/>
  <c r="E60"/>
  <c r="F60" s="1"/>
  <c r="E61"/>
  <c r="F61" s="1"/>
  <c r="E62"/>
  <c r="F62" s="1"/>
  <c r="E63"/>
  <c r="F63" s="1"/>
  <c r="E64"/>
  <c r="F64" s="1"/>
  <c r="E65"/>
  <c r="F65" s="1"/>
  <c r="E66"/>
  <c r="F66" s="1"/>
  <c r="E67"/>
  <c r="F67" s="1"/>
  <c r="E68"/>
  <c r="F68" s="1"/>
  <c r="E69"/>
  <c r="F69" s="1"/>
  <c r="E70"/>
  <c r="F70" s="1"/>
  <c r="E71"/>
  <c r="F71" s="1"/>
  <c r="E72"/>
  <c r="F72" s="1"/>
  <c r="E73"/>
  <c r="F73" s="1"/>
  <c r="E74"/>
  <c r="F74" s="1"/>
  <c r="E75"/>
  <c r="F75" s="1"/>
  <c r="E76"/>
  <c r="F76" s="1"/>
  <c r="E77"/>
  <c r="F77" s="1"/>
  <c r="E78"/>
  <c r="F78" s="1"/>
  <c r="E79"/>
  <c r="F79" s="1"/>
  <c r="E80"/>
  <c r="F80" s="1"/>
  <c r="E81"/>
  <c r="F81" s="1"/>
  <c r="E82"/>
  <c r="F82" s="1"/>
  <c r="E83"/>
  <c r="F83" s="1"/>
  <c r="E84"/>
  <c r="F84" s="1"/>
  <c r="E85"/>
  <c r="F85" s="1"/>
  <c r="E86"/>
  <c r="F86" s="1"/>
  <c r="E87"/>
  <c r="F87" s="1"/>
  <c r="E88"/>
  <c r="F88" s="1"/>
  <c r="E89"/>
  <c r="F89" s="1"/>
  <c r="E90"/>
  <c r="F90" s="1"/>
  <c r="E91"/>
  <c r="F91" s="1"/>
  <c r="E92"/>
  <c r="F92" s="1"/>
  <c r="E93"/>
  <c r="F93" s="1"/>
  <c r="E94"/>
  <c r="F94" s="1"/>
  <c r="E95"/>
  <c r="F95" s="1"/>
  <c r="E96"/>
  <c r="F96" s="1"/>
  <c r="E97"/>
  <c r="F97" s="1"/>
  <c r="E98"/>
  <c r="F98" s="1"/>
  <c r="E99"/>
  <c r="F99" s="1"/>
  <c r="E100"/>
  <c r="F100" s="1"/>
  <c r="E101"/>
  <c r="F101" s="1"/>
  <c r="E102"/>
  <c r="F102" s="1"/>
  <c r="E103"/>
  <c r="F103" s="1"/>
  <c r="E104"/>
  <c r="F104" s="1"/>
  <c r="E105"/>
  <c r="F105" s="1"/>
  <c r="E106"/>
  <c r="F106" s="1"/>
  <c r="E107"/>
  <c r="F107" s="1"/>
  <c r="E108"/>
  <c r="F108" s="1"/>
  <c r="E109"/>
  <c r="F109" s="1"/>
  <c r="E110"/>
  <c r="F110" s="1"/>
  <c r="E111"/>
  <c r="F111" s="1"/>
  <c r="E112"/>
  <c r="F112" s="1"/>
  <c r="E113"/>
  <c r="F113" s="1"/>
  <c r="E114"/>
  <c r="F114" s="1"/>
  <c r="E115"/>
  <c r="F115" s="1"/>
  <c r="E116"/>
  <c r="F116" s="1"/>
  <c r="E117"/>
  <c r="F117" s="1"/>
  <c r="E118"/>
  <c r="F118" s="1"/>
  <c r="E119"/>
  <c r="F119" s="1"/>
  <c r="E120"/>
  <c r="F120" s="1"/>
  <c r="E121"/>
  <c r="F121" s="1"/>
  <c r="E122"/>
  <c r="F122" s="1"/>
  <c r="E123"/>
  <c r="F123" s="1"/>
  <c r="E124"/>
  <c r="F124" s="1"/>
  <c r="E125"/>
  <c r="F125" s="1"/>
  <c r="E126"/>
  <c r="F126" s="1"/>
  <c r="E127"/>
  <c r="F127" s="1"/>
  <c r="E128"/>
  <c r="F128" s="1"/>
  <c r="E129"/>
  <c r="F129" s="1"/>
  <c r="E130"/>
  <c r="F130" s="1"/>
  <c r="E131"/>
  <c r="F131" s="1"/>
  <c r="E132"/>
  <c r="F132" s="1"/>
  <c r="E133"/>
  <c r="F133" s="1"/>
  <c r="E134"/>
  <c r="F134" s="1"/>
  <c r="E135"/>
  <c r="F135" s="1"/>
  <c r="E136"/>
  <c r="F136" s="1"/>
  <c r="E137"/>
  <c r="F137" s="1"/>
  <c r="E138"/>
  <c r="F138" s="1"/>
  <c r="E139"/>
  <c r="F139" s="1"/>
  <c r="E140"/>
  <c r="F140" s="1"/>
  <c r="E141"/>
  <c r="F141" s="1"/>
  <c r="E142"/>
  <c r="F142" s="1"/>
  <c r="E143"/>
  <c r="F143" s="1"/>
  <c r="E144"/>
  <c r="F144" s="1"/>
  <c r="E145"/>
  <c r="F145" s="1"/>
  <c r="E146"/>
  <c r="F146" s="1"/>
  <c r="E147"/>
  <c r="F147" s="1"/>
  <c r="E148"/>
  <c r="F148" s="1"/>
  <c r="E149"/>
  <c r="F149" s="1"/>
  <c r="E150"/>
  <c r="F150" s="1"/>
  <c r="E151"/>
  <c r="F151" s="1"/>
  <c r="E152"/>
  <c r="F152" s="1"/>
  <c r="E153"/>
  <c r="F153" s="1"/>
  <c r="E154"/>
  <c r="F154" s="1"/>
  <c r="E155"/>
  <c r="F155" s="1"/>
  <c r="E156"/>
  <c r="F156" s="1"/>
  <c r="E157"/>
  <c r="F157" s="1"/>
  <c r="E158"/>
  <c r="F158" s="1"/>
  <c r="E159"/>
  <c r="F159" s="1"/>
  <c r="E160"/>
  <c r="F160" s="1"/>
  <c r="E161"/>
  <c r="F161" s="1"/>
  <c r="E162"/>
  <c r="F162" s="1"/>
  <c r="E163"/>
  <c r="F163" s="1"/>
  <c r="E164"/>
  <c r="F164" s="1"/>
  <c r="E165"/>
  <c r="F165" s="1"/>
  <c r="E166"/>
  <c r="F166" s="1"/>
  <c r="E167"/>
  <c r="F167" s="1"/>
  <c r="E168"/>
  <c r="F168" s="1"/>
  <c r="E169"/>
  <c r="F169" s="1"/>
  <c r="E170"/>
  <c r="F170" s="1"/>
  <c r="E171"/>
  <c r="F171" s="1"/>
  <c r="E172"/>
  <c r="F172" s="1"/>
  <c r="E173"/>
  <c r="F173" s="1"/>
  <c r="E174"/>
  <c r="F174" s="1"/>
  <c r="E175"/>
  <c r="F175" s="1"/>
  <c r="E176"/>
  <c r="F176" s="1"/>
  <c r="E177"/>
  <c r="F177" s="1"/>
  <c r="E178"/>
  <c r="F178" s="1"/>
  <c r="E179"/>
  <c r="F179" s="1"/>
  <c r="E180"/>
  <c r="F180" s="1"/>
  <c r="E181"/>
  <c r="F181" s="1"/>
  <c r="E182"/>
  <c r="F182" s="1"/>
  <c r="E183"/>
  <c r="F183" s="1"/>
  <c r="E184"/>
  <c r="F184" s="1"/>
  <c r="E185"/>
  <c r="F185" s="1"/>
  <c r="E186"/>
  <c r="F186" s="1"/>
  <c r="E187"/>
  <c r="F187" s="1"/>
  <c r="E188"/>
  <c r="F188" s="1"/>
  <c r="E189"/>
  <c r="F189" s="1"/>
  <c r="E190"/>
  <c r="F190" s="1"/>
  <c r="E191"/>
  <c r="F191" s="1"/>
  <c r="E192"/>
  <c r="F192" s="1"/>
  <c r="E193"/>
  <c r="F193" s="1"/>
  <c r="E194"/>
  <c r="F194" s="1"/>
  <c r="E195"/>
  <c r="F195" s="1"/>
  <c r="E196"/>
  <c r="F196" s="1"/>
  <c r="E197"/>
  <c r="F197" s="1"/>
  <c r="E198"/>
  <c r="F198" s="1"/>
  <c r="E199"/>
  <c r="F199" s="1"/>
  <c r="E200"/>
  <c r="F200" s="1"/>
  <c r="E201"/>
  <c r="F201" s="1"/>
  <c r="E202"/>
  <c r="F202" s="1"/>
  <c r="E203"/>
  <c r="F203" s="1"/>
  <c r="E4"/>
  <c r="F4" s="1"/>
  <c r="AC4" i="7"/>
  <c r="AC146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H26" i="11"/>
  <c r="H25"/>
  <c r="M26"/>
  <c r="M25"/>
  <c r="M24"/>
  <c r="M23"/>
  <c r="M22"/>
  <c r="M21"/>
  <c r="M20"/>
  <c r="M19"/>
  <c r="M18"/>
  <c r="M17"/>
  <c r="M16"/>
  <c r="M15"/>
  <c r="M14"/>
  <c r="M13"/>
  <c r="M12"/>
  <c r="H12"/>
  <c r="M11"/>
  <c r="H11"/>
  <c r="M10"/>
  <c r="H10"/>
  <c r="M9"/>
  <c r="H9"/>
  <c r="M8"/>
  <c r="M7"/>
  <c r="M6"/>
  <c r="M5"/>
  <c r="M4"/>
  <c r="I3" i="12"/>
  <c r="H24" i="11"/>
  <c r="L29" l="1"/>
  <c r="K28"/>
  <c r="K36"/>
  <c r="K33"/>
  <c r="K27"/>
  <c r="K39"/>
  <c r="K37"/>
  <c r="K30"/>
  <c r="K40"/>
  <c r="L31"/>
  <c r="L28"/>
  <c r="L40"/>
  <c r="L30"/>
  <c r="L27"/>
  <c r="L39"/>
  <c r="K38"/>
  <c r="L36"/>
  <c r="K35"/>
  <c r="K32"/>
  <c r="K29"/>
  <c r="L34"/>
  <c r="L38"/>
  <c r="L35"/>
  <c r="K34"/>
  <c r="L32"/>
  <c r="K31"/>
  <c r="L37"/>
  <c r="L33"/>
  <c r="L15"/>
  <c r="I6" i="12"/>
  <c r="K13" i="11"/>
  <c r="K5"/>
  <c r="K21"/>
  <c r="K14"/>
  <c r="K20"/>
  <c r="K23"/>
  <c r="K25"/>
  <c r="K17"/>
  <c r="K6"/>
  <c r="K4"/>
  <c r="K22"/>
  <c r="K11"/>
  <c r="K16"/>
  <c r="K15"/>
  <c r="K12"/>
  <c r="K7"/>
  <c r="K18"/>
  <c r="L17"/>
  <c r="L24"/>
  <c r="L9"/>
  <c r="L19"/>
  <c r="L16"/>
  <c r="L20"/>
  <c r="L26"/>
  <c r="L21"/>
  <c r="H13"/>
  <c r="L5"/>
  <c r="L23"/>
  <c r="L12"/>
  <c r="L10"/>
  <c r="L18"/>
  <c r="L14"/>
  <c r="L8"/>
  <c r="L11"/>
  <c r="L7"/>
  <c r="K10"/>
  <c r="K9"/>
  <c r="K26"/>
  <c r="K19"/>
  <c r="K8"/>
  <c r="K24"/>
  <c r="L6"/>
  <c r="L22"/>
  <c r="L13"/>
  <c r="L25"/>
  <c r="L4"/>
  <c r="AC148" i="7"/>
  <c r="M2" s="1"/>
  <c r="AB3"/>
  <c r="F4" s="1"/>
  <c r="I7" i="12"/>
  <c r="H16" i="11"/>
  <c r="H23"/>
  <c r="H17"/>
  <c r="H22" l="1"/>
  <c r="H20"/>
  <c r="F22" i="7"/>
  <c r="F18"/>
  <c r="F14"/>
  <c r="F10"/>
  <c r="F20"/>
  <c r="F12"/>
  <c r="F21"/>
  <c r="F13"/>
  <c r="F23"/>
  <c r="F19"/>
  <c r="F15"/>
  <c r="F11"/>
  <c r="F16"/>
  <c r="F8"/>
  <c r="F17"/>
  <c r="F9"/>
  <c r="F24"/>
  <c r="F25"/>
  <c r="F26"/>
  <c r="F6"/>
  <c r="F5"/>
  <c r="F146"/>
  <c r="F98"/>
  <c r="F50"/>
  <c r="F108"/>
  <c r="F44"/>
  <c r="F81"/>
  <c r="F131"/>
  <c r="F83"/>
  <c r="F51"/>
  <c r="F128"/>
  <c r="F32"/>
  <c r="F93"/>
  <c r="F7"/>
  <c r="F134"/>
  <c r="F118"/>
  <c r="F102"/>
  <c r="F86"/>
  <c r="F70"/>
  <c r="F54"/>
  <c r="F38"/>
  <c r="F116"/>
  <c r="F84"/>
  <c r="F52"/>
  <c r="F121"/>
  <c r="F89"/>
  <c r="F57"/>
  <c r="F135"/>
  <c r="F119"/>
  <c r="F103"/>
  <c r="F87"/>
  <c r="F71"/>
  <c r="F55"/>
  <c r="F39"/>
  <c r="F136"/>
  <c r="F104"/>
  <c r="F72"/>
  <c r="F40"/>
  <c r="F133"/>
  <c r="F101"/>
  <c r="F69"/>
  <c r="F41"/>
  <c r="F138"/>
  <c r="F122"/>
  <c r="F106"/>
  <c r="F90"/>
  <c r="F74"/>
  <c r="F58"/>
  <c r="F42"/>
  <c r="F124"/>
  <c r="F92"/>
  <c r="F60"/>
  <c r="F28"/>
  <c r="F129"/>
  <c r="F97"/>
  <c r="F65"/>
  <c r="F33"/>
  <c r="F139"/>
  <c r="F123"/>
  <c r="F107"/>
  <c r="F91"/>
  <c r="F75"/>
  <c r="F59"/>
  <c r="F43"/>
  <c r="F27"/>
  <c r="F142"/>
  <c r="F126"/>
  <c r="F110"/>
  <c r="F94"/>
  <c r="F78"/>
  <c r="F62"/>
  <c r="F46"/>
  <c r="F30"/>
  <c r="F132"/>
  <c r="F100"/>
  <c r="F68"/>
  <c r="F36"/>
  <c r="F137"/>
  <c r="F105"/>
  <c r="F73"/>
  <c r="F37"/>
  <c r="F143"/>
  <c r="F127"/>
  <c r="F111"/>
  <c r="F95"/>
  <c r="F79"/>
  <c r="F63"/>
  <c r="F47"/>
  <c r="F31"/>
  <c r="F144"/>
  <c r="F120"/>
  <c r="F88"/>
  <c r="F56"/>
  <c r="F117"/>
  <c r="F85"/>
  <c r="F53"/>
  <c r="F130"/>
  <c r="F114"/>
  <c r="F82"/>
  <c r="F66"/>
  <c r="F34"/>
  <c r="F76"/>
  <c r="F141"/>
  <c r="F113"/>
  <c r="F49"/>
  <c r="F147"/>
  <c r="F115"/>
  <c r="F99"/>
  <c r="F67"/>
  <c r="F35"/>
  <c r="F96"/>
  <c r="F64"/>
  <c r="F125"/>
  <c r="F61"/>
  <c r="F29"/>
  <c r="F140"/>
  <c r="F145"/>
  <c r="F80"/>
  <c r="F112"/>
  <c r="F48"/>
  <c r="F45"/>
  <c r="F77"/>
  <c r="F109"/>
  <c r="H19" i="11"/>
  <c r="H21"/>
  <c r="H6" i="7" l="1"/>
  <c r="I6" s="1"/>
  <c r="J6" s="1"/>
  <c r="H109"/>
  <c r="I109" s="1"/>
  <c r="J109" s="1"/>
  <c r="H112"/>
  <c r="I112" s="1"/>
  <c r="J112" s="1"/>
  <c r="H64"/>
  <c r="I64" s="1"/>
  <c r="J64" s="1"/>
  <c r="H67"/>
  <c r="I67" s="1"/>
  <c r="J67" s="1"/>
  <c r="H18"/>
  <c r="I18" s="1"/>
  <c r="J18" s="1"/>
  <c r="H21"/>
  <c r="I21" s="1"/>
  <c r="J21" s="1"/>
  <c r="H24"/>
  <c r="I24" s="1"/>
  <c r="J24" s="1"/>
  <c r="H79"/>
  <c r="I79" s="1"/>
  <c r="J79" s="1"/>
  <c r="H137"/>
  <c r="I137" s="1"/>
  <c r="J137" s="1"/>
  <c r="H132"/>
  <c r="I132" s="1"/>
  <c r="J132" s="1"/>
  <c r="H142"/>
  <c r="I142" s="1"/>
  <c r="J142" s="1"/>
  <c r="H75"/>
  <c r="I75" s="1"/>
  <c r="J75" s="1"/>
  <c r="H139"/>
  <c r="I139" s="1"/>
  <c r="J139" s="1"/>
  <c r="H124"/>
  <c r="I124" s="1"/>
  <c r="J124" s="1"/>
  <c r="H138"/>
  <c r="I138" s="1"/>
  <c r="J138" s="1"/>
  <c r="H69"/>
  <c r="I69" s="1"/>
  <c r="J69" s="1"/>
  <c r="H39"/>
  <c r="I39" s="1"/>
  <c r="J39" s="1"/>
  <c r="H103"/>
  <c r="I103" s="1"/>
  <c r="J103" s="1"/>
  <c r="H52"/>
  <c r="I52" s="1"/>
  <c r="J52" s="1"/>
  <c r="H102"/>
  <c r="I102" s="1"/>
  <c r="J102" s="1"/>
  <c r="H45"/>
  <c r="I45" s="1"/>
  <c r="J45" s="1"/>
  <c r="H17"/>
  <c r="I17" s="1"/>
  <c r="J17" s="1"/>
  <c r="H61"/>
  <c r="I61" s="1"/>
  <c r="J61" s="1"/>
  <c r="H19"/>
  <c r="I19" s="1"/>
  <c r="J19" s="1"/>
  <c r="H115"/>
  <c r="I115" s="1"/>
  <c r="J115" s="1"/>
  <c r="H141"/>
  <c r="I141" s="1"/>
  <c r="J141" s="1"/>
  <c r="H66"/>
  <c r="I66" s="1"/>
  <c r="J66" s="1"/>
  <c r="H16"/>
  <c r="I16" s="1"/>
  <c r="J16" s="1"/>
  <c r="H85"/>
  <c r="I85" s="1"/>
  <c r="J85" s="1"/>
  <c r="H88"/>
  <c r="I88" s="1"/>
  <c r="J88" s="1"/>
  <c r="H47"/>
  <c r="I47" s="1"/>
  <c r="J47" s="1"/>
  <c r="H111"/>
  <c r="I111" s="1"/>
  <c r="J111" s="1"/>
  <c r="H73"/>
  <c r="I73" s="1"/>
  <c r="J73" s="1"/>
  <c r="H68"/>
  <c r="I68" s="1"/>
  <c r="J68" s="1"/>
  <c r="H46"/>
  <c r="I46" s="1"/>
  <c r="J46" s="1"/>
  <c r="H110"/>
  <c r="I110" s="1"/>
  <c r="J110" s="1"/>
  <c r="H15"/>
  <c r="I15" s="1"/>
  <c r="J15" s="1"/>
  <c r="H43"/>
  <c r="I43" s="1"/>
  <c r="J43" s="1"/>
  <c r="H107"/>
  <c r="I107" s="1"/>
  <c r="J107" s="1"/>
  <c r="H65"/>
  <c r="I65" s="1"/>
  <c r="J65" s="1"/>
  <c r="H60"/>
  <c r="I60" s="1"/>
  <c r="J60" s="1"/>
  <c r="H42"/>
  <c r="I42" s="1"/>
  <c r="J42" s="1"/>
  <c r="H106"/>
  <c r="I106" s="1"/>
  <c r="J106" s="1"/>
  <c r="H11"/>
  <c r="I11" s="1"/>
  <c r="J11" s="1"/>
  <c r="H133"/>
  <c r="I133" s="1"/>
  <c r="J133" s="1"/>
  <c r="H136"/>
  <c r="I136" s="1"/>
  <c r="J136" s="1"/>
  <c r="H71"/>
  <c r="I71" s="1"/>
  <c r="J71" s="1"/>
  <c r="H135"/>
  <c r="I135" s="1"/>
  <c r="J135" s="1"/>
  <c r="H121"/>
  <c r="I121" s="1"/>
  <c r="J121" s="1"/>
  <c r="H116"/>
  <c r="I116" s="1"/>
  <c r="J116" s="1"/>
  <c r="H70"/>
  <c r="I70" s="1"/>
  <c r="J70" s="1"/>
  <c r="H134"/>
  <c r="I134" s="1"/>
  <c r="J134" s="1"/>
  <c r="H93"/>
  <c r="I93" s="1"/>
  <c r="J93" s="1"/>
  <c r="H83"/>
  <c r="I83" s="1"/>
  <c r="J83" s="1"/>
  <c r="H108"/>
  <c r="I108" s="1"/>
  <c r="J108" s="1"/>
  <c r="H10"/>
  <c r="I10" s="1"/>
  <c r="J10" s="1"/>
  <c r="H77"/>
  <c r="I77" s="1"/>
  <c r="J77" s="1"/>
  <c r="H80"/>
  <c r="I80" s="1"/>
  <c r="J80" s="1"/>
  <c r="H29"/>
  <c r="I29" s="1"/>
  <c r="J29" s="1"/>
  <c r="H96"/>
  <c r="I96" s="1"/>
  <c r="J96" s="1"/>
  <c r="H99"/>
  <c r="I99" s="1"/>
  <c r="J99" s="1"/>
  <c r="H113"/>
  <c r="I113" s="1"/>
  <c r="J113" s="1"/>
  <c r="H34"/>
  <c r="I34" s="1"/>
  <c r="J34" s="1"/>
  <c r="H130"/>
  <c r="I130" s="1"/>
  <c r="J130" s="1"/>
  <c r="H53"/>
  <c r="I53" s="1"/>
  <c r="J53" s="1"/>
  <c r="H56"/>
  <c r="I56" s="1"/>
  <c r="J56" s="1"/>
  <c r="H31"/>
  <c r="I31" s="1"/>
  <c r="J31" s="1"/>
  <c r="H95"/>
  <c r="I95" s="1"/>
  <c r="J95" s="1"/>
  <c r="H37"/>
  <c r="I37" s="1"/>
  <c r="J37" s="1"/>
  <c r="H36"/>
  <c r="I36" s="1"/>
  <c r="J36" s="1"/>
  <c r="H30"/>
  <c r="I30" s="1"/>
  <c r="J30" s="1"/>
  <c r="H94"/>
  <c r="I94" s="1"/>
  <c r="J94" s="1"/>
  <c r="H12"/>
  <c r="I12" s="1"/>
  <c r="J12" s="1"/>
  <c r="H27"/>
  <c r="I27" s="1"/>
  <c r="J27" s="1"/>
  <c r="H91"/>
  <c r="I91" s="1"/>
  <c r="J91" s="1"/>
  <c r="H33"/>
  <c r="I33" s="1"/>
  <c r="J33" s="1"/>
  <c r="H28"/>
  <c r="I28" s="1"/>
  <c r="J28" s="1"/>
  <c r="H26"/>
  <c r="I26" s="1"/>
  <c r="J26" s="1"/>
  <c r="H90"/>
  <c r="I90" s="1"/>
  <c r="J90" s="1"/>
  <c r="H8"/>
  <c r="I8" s="1"/>
  <c r="J8" s="1"/>
  <c r="H101"/>
  <c r="I101" s="1"/>
  <c r="J101" s="1"/>
  <c r="H104"/>
  <c r="I104" s="1"/>
  <c r="J104" s="1"/>
  <c r="H55"/>
  <c r="I55" s="1"/>
  <c r="J55" s="1"/>
  <c r="H119"/>
  <c r="I119" s="1"/>
  <c r="J119" s="1"/>
  <c r="H89"/>
  <c r="I89" s="1"/>
  <c r="J89" s="1"/>
  <c r="H84"/>
  <c r="I84" s="1"/>
  <c r="J84" s="1"/>
  <c r="H54"/>
  <c r="I54" s="1"/>
  <c r="J54" s="1"/>
  <c r="H118"/>
  <c r="I118" s="1"/>
  <c r="J118" s="1"/>
  <c r="H9"/>
  <c r="I9" s="1"/>
  <c r="J9" s="1"/>
  <c r="H51"/>
  <c r="I51" s="1"/>
  <c r="J51" s="1"/>
  <c r="H44"/>
  <c r="I44" s="1"/>
  <c r="J44" s="1"/>
  <c r="H146"/>
  <c r="I146" s="1"/>
  <c r="J146" s="1"/>
  <c r="H4"/>
  <c r="I4" s="1"/>
  <c r="J4" s="1"/>
  <c r="H5"/>
  <c r="I5" s="1"/>
  <c r="J5" s="1"/>
  <c r="H140"/>
  <c r="I140" s="1"/>
  <c r="J140" s="1"/>
  <c r="H49"/>
  <c r="I49" s="1"/>
  <c r="J49" s="1"/>
  <c r="H114"/>
  <c r="I114" s="1"/>
  <c r="J114" s="1"/>
  <c r="H144"/>
  <c r="I144" s="1"/>
  <c r="J144" s="1"/>
  <c r="H143"/>
  <c r="I143" s="1"/>
  <c r="J143" s="1"/>
  <c r="H78"/>
  <c r="I78" s="1"/>
  <c r="J78" s="1"/>
  <c r="H13"/>
  <c r="I13" s="1"/>
  <c r="J13" s="1"/>
  <c r="H129"/>
  <c r="I129" s="1"/>
  <c r="J129" s="1"/>
  <c r="H74"/>
  <c r="I74" s="1"/>
  <c r="J74" s="1"/>
  <c r="H72"/>
  <c r="I72" s="1"/>
  <c r="J72" s="1"/>
  <c r="H57"/>
  <c r="I57" s="1"/>
  <c r="J57" s="1"/>
  <c r="H38"/>
  <c r="I38" s="1"/>
  <c r="J38" s="1"/>
  <c r="H7"/>
  <c r="I7" s="1"/>
  <c r="J7" s="1"/>
  <c r="H128"/>
  <c r="I128" s="1"/>
  <c r="J128" s="1"/>
  <c r="H81"/>
  <c r="I81" s="1"/>
  <c r="J81" s="1"/>
  <c r="H98"/>
  <c r="I98" s="1"/>
  <c r="J98" s="1"/>
  <c r="H48"/>
  <c r="I48" s="1"/>
  <c r="J48" s="1"/>
  <c r="H145"/>
  <c r="I145" s="1"/>
  <c r="J145" s="1"/>
  <c r="H125"/>
  <c r="I125" s="1"/>
  <c r="J125" s="1"/>
  <c r="H35"/>
  <c r="I35" s="1"/>
  <c r="J35" s="1"/>
  <c r="H147"/>
  <c r="I147" s="1"/>
  <c r="J147" s="1"/>
  <c r="H76"/>
  <c r="I76" s="1"/>
  <c r="J76" s="1"/>
  <c r="H82"/>
  <c r="I82" s="1"/>
  <c r="J82" s="1"/>
  <c r="H117"/>
  <c r="I117" s="1"/>
  <c r="J117" s="1"/>
  <c r="H120"/>
  <c r="I120" s="1"/>
  <c r="J120" s="1"/>
  <c r="H63"/>
  <c r="I63" s="1"/>
  <c r="J63" s="1"/>
  <c r="H127"/>
  <c r="I127" s="1"/>
  <c r="J127" s="1"/>
  <c r="H105"/>
  <c r="I105" s="1"/>
  <c r="J105" s="1"/>
  <c r="H100"/>
  <c r="I100" s="1"/>
  <c r="J100" s="1"/>
  <c r="H62"/>
  <c r="I62" s="1"/>
  <c r="J62" s="1"/>
  <c r="H126"/>
  <c r="I126" s="1"/>
  <c r="J126" s="1"/>
  <c r="H59"/>
  <c r="I59" s="1"/>
  <c r="J59" s="1"/>
  <c r="H123"/>
  <c r="I123" s="1"/>
  <c r="J123" s="1"/>
  <c r="H97"/>
  <c r="I97" s="1"/>
  <c r="J97" s="1"/>
  <c r="H92"/>
  <c r="I92" s="1"/>
  <c r="J92" s="1"/>
  <c r="H58"/>
  <c r="I58" s="1"/>
  <c r="J58" s="1"/>
  <c r="H122"/>
  <c r="I122" s="1"/>
  <c r="J122" s="1"/>
  <c r="H41"/>
  <c r="I41" s="1"/>
  <c r="J41" s="1"/>
  <c r="H40"/>
  <c r="I40" s="1"/>
  <c r="J40" s="1"/>
  <c r="H23"/>
  <c r="I23" s="1"/>
  <c r="J23" s="1"/>
  <c r="H87"/>
  <c r="I87" s="1"/>
  <c r="J87" s="1"/>
  <c r="H25"/>
  <c r="I25" s="1"/>
  <c r="J25" s="1"/>
  <c r="H20"/>
  <c r="I20" s="1"/>
  <c r="J20" s="1"/>
  <c r="H22"/>
  <c r="I22" s="1"/>
  <c r="J22" s="1"/>
  <c r="H86"/>
  <c r="I86" s="1"/>
  <c r="J86" s="1"/>
  <c r="H14"/>
  <c r="I14" s="1"/>
  <c r="J14" s="1"/>
  <c r="H32"/>
  <c r="I32" s="1"/>
  <c r="J32" s="1"/>
  <c r="H131"/>
  <c r="I131" s="1"/>
  <c r="J131" s="1"/>
  <c r="H50"/>
  <c r="I50" s="1"/>
  <c r="J50" s="1"/>
  <c r="M3" l="1"/>
</calcChain>
</file>

<file path=xl/sharedStrings.xml><?xml version="1.0" encoding="utf-8"?>
<sst xmlns="http://schemas.openxmlformats.org/spreadsheetml/2006/main" count="152" uniqueCount="99">
  <si>
    <t>N</t>
  </si>
  <si>
    <t>Pa</t>
  </si>
  <si>
    <t>Time Constant</t>
  </si>
  <si>
    <t>N0</t>
  </si>
  <si>
    <t>Ninf</t>
  </si>
  <si>
    <t>approach value</t>
  </si>
  <si>
    <t>Calc N</t>
  </si>
  <si>
    <t>Error</t>
  </si>
  <si>
    <t>Error Sq</t>
  </si>
  <si>
    <t>time con</t>
  </si>
  <si>
    <t>N^2</t>
  </si>
  <si>
    <t>Adj N</t>
  </si>
  <si>
    <t>Normal Force
Plateau (N)</t>
  </si>
  <si>
    <t>Shear Rate</t>
  </si>
  <si>
    <t>Average</t>
  </si>
  <si>
    <r>
      <t>N</t>
    </r>
    <r>
      <rPr>
        <vertAlign val="subscript"/>
        <sz val="11"/>
        <color theme="1"/>
        <rFont val="Calibri"/>
        <family val="2"/>
        <scheme val="minor"/>
      </rPr>
      <t>0</t>
    </r>
  </si>
  <si>
    <t>cohesion</t>
  </si>
  <si>
    <t>Normal Force 1 (N)</t>
  </si>
  <si>
    <t>Time 1 (s)</t>
  </si>
  <si>
    <t>N^2 sum</t>
  </si>
  <si>
    <t>N^2 Error</t>
  </si>
  <si>
    <t>Initial Slope</t>
  </si>
  <si>
    <t>Final Slope</t>
  </si>
  <si>
    <t>Initial Y</t>
  </si>
  <si>
    <t>Final Y</t>
  </si>
  <si>
    <t>Initial X</t>
  </si>
  <si>
    <t>Final X</t>
  </si>
  <si>
    <t>Initial b</t>
  </si>
  <si>
    <t>Final b</t>
  </si>
  <si>
    <t>MidSlope</t>
  </si>
  <si>
    <t>Mid b</t>
  </si>
  <si>
    <t>YP stress</t>
  </si>
  <si>
    <t>YP strain</t>
  </si>
  <si>
    <t>BP stress</t>
  </si>
  <si>
    <t>BP strain</t>
  </si>
  <si>
    <t>initial</t>
  </si>
  <si>
    <t>final</t>
  </si>
  <si>
    <t>Intersect X</t>
  </si>
  <si>
    <t>Yield Stress</t>
  </si>
  <si>
    <t>Yield Strain</t>
  </si>
  <si>
    <t>Bubble Pinch Stress</t>
  </si>
  <si>
    <t>Bubble Pinch Strain</t>
  </si>
  <si>
    <t>Product</t>
  </si>
  <si>
    <t>Comparison</t>
  </si>
  <si>
    <t>G' X/O stress</t>
  </si>
  <si>
    <t>G' X/O strain</t>
  </si>
  <si>
    <t>G' X/O Stress</t>
  </si>
  <si>
    <t>G' X/O Strain</t>
  </si>
  <si>
    <t>time</t>
  </si>
  <si>
    <t>shear rate</t>
  </si>
  <si>
    <t>normal force</t>
  </si>
  <si>
    <t>shear stress</t>
  </si>
  <si>
    <t>s</t>
  </si>
  <si>
    <t>1/s</t>
  </si>
  <si>
    <t>G' Plateau</t>
  </si>
  <si>
    <t>G" Plateau</t>
  </si>
  <si>
    <t>G" plateau</t>
  </si>
  <si>
    <t>G' plateau</t>
  </si>
  <si>
    <t>Pt D</t>
  </si>
  <si>
    <t>t95</t>
  </si>
  <si>
    <t>Fracture/Yield (categorical)</t>
  </si>
  <si>
    <t>F/Y Stress @ 5 s (Pa)</t>
  </si>
  <si>
    <t>F/Y Stress @ 60 s (Pa)</t>
  </si>
  <si>
    <t>F/Y Stress 60s-5s Delta (Pa)</t>
  </si>
  <si>
    <t>Fracture Peak Stress (Pa)</t>
  </si>
  <si>
    <t>adj. shear stress</t>
  </si>
  <si>
    <t>adj. shear rate</t>
  </si>
  <si>
    <t>Dave Mallon &lt;-58200884&gt;</t>
  </si>
  <si>
    <t>Fracture(1)/Banding(0)</t>
  </si>
  <si>
    <t>F/B Fracture Peak Stress</t>
  </si>
  <si>
    <t>F/B Shear Stress @ 5s</t>
  </si>
  <si>
    <t>F/B Shear Stress @ 60s</t>
  </si>
  <si>
    <t>Test Type</t>
  </si>
  <si>
    <t>Comments/Other Test Description</t>
  </si>
  <si>
    <t>Testing Analyst</t>
  </si>
  <si>
    <t>Date of Testing</t>
  </si>
  <si>
    <t>Result1</t>
  </si>
  <si>
    <t>Result2</t>
  </si>
  <si>
    <t>Result3</t>
  </si>
  <si>
    <t>Result4</t>
  </si>
  <si>
    <t>Cohesion Peak Force (N)</t>
  </si>
  <si>
    <t>Cohesion Peak Time (s)</t>
  </si>
  <si>
    <t>F/B Cohesion Peak Force (N)</t>
  </si>
  <si>
    <t>F/B Cohesion Peak Time (s)</t>
  </si>
  <si>
    <t>F/B Stress 60s-5s Delta (Pa)</t>
  </si>
  <si>
    <t>Related Container</t>
  </si>
  <si>
    <t>Sample</t>
  </si>
  <si>
    <t>Sample ID#</t>
  </si>
  <si>
    <t>Test Date</t>
  </si>
  <si>
    <t>Test Code</t>
  </si>
  <si>
    <t>osc. stress</t>
  </si>
  <si>
    <t>strain</t>
  </si>
  <si>
    <t>G'</t>
  </si>
  <si>
    <t>G''</t>
  </si>
  <si>
    <t>t95 N-squared Error</t>
  </si>
  <si>
    <t>t95 N0</t>
  </si>
  <si>
    <t>t95 Plateau Normal Force (N)</t>
  </si>
  <si>
    <t>t95 Time Constant</t>
  </si>
  <si>
    <t>t95 Transition Time</t>
  </si>
</sst>
</file>

<file path=xl/styles.xml><?xml version="1.0" encoding="utf-8"?>
<styleSheet xmlns="http://schemas.openxmlformats.org/spreadsheetml/2006/main">
  <numFmts count="5">
    <numFmt numFmtId="164" formatCode="0.0000"/>
    <numFmt numFmtId="165" formatCode="0.000"/>
    <numFmt numFmtId="166" formatCode="0.0"/>
    <numFmt numFmtId="167" formatCode="0.00000"/>
    <numFmt numFmtId="168" formatCode="0.0000000000"/>
  </numFmts>
  <fonts count="6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horizontal="center" wrapText="1"/>
    </xf>
    <xf numFmtId="11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 applyFill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166" fontId="0" fillId="0" borderId="0" xfId="0" applyNumberFormat="1" applyFill="1" applyBorder="1" applyAlignment="1">
      <alignment horizontal="center" wrapText="1"/>
    </xf>
    <xf numFmtId="0" fontId="0" fillId="0" borderId="0" xfId="0" applyBorder="1"/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/>
    <xf numFmtId="164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1" xfId="0" applyBorder="1"/>
    <xf numFmtId="167" fontId="0" fillId="0" borderId="0" xfId="0" applyNumberFormat="1" applyAlignment="1">
      <alignment horizontal="center"/>
    </xf>
    <xf numFmtId="0" fontId="0" fillId="0" borderId="0" xfId="0" quotePrefix="1" applyAlignment="1">
      <alignment horizontal="right"/>
    </xf>
    <xf numFmtId="165" fontId="0" fillId="0" borderId="0" xfId="0" applyNumberFormat="1" applyFill="1" applyBorder="1"/>
    <xf numFmtId="0" fontId="0" fillId="0" borderId="0" xfId="0" applyFont="1"/>
    <xf numFmtId="14" fontId="0" fillId="0" borderId="0" xfId="0" applyNumberFormat="1"/>
    <xf numFmtId="14" fontId="0" fillId="0" borderId="1" xfId="0" applyNumberFormat="1" applyBorder="1"/>
    <xf numFmtId="0" fontId="3" fillId="0" borderId="0" xfId="0" applyFont="1" applyBorder="1"/>
    <xf numFmtId="0" fontId="5" fillId="0" borderId="3" xfId="0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0" fillId="0" borderId="0" xfId="0" applyFill="1"/>
    <xf numFmtId="0" fontId="0" fillId="0" borderId="0" xfId="0" applyFill="1" applyBorder="1"/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 wrapText="1"/>
    </xf>
    <xf numFmtId="168" fontId="0" fillId="0" borderId="0" xfId="0" applyNumberFormat="1" applyFill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168" fontId="0" fillId="0" borderId="0" xfId="0" applyNumberFormat="1" applyFill="1"/>
    <xf numFmtId="168" fontId="0" fillId="0" borderId="1" xfId="0" applyNumberForma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168" fontId="0" fillId="0" borderId="0" xfId="0" applyNumberFormat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168" fontId="0" fillId="2" borderId="0" xfId="0" applyNumberFormat="1" applyFill="1"/>
    <xf numFmtId="168" fontId="0" fillId="0" borderId="0" xfId="0" applyNumberFormat="1"/>
    <xf numFmtId="168" fontId="0" fillId="0" borderId="0" xfId="0" applyNumberFormat="1" applyBorder="1" applyAlignment="1">
      <alignment horizontal="center"/>
    </xf>
    <xf numFmtId="168" fontId="0" fillId="2" borderId="1" xfId="0" applyNumberFormat="1" applyFill="1" applyBorder="1"/>
    <xf numFmtId="168" fontId="0" fillId="0" borderId="0" xfId="0" applyNumberFormat="1" applyFill="1" applyBorder="1" applyAlignment="1">
      <alignment horizontal="center" vertical="center"/>
    </xf>
    <xf numFmtId="168" fontId="0" fillId="0" borderId="0" xfId="0" applyNumberFormat="1" applyFill="1" applyBorder="1"/>
    <xf numFmtId="168" fontId="0" fillId="0" borderId="1" xfId="0" applyNumberFormat="1" applyBorder="1" applyAlignment="1">
      <alignment horizontal="center" vertical="center" wrapText="1"/>
    </xf>
    <xf numFmtId="168" fontId="0" fillId="0" borderId="1" xfId="0" applyNumberFormat="1" applyFill="1" applyBorder="1" applyAlignment="1">
      <alignment horizontal="center" vertical="center"/>
    </xf>
    <xf numFmtId="168" fontId="0" fillId="0" borderId="1" xfId="0" applyNumberFormat="1" applyBorder="1"/>
    <xf numFmtId="168" fontId="0" fillId="0" borderId="1" xfId="0" applyNumberFormat="1" applyFill="1" applyBorder="1"/>
    <xf numFmtId="168" fontId="0" fillId="0" borderId="0" xfId="0" applyNumberFormat="1" applyAlignment="1">
      <alignment horizontal="center" wrapText="1"/>
    </xf>
    <xf numFmtId="168" fontId="0" fillId="0" borderId="0" xfId="0" applyNumberFormat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 wrapText="1"/>
    </xf>
    <xf numFmtId="1" fontId="0" fillId="0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 wrapTex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 vertical="center" wrapText="1"/>
    </xf>
    <xf numFmtId="165" fontId="0" fillId="0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0" applyNumberFormat="1" applyFill="1" applyBorder="1" applyAlignment="1">
      <alignment horizontal="center" vertical="center" wrapText="1"/>
    </xf>
    <xf numFmtId="168" fontId="0" fillId="0" borderId="1" xfId="0" applyNumberFormat="1" applyFill="1" applyBorder="1" applyAlignment="1">
      <alignment horizontal="center" vertical="center" wrapText="1"/>
    </xf>
    <xf numFmtId="0" fontId="5" fillId="0" borderId="2" xfId="0" applyFont="1" applyFill="1" applyBorder="1" applyAlignment="1"/>
    <xf numFmtId="0" fontId="3" fillId="0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/>
    <xf numFmtId="0" fontId="0" fillId="0" borderId="0" xfId="0" applyFill="1" applyAlignment="1"/>
    <xf numFmtId="0" fontId="0" fillId="0" borderId="0" xfId="0" applyFill="1" applyAlignment="1">
      <alignment horizontal="center"/>
    </xf>
    <xf numFmtId="168" fontId="0" fillId="0" borderId="0" xfId="0" applyNumberFormat="1" applyFill="1" applyBorder="1" applyAlignment="1">
      <alignment horizontal="center" vertical="center" wrapText="1"/>
    </xf>
    <xf numFmtId="168" fontId="0" fillId="0" borderId="1" xfId="0" applyNumberFormat="1" applyFill="1" applyBorder="1" applyAlignment="1">
      <alignment horizontal="center" vertical="center" wrapText="1"/>
    </xf>
    <xf numFmtId="2" fontId="0" fillId="0" borderId="0" xfId="0" applyNumberFormat="1" applyFill="1" applyAlignment="1">
      <alignment horizontal="center" vertical="center" wrapText="1"/>
    </xf>
  </cellXfs>
  <cellStyles count="1">
    <cellStyle name="Normal" xfId="0" builtinId="0"/>
  </cellStyles>
  <dxfs count="109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0.28000000000000003</c:v>
                </c:pt>
                <c:pt idx="1">
                  <c:v>0.55200000000000005</c:v>
                </c:pt>
                <c:pt idx="2" formatCode="0.00E+00">
                  <c:v>0.76</c:v>
                </c:pt>
                <c:pt idx="3" formatCode="0.00E+00">
                  <c:v>0.94</c:v>
                </c:pt>
                <c:pt idx="4" formatCode="0.00E+00">
                  <c:v>1.1879999999999999</c:v>
                </c:pt>
                <c:pt idx="5" formatCode="0.00E+00">
                  <c:v>1.48</c:v>
                </c:pt>
                <c:pt idx="6" formatCode="0.00E+00">
                  <c:v>1.768</c:v>
                </c:pt>
                <c:pt idx="7" formatCode="0.00E+00">
                  <c:v>1.944</c:v>
                </c:pt>
                <c:pt idx="8" formatCode="0.00E+00">
                  <c:v>2.1040000000000001</c:v>
                </c:pt>
                <c:pt idx="9" formatCode="General">
                  <c:v>2.3919999999999999</c:v>
                </c:pt>
                <c:pt idx="10" formatCode="General">
                  <c:v>2.6360000000000001</c:v>
                </c:pt>
                <c:pt idx="11" formatCode="General">
                  <c:v>2.8239999999999998</c:v>
                </c:pt>
                <c:pt idx="12" formatCode="General">
                  <c:v>2.988</c:v>
                </c:pt>
                <c:pt idx="13" formatCode="General">
                  <c:v>3.1920000000000002</c:v>
                </c:pt>
                <c:pt idx="14" formatCode="General">
                  <c:v>3.48</c:v>
                </c:pt>
                <c:pt idx="15" formatCode="General">
                  <c:v>3.7360000000000002</c:v>
                </c:pt>
                <c:pt idx="16" formatCode="General">
                  <c:v>3.8959999999999999</c:v>
                </c:pt>
                <c:pt idx="17" formatCode="General">
                  <c:v>4.0759999999999996</c:v>
                </c:pt>
                <c:pt idx="18" formatCode="General">
                  <c:v>4.38</c:v>
                </c:pt>
                <c:pt idx="19" formatCode="General">
                  <c:v>4.6479999999999997</c:v>
                </c:pt>
                <c:pt idx="20" formatCode="General">
                  <c:v>4.8559999999999999</c:v>
                </c:pt>
                <c:pt idx="21" formatCode="General">
                  <c:v>5.016</c:v>
                </c:pt>
                <c:pt idx="22" formatCode="General">
                  <c:v>5.2839999999999998</c:v>
                </c:pt>
                <c:pt idx="23" formatCode="General">
                  <c:v>5.5919999999999996</c:v>
                </c:pt>
                <c:pt idx="24" formatCode="General">
                  <c:v>5.7880000000000003</c:v>
                </c:pt>
                <c:pt idx="25" formatCode="General">
                  <c:v>5.96</c:v>
                </c:pt>
                <c:pt idx="26" formatCode="General">
                  <c:v>6.1239999999999997</c:v>
                </c:pt>
                <c:pt idx="27" formatCode="General">
                  <c:v>6.44</c:v>
                </c:pt>
                <c:pt idx="28" formatCode="General">
                  <c:v>6.7</c:v>
                </c:pt>
                <c:pt idx="29" formatCode="General">
                  <c:v>6.9039999999999999</c:v>
                </c:pt>
                <c:pt idx="30" formatCode="General">
                  <c:v>7.0640000000000001</c:v>
                </c:pt>
                <c:pt idx="31" formatCode="General">
                  <c:v>7.3639999999999999</c:v>
                </c:pt>
                <c:pt idx="32" formatCode="General">
                  <c:v>7.6559999999999997</c:v>
                </c:pt>
                <c:pt idx="33" formatCode="General">
                  <c:v>7.82</c:v>
                </c:pt>
                <c:pt idx="34" formatCode="General">
                  <c:v>8.0039999999999996</c:v>
                </c:pt>
                <c:pt idx="35" formatCode="General">
                  <c:v>8.1999999999999993</c:v>
                </c:pt>
                <c:pt idx="36" formatCode="General">
                  <c:v>8.4879999999999995</c:v>
                </c:pt>
                <c:pt idx="37" formatCode="General">
                  <c:v>8.7439999999999998</c:v>
                </c:pt>
                <c:pt idx="38" formatCode="General">
                  <c:v>8.92</c:v>
                </c:pt>
                <c:pt idx="39" formatCode="General">
                  <c:v>9.0640000000000001</c:v>
                </c:pt>
                <c:pt idx="40" formatCode="General">
                  <c:v>9.3520000000000003</c:v>
                </c:pt>
                <c:pt idx="41" formatCode="General">
                  <c:v>9.6280000000000001</c:v>
                </c:pt>
                <c:pt idx="42" formatCode="General">
                  <c:v>9.9719999999999995</c:v>
                </c:pt>
                <c:pt idx="43" formatCode="General">
                  <c:v>10.151999999999999</c:v>
                </c:pt>
                <c:pt idx="44" formatCode="General">
                  <c:v>10.44</c:v>
                </c:pt>
                <c:pt idx="45" formatCode="General">
                  <c:v>10.708</c:v>
                </c:pt>
                <c:pt idx="46" formatCode="General">
                  <c:v>10.884</c:v>
                </c:pt>
                <c:pt idx="47" formatCode="General">
                  <c:v>11.06</c:v>
                </c:pt>
                <c:pt idx="48" formatCode="General">
                  <c:v>11.368</c:v>
                </c:pt>
                <c:pt idx="49" formatCode="General">
                  <c:v>11.624000000000001</c:v>
                </c:pt>
                <c:pt idx="50" formatCode="General">
                  <c:v>11.816000000000001</c:v>
                </c:pt>
                <c:pt idx="51" formatCode="General">
                  <c:v>11.972</c:v>
                </c:pt>
                <c:pt idx="52" formatCode="General">
                  <c:v>12.228</c:v>
                </c:pt>
                <c:pt idx="53" formatCode="General">
                  <c:v>12.548</c:v>
                </c:pt>
                <c:pt idx="54" formatCode="General">
                  <c:v>12.776</c:v>
                </c:pt>
                <c:pt idx="55" formatCode="General">
                  <c:v>12.936</c:v>
                </c:pt>
                <c:pt idx="56" formatCode="General">
                  <c:v>13.108000000000001</c:v>
                </c:pt>
                <c:pt idx="57" formatCode="General">
                  <c:v>13.412000000000001</c:v>
                </c:pt>
                <c:pt idx="58" formatCode="General">
                  <c:v>13.7</c:v>
                </c:pt>
                <c:pt idx="59" formatCode="General">
                  <c:v>13.907999999999999</c:v>
                </c:pt>
                <c:pt idx="60" formatCode="General">
                  <c:v>14.092000000000001</c:v>
                </c:pt>
                <c:pt idx="61" formatCode="General">
                  <c:v>14.42</c:v>
                </c:pt>
                <c:pt idx="62" formatCode="General">
                  <c:v>14.708</c:v>
                </c:pt>
                <c:pt idx="63" formatCode="General">
                  <c:v>14.916</c:v>
                </c:pt>
                <c:pt idx="64" formatCode="General">
                  <c:v>15.14</c:v>
                </c:pt>
                <c:pt idx="65" formatCode="General">
                  <c:v>15.428000000000001</c:v>
                </c:pt>
                <c:pt idx="66" formatCode="General">
                  <c:v>15.676</c:v>
                </c:pt>
                <c:pt idx="67" formatCode="General">
                  <c:v>15.864000000000001</c:v>
                </c:pt>
                <c:pt idx="68" formatCode="General">
                  <c:v>16.004000000000001</c:v>
                </c:pt>
                <c:pt idx="69" formatCode="General">
                  <c:v>16.244</c:v>
                </c:pt>
                <c:pt idx="70" formatCode="General">
                  <c:v>16.547999999999998</c:v>
                </c:pt>
                <c:pt idx="71" formatCode="General">
                  <c:v>16.763999999999999</c:v>
                </c:pt>
                <c:pt idx="72" formatCode="General">
                  <c:v>16.948</c:v>
                </c:pt>
                <c:pt idx="73" formatCode="General">
                  <c:v>17.164000000000001</c:v>
                </c:pt>
                <c:pt idx="74" formatCode="General">
                  <c:v>17.48</c:v>
                </c:pt>
                <c:pt idx="75" formatCode="General">
                  <c:v>17.763999999999999</c:v>
                </c:pt>
                <c:pt idx="76" formatCode="General">
                  <c:v>17.940000000000001</c:v>
                </c:pt>
                <c:pt idx="77" formatCode="General">
                  <c:v>18.100000000000001</c:v>
                </c:pt>
                <c:pt idx="78" formatCode="General">
                  <c:v>18.388000000000002</c:v>
                </c:pt>
                <c:pt idx="79" formatCode="General">
                  <c:v>18.66</c:v>
                </c:pt>
                <c:pt idx="80" formatCode="General">
                  <c:v>18.835999999999999</c:v>
                </c:pt>
                <c:pt idx="81" formatCode="General">
                  <c:v>19.012</c:v>
                </c:pt>
                <c:pt idx="82" formatCode="General">
                  <c:v>19.251999999999999</c:v>
                </c:pt>
                <c:pt idx="83" formatCode="General">
                  <c:v>19.507999999999999</c:v>
                </c:pt>
                <c:pt idx="84" formatCode="General">
                  <c:v>19.731999999999999</c:v>
                </c:pt>
                <c:pt idx="85" formatCode="General">
                  <c:v>19.88</c:v>
                </c:pt>
                <c:pt idx="86" formatCode="General">
                  <c:v>20.068000000000001</c:v>
                </c:pt>
                <c:pt idx="87" formatCode="General">
                  <c:v>20.372</c:v>
                </c:pt>
                <c:pt idx="88" formatCode="General">
                  <c:v>20.623999999999999</c:v>
                </c:pt>
                <c:pt idx="89" formatCode="General">
                  <c:v>20.867999999999999</c:v>
                </c:pt>
                <c:pt idx="90" formatCode="General">
                  <c:v>21.044</c:v>
                </c:pt>
                <c:pt idx="91" formatCode="General">
                  <c:v>21.364000000000001</c:v>
                </c:pt>
                <c:pt idx="92" formatCode="General">
                  <c:v>21.632000000000001</c:v>
                </c:pt>
                <c:pt idx="93" formatCode="General">
                  <c:v>21.844000000000001</c:v>
                </c:pt>
                <c:pt idx="94" formatCode="General">
                  <c:v>21.984000000000002</c:v>
                </c:pt>
                <c:pt idx="95" formatCode="General">
                  <c:v>22.228000000000002</c:v>
                </c:pt>
                <c:pt idx="96" formatCode="General">
                  <c:v>22.48</c:v>
                </c:pt>
                <c:pt idx="97" formatCode="General">
                  <c:v>22.704000000000001</c:v>
                </c:pt>
                <c:pt idx="98" formatCode="General">
                  <c:v>22.856000000000002</c:v>
                </c:pt>
                <c:pt idx="99" formatCode="General">
                  <c:v>23.056000000000001</c:v>
                </c:pt>
                <c:pt idx="100" formatCode="General">
                  <c:v>23.36</c:v>
                </c:pt>
                <c:pt idx="101" formatCode="General">
                  <c:v>23.62</c:v>
                </c:pt>
                <c:pt idx="102" formatCode="General">
                  <c:v>23.812000000000001</c:v>
                </c:pt>
                <c:pt idx="103" formatCode="General">
                  <c:v>23.992000000000001</c:v>
                </c:pt>
                <c:pt idx="104" formatCode="General">
                  <c:v>24.26</c:v>
                </c:pt>
                <c:pt idx="105" formatCode="General">
                  <c:v>24.544</c:v>
                </c:pt>
                <c:pt idx="106" formatCode="General">
                  <c:v>24.788</c:v>
                </c:pt>
                <c:pt idx="107" formatCode="General">
                  <c:v>24.952000000000002</c:v>
                </c:pt>
                <c:pt idx="108" formatCode="General">
                  <c:v>25.167999999999999</c:v>
                </c:pt>
                <c:pt idx="109" formatCode="General">
                  <c:v>25.475999999999999</c:v>
                </c:pt>
                <c:pt idx="110" formatCode="General">
                  <c:v>25.736000000000001</c:v>
                </c:pt>
                <c:pt idx="111" formatCode="General">
                  <c:v>25.908000000000001</c:v>
                </c:pt>
                <c:pt idx="112" formatCode="General">
                  <c:v>26.06</c:v>
                </c:pt>
                <c:pt idx="113" formatCode="General">
                  <c:v>26.32</c:v>
                </c:pt>
                <c:pt idx="114" formatCode="General">
                  <c:v>26.591999999999999</c:v>
                </c:pt>
                <c:pt idx="115" formatCode="General">
                  <c:v>26.8</c:v>
                </c:pt>
                <c:pt idx="116" formatCode="General">
                  <c:v>26.963999999999999</c:v>
                </c:pt>
                <c:pt idx="117" formatCode="General">
                  <c:v>27.22</c:v>
                </c:pt>
                <c:pt idx="118" formatCode="General">
                  <c:v>27.536000000000001</c:v>
                </c:pt>
                <c:pt idx="119" formatCode="General">
                  <c:v>27.788</c:v>
                </c:pt>
                <c:pt idx="120" formatCode="General">
                  <c:v>27.975999999999999</c:v>
                </c:pt>
                <c:pt idx="121" formatCode="General">
                  <c:v>28.228000000000002</c:v>
                </c:pt>
                <c:pt idx="122" formatCode="General">
                  <c:v>28.495999999999999</c:v>
                </c:pt>
                <c:pt idx="123" formatCode="General">
                  <c:v>28.724</c:v>
                </c:pt>
                <c:pt idx="124" formatCode="General">
                  <c:v>28.904</c:v>
                </c:pt>
                <c:pt idx="125" formatCode="General">
                  <c:v>29.056000000000001</c:v>
                </c:pt>
                <c:pt idx="126" formatCode="General">
                  <c:v>29.344000000000001</c:v>
                </c:pt>
                <c:pt idx="127" formatCode="General">
                  <c:v>29.652000000000001</c:v>
                </c:pt>
                <c:pt idx="128" formatCode="General">
                  <c:v>29.795999999999999</c:v>
                </c:pt>
                <c:pt idx="129" formatCode="General">
                  <c:v>29.94</c:v>
                </c:pt>
                <c:pt idx="130" formatCode="General">
                  <c:v>30.143999999999998</c:v>
                </c:pt>
                <c:pt idx="131" formatCode="General">
                  <c:v>30.448</c:v>
                </c:pt>
                <c:pt idx="132" formatCode="General">
                  <c:v>30.704000000000001</c:v>
                </c:pt>
                <c:pt idx="133" formatCode="General">
                  <c:v>30.884</c:v>
                </c:pt>
                <c:pt idx="134" formatCode="General">
                  <c:v>31.056000000000001</c:v>
                </c:pt>
                <c:pt idx="135" formatCode="General">
                  <c:v>31.344000000000001</c:v>
                </c:pt>
                <c:pt idx="136" formatCode="General">
                  <c:v>31.616</c:v>
                </c:pt>
                <c:pt idx="137" formatCode="General">
                  <c:v>31.884</c:v>
                </c:pt>
                <c:pt idx="138" formatCode="General">
                  <c:v>32.031999999999996</c:v>
                </c:pt>
                <c:pt idx="139" formatCode="General">
                  <c:v>32.32</c:v>
                </c:pt>
                <c:pt idx="140" formatCode="General">
                  <c:v>32.595999999999997</c:v>
                </c:pt>
                <c:pt idx="141" formatCode="General">
                  <c:v>32.799999999999997</c:v>
                </c:pt>
                <c:pt idx="142" formatCode="General">
                  <c:v>32.975999999999999</c:v>
                </c:pt>
                <c:pt idx="143" formatCode="General">
                  <c:v>33.188000000000002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1.5898720288912749</c:v>
                </c:pt>
                <c:pt idx="16">
                  <c:v>1.5186124343847638</c:v>
                </c:pt>
                <c:pt idx="17">
                  <c:v>1.4431668423209363</c:v>
                </c:pt>
                <c:pt idx="18">
                  <c:v>1.3262642557034932</c:v>
                </c:pt>
                <c:pt idx="19">
                  <c:v>1.2332260840414873</c:v>
                </c:pt>
                <c:pt idx="20">
                  <c:v>1.1669136511387999</c:v>
                </c:pt>
                <c:pt idx="21">
                  <c:v>1.1191540351638309</c:v>
                </c:pt>
                <c:pt idx="22">
                  <c:v>1.0450268478375726</c:v>
                </c:pt>
                <c:pt idx="23">
                  <c:v>0.96815634546644613</c:v>
                </c:pt>
                <c:pt idx="24">
                  <c:v>0.92346394927640407</c:v>
                </c:pt>
                <c:pt idx="25">
                  <c:v>0.88674116249323376</c:v>
                </c:pt>
                <c:pt idx="26">
                  <c:v>0.85376672120568653</c:v>
                </c:pt>
                <c:pt idx="27">
                  <c:v>0.79542891796318216</c:v>
                </c:pt>
                <c:pt idx="28">
                  <c:v>0.75213021269408031</c:v>
                </c:pt>
                <c:pt idx="29">
                  <c:v>0.7208640984799386</c:v>
                </c:pt>
                <c:pt idx="30">
                  <c:v>0.69788742915609792</c:v>
                </c:pt>
                <c:pt idx="31">
                  <c:v>0.65819116845696168</c:v>
                </c:pt>
                <c:pt idx="32">
                  <c:v>0.62343178849520342</c:v>
                </c:pt>
                <c:pt idx="33">
                  <c:v>0.60544220712019214</c:v>
                </c:pt>
                <c:pt idx="34">
                  <c:v>0.58647459099046362</c:v>
                </c:pt>
                <c:pt idx="35">
                  <c:v>0.56759552220669995</c:v>
                </c:pt>
                <c:pt idx="36">
                  <c:v>0.54214654184160516</c:v>
                </c:pt>
                <c:pt idx="37">
                  <c:v>0.52162200646733758</c:v>
                </c:pt>
                <c:pt idx="38">
                  <c:v>0.50856177070130393</c:v>
                </c:pt>
                <c:pt idx="39">
                  <c:v>0.49847037779906866</c:v>
                </c:pt>
                <c:pt idx="40">
                  <c:v>0.47978036559362724</c:v>
                </c:pt>
                <c:pt idx="41">
                  <c:v>0.46358634851719227</c:v>
                </c:pt>
                <c:pt idx="42">
                  <c:v>0.44551457410449746</c:v>
                </c:pt>
                <c:pt idx="43">
                  <c:v>0.43690733839194262</c:v>
                </c:pt>
                <c:pt idx="44">
                  <c:v>0.42423688139655003</c:v>
                </c:pt>
                <c:pt idx="45">
                  <c:v>0.41356174088523101</c:v>
                </c:pt>
                <c:pt idx="46">
                  <c:v>0.40708717053714416</c:v>
                </c:pt>
                <c:pt idx="47">
                  <c:v>0.40100718883649122</c:v>
                </c:pt>
                <c:pt idx="48">
                  <c:v>0.39124519713358019</c:v>
                </c:pt>
                <c:pt idx="49">
                  <c:v>0.38391013164428323</c:v>
                </c:pt>
                <c:pt idx="50">
                  <c:v>0.37883271812992447</c:v>
                </c:pt>
                <c:pt idx="51">
                  <c:v>0.374956228623474</c:v>
                </c:pt>
                <c:pt idx="52">
                  <c:v>0.36904489371813476</c:v>
                </c:pt>
                <c:pt idx="53">
                  <c:v>0.36237692154889611</c:v>
                </c:pt>
                <c:pt idx="54">
                  <c:v>0.3580701923837859</c:v>
                </c:pt>
                <c:pt idx="55">
                  <c:v>0.35525070507378143</c:v>
                </c:pt>
                <c:pt idx="56">
                  <c:v>0.35239422789855812</c:v>
                </c:pt>
                <c:pt idx="57">
                  <c:v>0.3477555713096665</c:v>
                </c:pt>
                <c:pt idx="58">
                  <c:v>0.34380226001067271</c:v>
                </c:pt>
                <c:pt idx="59">
                  <c:v>0.34118973892843396</c:v>
                </c:pt>
                <c:pt idx="60">
                  <c:v>0.33903506963965047</c:v>
                </c:pt>
                <c:pt idx="61">
                  <c:v>0.33552847796792662</c:v>
                </c:pt>
                <c:pt idx="62">
                  <c:v>0.33277071620868615</c:v>
                </c:pt>
                <c:pt idx="63">
                  <c:v>0.33094826657320198</c:v>
                </c:pt>
                <c:pt idx="64">
                  <c:v>0.32913132491619379</c:v>
                </c:pt>
                <c:pt idx="65">
                  <c:v>0.32699906859581507</c:v>
                </c:pt>
                <c:pt idx="66">
                  <c:v>0.32533080215443455</c:v>
                </c:pt>
                <c:pt idx="67">
                  <c:v>0.32416107213184731</c:v>
                </c:pt>
                <c:pt idx="68">
                  <c:v>0.32333963802164245</c:v>
                </c:pt>
                <c:pt idx="69">
                  <c:v>0.32202361725572004</c:v>
                </c:pt>
                <c:pt idx="70">
                  <c:v>0.3205107488128176</c:v>
                </c:pt>
                <c:pt idx="71">
                  <c:v>0.3195314092971886</c:v>
                </c:pt>
                <c:pt idx="72">
                  <c:v>0.31875474168704798</c:v>
                </c:pt>
                <c:pt idx="73">
                  <c:v>0.31790581909319116</c:v>
                </c:pt>
                <c:pt idx="74">
                  <c:v>0.31677615080071053</c:v>
                </c:pt>
                <c:pt idx="75">
                  <c:v>0.31586416313050769</c:v>
                </c:pt>
                <c:pt idx="76">
                  <c:v>0.31534371066072264</c:v>
                </c:pt>
                <c:pt idx="77">
                  <c:v>0.31489814820014583</c:v>
                </c:pt>
                <c:pt idx="78">
                  <c:v>0.31415759368464524</c:v>
                </c:pt>
                <c:pt idx="79">
                  <c:v>0.31352479272684075</c:v>
                </c:pt>
                <c:pt idx="80">
                  <c:v>0.31314691172570974</c:v>
                </c:pt>
                <c:pt idx="81">
                  <c:v>0.31279206044626129</c:v>
                </c:pt>
                <c:pt idx="82">
                  <c:v>0.31234276445485332</c:v>
                </c:pt>
                <c:pt idx="83">
                  <c:v>0.31190413359760338</c:v>
                </c:pt>
                <c:pt idx="84">
                  <c:v>0.31155189848427245</c:v>
                </c:pt>
                <c:pt idx="85">
                  <c:v>0.31133416725005691</c:v>
                </c:pt>
                <c:pt idx="86">
                  <c:v>0.3110736835618706</c:v>
                </c:pt>
                <c:pt idx="87">
                  <c:v>0.31068779848265926</c:v>
                </c:pt>
                <c:pt idx="88">
                  <c:v>0.31039820894442283</c:v>
                </c:pt>
                <c:pt idx="89">
                  <c:v>0.3101415936278773</c:v>
                </c:pt>
                <c:pt idx="90">
                  <c:v>0.30996989958351584</c:v>
                </c:pt>
                <c:pt idx="91">
                  <c:v>0.30968408980712425</c:v>
                </c:pt>
                <c:pt idx="92">
                  <c:v>0.30946862647503526</c:v>
                </c:pt>
                <c:pt idx="93">
                  <c:v>0.30931221333072667</c:v>
                </c:pt>
                <c:pt idx="94">
                  <c:v>0.30921522975257876</c:v>
                </c:pt>
                <c:pt idx="95">
                  <c:v>0.30905737380766585</c:v>
                </c:pt>
                <c:pt idx="96">
                  <c:v>0.30890816295725276</c:v>
                </c:pt>
                <c:pt idx="97">
                  <c:v>0.30878635145035194</c:v>
                </c:pt>
                <c:pt idx="98">
                  <c:v>0.30870907436721229</c:v>
                </c:pt>
                <c:pt idx="99">
                  <c:v>0.30861358226124924</c:v>
                </c:pt>
                <c:pt idx="100">
                  <c:v>0.30848089444480831</c:v>
                </c:pt>
                <c:pt idx="101">
                  <c:v>0.30837830148853218</c:v>
                </c:pt>
                <c:pt idx="102">
                  <c:v>0.30830842877525555</c:v>
                </c:pt>
                <c:pt idx="103">
                  <c:v>0.30824713614444832</c:v>
                </c:pt>
                <c:pt idx="104">
                  <c:v>0.30816287931745112</c:v>
                </c:pt>
                <c:pt idx="105">
                  <c:v>0.30808197269619253</c:v>
                </c:pt>
                <c:pt idx="106">
                  <c:v>0.30801872513962447</c:v>
                </c:pt>
                <c:pt idx="107">
                  <c:v>0.30797920948845281</c:v>
                </c:pt>
                <c:pt idx="108">
                  <c:v>0.30793057507063271</c:v>
                </c:pt>
                <c:pt idx="109">
                  <c:v>0.30786740675077695</c:v>
                </c:pt>
                <c:pt idx="110">
                  <c:v>0.30781923496894681</c:v>
                </c:pt>
                <c:pt idx="111">
                  <c:v>0.30778974021294658</c:v>
                </c:pt>
                <c:pt idx="112">
                  <c:v>0.30776514171540015</c:v>
                </c:pt>
                <c:pt idx="113">
                  <c:v>0.30772604164500628</c:v>
                </c:pt>
                <c:pt idx="114">
                  <c:v>0.30768884408179531</c:v>
                </c:pt>
                <c:pt idx="115">
                  <c:v>0.30766274057467768</c:v>
                </c:pt>
                <c:pt idx="116">
                  <c:v>0.30764348390158869</c:v>
                </c:pt>
                <c:pt idx="117">
                  <c:v>0.30761559172568287</c:v>
                </c:pt>
                <c:pt idx="118">
                  <c:v>0.30758450090654677</c:v>
                </c:pt>
                <c:pt idx="119">
                  <c:v>0.30756210362094283</c:v>
                </c:pt>
                <c:pt idx="120">
                  <c:v>0.30754665990495855</c:v>
                </c:pt>
                <c:pt idx="121">
                  <c:v>0.30752752070924316</c:v>
                </c:pt>
                <c:pt idx="122">
                  <c:v>0.30750897109933817</c:v>
                </c:pt>
                <c:pt idx="123">
                  <c:v>0.30749452972260727</c:v>
                </c:pt>
                <c:pt idx="124">
                  <c:v>0.30748393114024442</c:v>
                </c:pt>
                <c:pt idx="125">
                  <c:v>0.30747549700931032</c:v>
                </c:pt>
                <c:pt idx="126">
                  <c:v>0.30746071982836742</c:v>
                </c:pt>
                <c:pt idx="127">
                  <c:v>0.30744651163744141</c:v>
                </c:pt>
                <c:pt idx="128">
                  <c:v>0.30744038654669037</c:v>
                </c:pt>
                <c:pt idx="129">
                  <c:v>0.30743456860906626</c:v>
                </c:pt>
                <c:pt idx="130">
                  <c:v>0.30742682244651487</c:v>
                </c:pt>
                <c:pt idx="131">
                  <c:v>0.30741627770466184</c:v>
                </c:pt>
                <c:pt idx="132">
                  <c:v>0.30740824439282299</c:v>
                </c:pt>
                <c:pt idx="133">
                  <c:v>0.30740302012890108</c:v>
                </c:pt>
                <c:pt idx="134">
                  <c:v>0.30739833236355096</c:v>
                </c:pt>
                <c:pt idx="135">
                  <c:v>0.30739110024292149</c:v>
                </c:pt>
                <c:pt idx="136">
                  <c:v>0.30738492042392629</c:v>
                </c:pt>
                <c:pt idx="137">
                  <c:v>0.30737939147401061</c:v>
                </c:pt>
                <c:pt idx="138">
                  <c:v>0.3073765576009988</c:v>
                </c:pt>
                <c:pt idx="139">
                  <c:v>0.30737145458878601</c:v>
                </c:pt>
                <c:pt idx="140">
                  <c:v>0.30736703306856317</c:v>
                </c:pt>
                <c:pt idx="141">
                  <c:v>0.30736403408716839</c:v>
                </c:pt>
                <c:pt idx="142">
                  <c:v>0.30736161667483231</c:v>
                </c:pt>
                <c:pt idx="143">
                  <c:v>0.3073588995813985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0.28000000000000003</c:v>
                </c:pt>
                <c:pt idx="1">
                  <c:v>0.55200000000000005</c:v>
                </c:pt>
                <c:pt idx="2" formatCode="0.00E+00">
                  <c:v>0.76</c:v>
                </c:pt>
                <c:pt idx="3" formatCode="0.00E+00">
                  <c:v>0.94</c:v>
                </c:pt>
                <c:pt idx="4" formatCode="0.00E+00">
                  <c:v>1.1879999999999999</c:v>
                </c:pt>
                <c:pt idx="5" formatCode="0.00E+00">
                  <c:v>1.48</c:v>
                </c:pt>
                <c:pt idx="6" formatCode="0.00E+00">
                  <c:v>1.768</c:v>
                </c:pt>
                <c:pt idx="7" formatCode="0.00E+00">
                  <c:v>1.944</c:v>
                </c:pt>
                <c:pt idx="8" formatCode="0.00E+00">
                  <c:v>2.1040000000000001</c:v>
                </c:pt>
                <c:pt idx="9" formatCode="General">
                  <c:v>2.3919999999999999</c:v>
                </c:pt>
                <c:pt idx="10" formatCode="General">
                  <c:v>2.6360000000000001</c:v>
                </c:pt>
                <c:pt idx="11" formatCode="General">
                  <c:v>2.8239999999999998</c:v>
                </c:pt>
                <c:pt idx="12" formatCode="General">
                  <c:v>2.988</c:v>
                </c:pt>
                <c:pt idx="13" formatCode="General">
                  <c:v>3.1920000000000002</c:v>
                </c:pt>
                <c:pt idx="14" formatCode="General">
                  <c:v>3.48</c:v>
                </c:pt>
                <c:pt idx="15" formatCode="General">
                  <c:v>3.7360000000000002</c:v>
                </c:pt>
                <c:pt idx="16" formatCode="General">
                  <c:v>3.8959999999999999</c:v>
                </c:pt>
                <c:pt idx="17" formatCode="General">
                  <c:v>4.0759999999999996</c:v>
                </c:pt>
                <c:pt idx="18" formatCode="General">
                  <c:v>4.38</c:v>
                </c:pt>
                <c:pt idx="19" formatCode="General">
                  <c:v>4.6479999999999997</c:v>
                </c:pt>
                <c:pt idx="20" formatCode="General">
                  <c:v>4.8559999999999999</c:v>
                </c:pt>
                <c:pt idx="21" formatCode="General">
                  <c:v>5.016</c:v>
                </c:pt>
                <c:pt idx="22" formatCode="General">
                  <c:v>5.2839999999999998</c:v>
                </c:pt>
                <c:pt idx="23" formatCode="General">
                  <c:v>5.5919999999999996</c:v>
                </c:pt>
                <c:pt idx="24" formatCode="General">
                  <c:v>5.7880000000000003</c:v>
                </c:pt>
                <c:pt idx="25" formatCode="General">
                  <c:v>5.96</c:v>
                </c:pt>
                <c:pt idx="26" formatCode="General">
                  <c:v>6.1239999999999997</c:v>
                </c:pt>
                <c:pt idx="27" formatCode="General">
                  <c:v>6.44</c:v>
                </c:pt>
                <c:pt idx="28" formatCode="General">
                  <c:v>6.7</c:v>
                </c:pt>
                <c:pt idx="29" formatCode="General">
                  <c:v>6.9039999999999999</c:v>
                </c:pt>
                <c:pt idx="30" formatCode="General">
                  <c:v>7.0640000000000001</c:v>
                </c:pt>
                <c:pt idx="31" formatCode="General">
                  <c:v>7.3639999999999999</c:v>
                </c:pt>
                <c:pt idx="32" formatCode="General">
                  <c:v>7.6559999999999997</c:v>
                </c:pt>
                <c:pt idx="33" formatCode="General">
                  <c:v>7.82</c:v>
                </c:pt>
                <c:pt idx="34" formatCode="General">
                  <c:v>8.0039999999999996</c:v>
                </c:pt>
                <c:pt idx="35" formatCode="General">
                  <c:v>8.1999999999999993</c:v>
                </c:pt>
                <c:pt idx="36" formatCode="General">
                  <c:v>8.4879999999999995</c:v>
                </c:pt>
                <c:pt idx="37" formatCode="General">
                  <c:v>8.7439999999999998</c:v>
                </c:pt>
                <c:pt idx="38" formatCode="General">
                  <c:v>8.92</c:v>
                </c:pt>
                <c:pt idx="39" formatCode="General">
                  <c:v>9.0640000000000001</c:v>
                </c:pt>
                <c:pt idx="40" formatCode="General">
                  <c:v>9.3520000000000003</c:v>
                </c:pt>
                <c:pt idx="41" formatCode="General">
                  <c:v>9.6280000000000001</c:v>
                </c:pt>
                <c:pt idx="42" formatCode="General">
                  <c:v>9.9719999999999995</c:v>
                </c:pt>
                <c:pt idx="43" formatCode="General">
                  <c:v>10.151999999999999</c:v>
                </c:pt>
                <c:pt idx="44" formatCode="General">
                  <c:v>10.44</c:v>
                </c:pt>
                <c:pt idx="45" formatCode="General">
                  <c:v>10.708</c:v>
                </c:pt>
                <c:pt idx="46" formatCode="General">
                  <c:v>10.884</c:v>
                </c:pt>
                <c:pt idx="47" formatCode="General">
                  <c:v>11.06</c:v>
                </c:pt>
                <c:pt idx="48" formatCode="General">
                  <c:v>11.368</c:v>
                </c:pt>
                <c:pt idx="49" formatCode="General">
                  <c:v>11.624000000000001</c:v>
                </c:pt>
                <c:pt idx="50" formatCode="General">
                  <c:v>11.816000000000001</c:v>
                </c:pt>
                <c:pt idx="51" formatCode="General">
                  <c:v>11.972</c:v>
                </c:pt>
                <c:pt idx="52" formatCode="General">
                  <c:v>12.228</c:v>
                </c:pt>
                <c:pt idx="53" formatCode="General">
                  <c:v>12.548</c:v>
                </c:pt>
                <c:pt idx="54" formatCode="General">
                  <c:v>12.776</c:v>
                </c:pt>
                <c:pt idx="55" formatCode="General">
                  <c:v>12.936</c:v>
                </c:pt>
                <c:pt idx="56" formatCode="General">
                  <c:v>13.108000000000001</c:v>
                </c:pt>
                <c:pt idx="57" formatCode="General">
                  <c:v>13.412000000000001</c:v>
                </c:pt>
                <c:pt idx="58" formatCode="General">
                  <c:v>13.7</c:v>
                </c:pt>
                <c:pt idx="59" formatCode="General">
                  <c:v>13.907999999999999</c:v>
                </c:pt>
                <c:pt idx="60" formatCode="General">
                  <c:v>14.092000000000001</c:v>
                </c:pt>
                <c:pt idx="61" formatCode="General">
                  <c:v>14.42</c:v>
                </c:pt>
                <c:pt idx="62" formatCode="General">
                  <c:v>14.708</c:v>
                </c:pt>
                <c:pt idx="63" formatCode="General">
                  <c:v>14.916</c:v>
                </c:pt>
                <c:pt idx="64" formatCode="General">
                  <c:v>15.14</c:v>
                </c:pt>
                <c:pt idx="65" formatCode="General">
                  <c:v>15.428000000000001</c:v>
                </c:pt>
                <c:pt idx="66" formatCode="General">
                  <c:v>15.676</c:v>
                </c:pt>
                <c:pt idx="67" formatCode="General">
                  <c:v>15.864000000000001</c:v>
                </c:pt>
                <c:pt idx="68" formatCode="General">
                  <c:v>16.004000000000001</c:v>
                </c:pt>
                <c:pt idx="69" formatCode="General">
                  <c:v>16.244</c:v>
                </c:pt>
                <c:pt idx="70" formatCode="General">
                  <c:v>16.547999999999998</c:v>
                </c:pt>
                <c:pt idx="71" formatCode="General">
                  <c:v>16.763999999999999</c:v>
                </c:pt>
                <c:pt idx="72" formatCode="General">
                  <c:v>16.948</c:v>
                </c:pt>
                <c:pt idx="73" formatCode="General">
                  <c:v>17.164000000000001</c:v>
                </c:pt>
                <c:pt idx="74" formatCode="General">
                  <c:v>17.48</c:v>
                </c:pt>
                <c:pt idx="75" formatCode="General">
                  <c:v>17.763999999999999</c:v>
                </c:pt>
                <c:pt idx="76" formatCode="General">
                  <c:v>17.940000000000001</c:v>
                </c:pt>
                <c:pt idx="77" formatCode="General">
                  <c:v>18.100000000000001</c:v>
                </c:pt>
                <c:pt idx="78" formatCode="General">
                  <c:v>18.388000000000002</c:v>
                </c:pt>
                <c:pt idx="79" formatCode="General">
                  <c:v>18.66</c:v>
                </c:pt>
                <c:pt idx="80" formatCode="General">
                  <c:v>18.835999999999999</c:v>
                </c:pt>
                <c:pt idx="81" formatCode="General">
                  <c:v>19.012</c:v>
                </c:pt>
                <c:pt idx="82" formatCode="General">
                  <c:v>19.251999999999999</c:v>
                </c:pt>
                <c:pt idx="83" formatCode="General">
                  <c:v>19.507999999999999</c:v>
                </c:pt>
                <c:pt idx="84" formatCode="General">
                  <c:v>19.731999999999999</c:v>
                </c:pt>
                <c:pt idx="85" formatCode="General">
                  <c:v>19.88</c:v>
                </c:pt>
                <c:pt idx="86" formatCode="General">
                  <c:v>20.068000000000001</c:v>
                </c:pt>
                <c:pt idx="87" formatCode="General">
                  <c:v>20.372</c:v>
                </c:pt>
                <c:pt idx="88" formatCode="General">
                  <c:v>20.623999999999999</c:v>
                </c:pt>
                <c:pt idx="89" formatCode="General">
                  <c:v>20.867999999999999</c:v>
                </c:pt>
                <c:pt idx="90" formatCode="General">
                  <c:v>21.044</c:v>
                </c:pt>
                <c:pt idx="91" formatCode="General">
                  <c:v>21.364000000000001</c:v>
                </c:pt>
                <c:pt idx="92" formatCode="General">
                  <c:v>21.632000000000001</c:v>
                </c:pt>
                <c:pt idx="93" formatCode="General">
                  <c:v>21.844000000000001</c:v>
                </c:pt>
                <c:pt idx="94" formatCode="General">
                  <c:v>21.984000000000002</c:v>
                </c:pt>
                <c:pt idx="95" formatCode="General">
                  <c:v>22.228000000000002</c:v>
                </c:pt>
                <c:pt idx="96" formatCode="General">
                  <c:v>22.48</c:v>
                </c:pt>
                <c:pt idx="97" formatCode="General">
                  <c:v>22.704000000000001</c:v>
                </c:pt>
                <c:pt idx="98" formatCode="General">
                  <c:v>22.856000000000002</c:v>
                </c:pt>
                <c:pt idx="99" formatCode="General">
                  <c:v>23.056000000000001</c:v>
                </c:pt>
                <c:pt idx="100" formatCode="General">
                  <c:v>23.36</c:v>
                </c:pt>
                <c:pt idx="101" formatCode="General">
                  <c:v>23.62</c:v>
                </c:pt>
                <c:pt idx="102" formatCode="General">
                  <c:v>23.812000000000001</c:v>
                </c:pt>
                <c:pt idx="103" formatCode="General">
                  <c:v>23.992000000000001</c:v>
                </c:pt>
                <c:pt idx="104" formatCode="General">
                  <c:v>24.26</c:v>
                </c:pt>
                <c:pt idx="105" formatCode="General">
                  <c:v>24.544</c:v>
                </c:pt>
                <c:pt idx="106" formatCode="General">
                  <c:v>24.788</c:v>
                </c:pt>
                <c:pt idx="107" formatCode="General">
                  <c:v>24.952000000000002</c:v>
                </c:pt>
                <c:pt idx="108" formatCode="General">
                  <c:v>25.167999999999999</c:v>
                </c:pt>
                <c:pt idx="109" formatCode="General">
                  <c:v>25.475999999999999</c:v>
                </c:pt>
                <c:pt idx="110" formatCode="General">
                  <c:v>25.736000000000001</c:v>
                </c:pt>
                <c:pt idx="111" formatCode="General">
                  <c:v>25.908000000000001</c:v>
                </c:pt>
                <c:pt idx="112" formatCode="General">
                  <c:v>26.06</c:v>
                </c:pt>
                <c:pt idx="113" formatCode="General">
                  <c:v>26.32</c:v>
                </c:pt>
                <c:pt idx="114" formatCode="General">
                  <c:v>26.591999999999999</c:v>
                </c:pt>
                <c:pt idx="115" formatCode="General">
                  <c:v>26.8</c:v>
                </c:pt>
                <c:pt idx="116" formatCode="General">
                  <c:v>26.963999999999999</c:v>
                </c:pt>
                <c:pt idx="117" formatCode="General">
                  <c:v>27.22</c:v>
                </c:pt>
                <c:pt idx="118" formatCode="General">
                  <c:v>27.536000000000001</c:v>
                </c:pt>
                <c:pt idx="119" formatCode="General">
                  <c:v>27.788</c:v>
                </c:pt>
                <c:pt idx="120" formatCode="General">
                  <c:v>27.975999999999999</c:v>
                </c:pt>
                <c:pt idx="121" formatCode="General">
                  <c:v>28.228000000000002</c:v>
                </c:pt>
                <c:pt idx="122" formatCode="General">
                  <c:v>28.495999999999999</c:v>
                </c:pt>
                <c:pt idx="123" formatCode="General">
                  <c:v>28.724</c:v>
                </c:pt>
                <c:pt idx="124" formatCode="General">
                  <c:v>28.904</c:v>
                </c:pt>
                <c:pt idx="125" formatCode="General">
                  <c:v>29.056000000000001</c:v>
                </c:pt>
                <c:pt idx="126" formatCode="General">
                  <c:v>29.344000000000001</c:v>
                </c:pt>
                <c:pt idx="127" formatCode="General">
                  <c:v>29.652000000000001</c:v>
                </c:pt>
                <c:pt idx="128" formatCode="General">
                  <c:v>29.795999999999999</c:v>
                </c:pt>
                <c:pt idx="129" formatCode="General">
                  <c:v>29.94</c:v>
                </c:pt>
                <c:pt idx="130" formatCode="General">
                  <c:v>30.143999999999998</c:v>
                </c:pt>
                <c:pt idx="131" formatCode="General">
                  <c:v>30.448</c:v>
                </c:pt>
                <c:pt idx="132" formatCode="General">
                  <c:v>30.704000000000001</c:v>
                </c:pt>
                <c:pt idx="133" formatCode="General">
                  <c:v>30.884</c:v>
                </c:pt>
                <c:pt idx="134" formatCode="General">
                  <c:v>31.056000000000001</c:v>
                </c:pt>
                <c:pt idx="135" formatCode="General">
                  <c:v>31.344000000000001</c:v>
                </c:pt>
                <c:pt idx="136" formatCode="General">
                  <c:v>31.616</c:v>
                </c:pt>
                <c:pt idx="137" formatCode="General">
                  <c:v>31.884</c:v>
                </c:pt>
                <c:pt idx="138" formatCode="General">
                  <c:v>32.031999999999996</c:v>
                </c:pt>
                <c:pt idx="139" formatCode="General">
                  <c:v>32.32</c:v>
                </c:pt>
                <c:pt idx="140" formatCode="General">
                  <c:v>32.595999999999997</c:v>
                </c:pt>
                <c:pt idx="141" formatCode="General">
                  <c:v>32.799999999999997</c:v>
                </c:pt>
                <c:pt idx="142" formatCode="General">
                  <c:v>32.975999999999999</c:v>
                </c:pt>
                <c:pt idx="143" formatCode="General">
                  <c:v>33.188000000000002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3.5960000000000001</c:v>
                </c:pt>
                <c:pt idx="1">
                  <c:v>1.9970000000000001</c:v>
                </c:pt>
                <c:pt idx="2">
                  <c:v>2.7050000000000001</c:v>
                </c:pt>
                <c:pt idx="3">
                  <c:v>2.903</c:v>
                </c:pt>
                <c:pt idx="4">
                  <c:v>2.903</c:v>
                </c:pt>
                <c:pt idx="5">
                  <c:v>2.8969999999999998</c:v>
                </c:pt>
                <c:pt idx="6">
                  <c:v>2.7440000000000002</c:v>
                </c:pt>
                <c:pt idx="7">
                  <c:v>2.6160000000000001</c:v>
                </c:pt>
                <c:pt idx="8">
                  <c:v>2.6160000000000001</c:v>
                </c:pt>
                <c:pt idx="9">
                  <c:v>2.4489999999999998</c:v>
                </c:pt>
                <c:pt idx="10">
                  <c:v>2.2879999999999998</c:v>
                </c:pt>
                <c:pt idx="11">
                  <c:v>2.1669999999999998</c:v>
                </c:pt>
                <c:pt idx="12">
                  <c:v>1.9810000000000001</c:v>
                </c:pt>
                <c:pt idx="13">
                  <c:v>1.962</c:v>
                </c:pt>
                <c:pt idx="14">
                  <c:v>1.774</c:v>
                </c:pt>
                <c:pt idx="15">
                  <c:v>1.59</c:v>
                </c:pt>
                <c:pt idx="16">
                  <c:v>1.59</c:v>
                </c:pt>
                <c:pt idx="17">
                  <c:v>1.486</c:v>
                </c:pt>
                <c:pt idx="18">
                  <c:v>1.337</c:v>
                </c:pt>
                <c:pt idx="19">
                  <c:v>1.153</c:v>
                </c:pt>
                <c:pt idx="20">
                  <c:v>1.153</c:v>
                </c:pt>
                <c:pt idx="21">
                  <c:v>1.07</c:v>
                </c:pt>
                <c:pt idx="22">
                  <c:v>0.99439999999999995</c:v>
                </c:pt>
                <c:pt idx="23">
                  <c:v>0.96189999999999998</c:v>
                </c:pt>
                <c:pt idx="24">
                  <c:v>0.90910000000000002</c:v>
                </c:pt>
                <c:pt idx="25">
                  <c:v>0.86509999999999998</c:v>
                </c:pt>
                <c:pt idx="26">
                  <c:v>0.86509999999999998</c:v>
                </c:pt>
                <c:pt idx="27">
                  <c:v>0.77739999999999998</c:v>
                </c:pt>
                <c:pt idx="28">
                  <c:v>0.72770000000000001</c:v>
                </c:pt>
                <c:pt idx="29">
                  <c:v>0.68920000000000003</c:v>
                </c:pt>
                <c:pt idx="30">
                  <c:v>0.68920000000000003</c:v>
                </c:pt>
                <c:pt idx="31">
                  <c:v>0.67800000000000005</c:v>
                </c:pt>
                <c:pt idx="32">
                  <c:v>0.65839999999999999</c:v>
                </c:pt>
                <c:pt idx="33">
                  <c:v>0.65839999999999999</c:v>
                </c:pt>
                <c:pt idx="34">
                  <c:v>0.64349999999999996</c:v>
                </c:pt>
                <c:pt idx="35">
                  <c:v>0.59750000000000003</c:v>
                </c:pt>
                <c:pt idx="36">
                  <c:v>0.56559999999999999</c:v>
                </c:pt>
                <c:pt idx="37">
                  <c:v>0.53939999999999999</c:v>
                </c:pt>
                <c:pt idx="38">
                  <c:v>0.51300000000000001</c:v>
                </c:pt>
                <c:pt idx="39">
                  <c:v>0.51300000000000001</c:v>
                </c:pt>
                <c:pt idx="40">
                  <c:v>0.50719999999999998</c:v>
                </c:pt>
                <c:pt idx="41">
                  <c:v>0.47110000000000002</c:v>
                </c:pt>
                <c:pt idx="42">
                  <c:v>0.45779999999999998</c:v>
                </c:pt>
                <c:pt idx="43">
                  <c:v>0.44</c:v>
                </c:pt>
                <c:pt idx="44">
                  <c:v>0.41760000000000003</c:v>
                </c:pt>
                <c:pt idx="45">
                  <c:v>0.41299999999999998</c:v>
                </c:pt>
                <c:pt idx="46">
                  <c:v>0.39439999999999997</c:v>
                </c:pt>
                <c:pt idx="47">
                  <c:v>0.39439999999999997</c:v>
                </c:pt>
                <c:pt idx="48">
                  <c:v>0.3967</c:v>
                </c:pt>
                <c:pt idx="49">
                  <c:v>0.3775</c:v>
                </c:pt>
                <c:pt idx="50">
                  <c:v>0.3775</c:v>
                </c:pt>
                <c:pt idx="51">
                  <c:v>0.37219999999999998</c:v>
                </c:pt>
                <c:pt idx="52">
                  <c:v>0.373</c:v>
                </c:pt>
                <c:pt idx="53">
                  <c:v>0.37390000000000001</c:v>
                </c:pt>
                <c:pt idx="54">
                  <c:v>0.35399999999999998</c:v>
                </c:pt>
                <c:pt idx="55">
                  <c:v>0.34589999999999999</c:v>
                </c:pt>
                <c:pt idx="56">
                  <c:v>0.32869999999999999</c:v>
                </c:pt>
                <c:pt idx="57">
                  <c:v>0.3306</c:v>
                </c:pt>
                <c:pt idx="58" formatCode="0.00E+00">
                  <c:v>0.33460000000000001</c:v>
                </c:pt>
                <c:pt idx="59" formatCode="0.00E+00">
                  <c:v>0.32879999999999998</c:v>
                </c:pt>
                <c:pt idx="60" formatCode="0.00E+00">
                  <c:v>0.31019999999999998</c:v>
                </c:pt>
                <c:pt idx="61" formatCode="0.00E+00">
                  <c:v>0.30669999999999997</c:v>
                </c:pt>
                <c:pt idx="62" formatCode="0.00E+00">
                  <c:v>0.31319999999999998</c:v>
                </c:pt>
                <c:pt idx="63" formatCode="0.00E+00">
                  <c:v>0.31280000000000002</c:v>
                </c:pt>
                <c:pt idx="64" formatCode="0.00E+00">
                  <c:v>0.33479999999999999</c:v>
                </c:pt>
                <c:pt idx="65" formatCode="0.00E+00">
                  <c:v>0.33560000000000001</c:v>
                </c:pt>
                <c:pt idx="66" formatCode="0.00E+00">
                  <c:v>0.33939999999999998</c:v>
                </c:pt>
                <c:pt idx="67" formatCode="0.00E+00">
                  <c:v>0.3327</c:v>
                </c:pt>
                <c:pt idx="68" formatCode="0.00E+00">
                  <c:v>0.3327</c:v>
                </c:pt>
                <c:pt idx="69" formatCode="0.00E+00">
                  <c:v>0.35099999999999998</c:v>
                </c:pt>
                <c:pt idx="70" formatCode="0.00E+00">
                  <c:v>0.35270000000000001</c:v>
                </c:pt>
                <c:pt idx="71" formatCode="0.00E+00">
                  <c:v>0.3513</c:v>
                </c:pt>
                <c:pt idx="72" formatCode="0.00E+00">
                  <c:v>0.33860000000000001</c:v>
                </c:pt>
                <c:pt idx="73" formatCode="0.00E+00">
                  <c:v>0.34129999999999999</c:v>
                </c:pt>
                <c:pt idx="74" formatCode="0.00E+00">
                  <c:v>0.33500000000000002</c:v>
                </c:pt>
                <c:pt idx="75" formatCode="0.00E+00">
                  <c:v>0.32569999999999999</c:v>
                </c:pt>
                <c:pt idx="76" formatCode="0.00E+00">
                  <c:v>0.30630000000000002</c:v>
                </c:pt>
                <c:pt idx="77" formatCode="0.00E+00">
                  <c:v>0.30690000000000001</c:v>
                </c:pt>
                <c:pt idx="78" formatCode="0.00E+00">
                  <c:v>0.32250000000000001</c:v>
                </c:pt>
                <c:pt idx="79" formatCode="0.00E+00">
                  <c:v>0.3327</c:v>
                </c:pt>
                <c:pt idx="80" formatCode="0.00E+00">
                  <c:v>0.3291</c:v>
                </c:pt>
                <c:pt idx="81" formatCode="0.00E+00">
                  <c:v>0.3291</c:v>
                </c:pt>
                <c:pt idx="82" formatCode="0.00E+00">
                  <c:v>0.3261</c:v>
                </c:pt>
                <c:pt idx="83" formatCode="0.00E+00">
                  <c:v>0.28699999999999998</c:v>
                </c:pt>
                <c:pt idx="84" formatCode="0.00E+00">
                  <c:v>0.2712</c:v>
                </c:pt>
                <c:pt idx="85" formatCode="0.00E+00">
                  <c:v>0.28410000000000002</c:v>
                </c:pt>
                <c:pt idx="86" formatCode="0.00E+00">
                  <c:v>0.30809999999999998</c:v>
                </c:pt>
                <c:pt idx="87" formatCode="0.00E+00">
                  <c:v>0.30070000000000002</c:v>
                </c:pt>
                <c:pt idx="88" formatCode="0.00E+00">
                  <c:v>0.29749999999999999</c:v>
                </c:pt>
                <c:pt idx="89" formatCode="0.00E+00">
                  <c:v>0.28399999999999997</c:v>
                </c:pt>
                <c:pt idx="90" formatCode="0.00E+00">
                  <c:v>0.28220000000000001</c:v>
                </c:pt>
                <c:pt idx="91" formatCode="0.00E+00">
                  <c:v>0.28070000000000001</c:v>
                </c:pt>
                <c:pt idx="92" formatCode="0.00E+00">
                  <c:v>0.28699999999999998</c:v>
                </c:pt>
                <c:pt idx="93" formatCode="0.00E+00">
                  <c:v>0.313</c:v>
                </c:pt>
                <c:pt idx="94" formatCode="0.00E+00">
                  <c:v>0.313</c:v>
                </c:pt>
                <c:pt idx="95" formatCode="0.00E+00">
                  <c:v>0.30430000000000001</c:v>
                </c:pt>
                <c:pt idx="96" formatCode="0.00E+00">
                  <c:v>0.28489999999999999</c:v>
                </c:pt>
                <c:pt idx="97" formatCode="0.00E+00">
                  <c:v>0.26569999999999999</c:v>
                </c:pt>
                <c:pt idx="98" formatCode="0.00E+00">
                  <c:v>0.2646</c:v>
                </c:pt>
                <c:pt idx="99" formatCode="0.00E+00">
                  <c:v>0.25840000000000002</c:v>
                </c:pt>
                <c:pt idx="100" formatCode="0.00E+00">
                  <c:v>0.28239999999999998</c:v>
                </c:pt>
                <c:pt idx="101" formatCode="0.00E+00">
                  <c:v>0.30409999999999998</c:v>
                </c:pt>
                <c:pt idx="102" formatCode="0.00E+00">
                  <c:v>0.31430000000000002</c:v>
                </c:pt>
                <c:pt idx="103" formatCode="0.00E+00">
                  <c:v>0.316</c:v>
                </c:pt>
                <c:pt idx="104" formatCode="0.00E+00">
                  <c:v>0.32569999999999999</c:v>
                </c:pt>
                <c:pt idx="105" formatCode="0.00E+00">
                  <c:v>0.32629999999999998</c:v>
                </c:pt>
                <c:pt idx="106" formatCode="0.00E+00">
                  <c:v>0.33179999999999998</c:v>
                </c:pt>
                <c:pt idx="107" formatCode="0.00E+00">
                  <c:v>0.33179999999999998</c:v>
                </c:pt>
                <c:pt idx="108" formatCode="0.00E+00">
                  <c:v>0.33160000000000001</c:v>
                </c:pt>
                <c:pt idx="109" formatCode="0.00E+00">
                  <c:v>0.32779999999999998</c:v>
                </c:pt>
                <c:pt idx="110" formatCode="0.00E+00">
                  <c:v>0.31430000000000002</c:v>
                </c:pt>
                <c:pt idx="111" formatCode="0.00E+00">
                  <c:v>0.31430000000000002</c:v>
                </c:pt>
                <c:pt idx="112" formatCode="0.00E+00">
                  <c:v>0.30840000000000001</c:v>
                </c:pt>
                <c:pt idx="113" formatCode="0.00E+00">
                  <c:v>0.309</c:v>
                </c:pt>
                <c:pt idx="114" formatCode="0.00E+00">
                  <c:v>0.31259999999999999</c:v>
                </c:pt>
                <c:pt idx="115" formatCode="0.00E+00">
                  <c:v>0.3221</c:v>
                </c:pt>
                <c:pt idx="116" formatCode="0.00E+00">
                  <c:v>0.33839999999999998</c:v>
                </c:pt>
                <c:pt idx="117" formatCode="0.00E+00">
                  <c:v>0.33650000000000002</c:v>
                </c:pt>
                <c:pt idx="118" formatCode="0.00E+00">
                  <c:v>0.3327</c:v>
                </c:pt>
                <c:pt idx="119" formatCode="0.00E+00">
                  <c:v>0.32779999999999998</c:v>
                </c:pt>
                <c:pt idx="120" formatCode="0.00E+00">
                  <c:v>0.3196</c:v>
                </c:pt>
                <c:pt idx="121" formatCode="0.00E+00">
                  <c:v>0.32229999999999998</c:v>
                </c:pt>
                <c:pt idx="122" formatCode="0.00E+00">
                  <c:v>0.31590000000000001</c:v>
                </c:pt>
                <c:pt idx="123" formatCode="0.00E+00">
                  <c:v>0.29139999999999999</c:v>
                </c:pt>
                <c:pt idx="124" formatCode="0.00E+00">
                  <c:v>0.28849999999999998</c:v>
                </c:pt>
                <c:pt idx="125" formatCode="0.00E+00">
                  <c:v>0.28849999999999998</c:v>
                </c:pt>
                <c:pt idx="126" formatCode="0.00E+00">
                  <c:v>0.31109999999999999</c:v>
                </c:pt>
                <c:pt idx="127" formatCode="0.00E+00">
                  <c:v>0.33139999999999997</c:v>
                </c:pt>
                <c:pt idx="128" formatCode="0.00E+00">
                  <c:v>0.34560000000000002</c:v>
                </c:pt>
                <c:pt idx="129" formatCode="0.00E+00">
                  <c:v>0.35930000000000001</c:v>
                </c:pt>
                <c:pt idx="130" formatCode="0.00E+00">
                  <c:v>0.35930000000000001</c:v>
                </c:pt>
                <c:pt idx="131" formatCode="0.00E+00">
                  <c:v>0.32969999999999999</c:v>
                </c:pt>
                <c:pt idx="132" formatCode="0.00E+00">
                  <c:v>0.30809999999999998</c:v>
                </c:pt>
                <c:pt idx="133" formatCode="0.00E+00">
                  <c:v>0.30809999999999998</c:v>
                </c:pt>
                <c:pt idx="134" formatCode="0.00E+00">
                  <c:v>0.29310000000000003</c:v>
                </c:pt>
                <c:pt idx="135" formatCode="0.00E+00">
                  <c:v>0.28589999999999999</c:v>
                </c:pt>
                <c:pt idx="136" formatCode="0.00E+00">
                  <c:v>0.2853</c:v>
                </c:pt>
                <c:pt idx="137" formatCode="0.00E+00">
                  <c:v>0.28999999999999998</c:v>
                </c:pt>
                <c:pt idx="138" formatCode="0.00E+00">
                  <c:v>0.28489999999999999</c:v>
                </c:pt>
                <c:pt idx="139" formatCode="0.00E+00">
                  <c:v>0.28549999999999998</c:v>
                </c:pt>
                <c:pt idx="140" formatCode="0.00E+00">
                  <c:v>0.28249999999999997</c:v>
                </c:pt>
                <c:pt idx="141" formatCode="0.00E+00">
                  <c:v>0.28129999999999999</c:v>
                </c:pt>
                <c:pt idx="142" formatCode="0.00E+00">
                  <c:v>0.27200000000000002</c:v>
                </c:pt>
                <c:pt idx="143" formatCode="0.00E+00">
                  <c:v>0.26950000000000002</c:v>
                </c:pt>
              </c:numCache>
            </c:numRef>
          </c:yVal>
          <c:smooth val="1"/>
        </c:ser>
        <c:axId val="42616320"/>
        <c:axId val="42618880"/>
      </c:scatterChart>
      <c:valAx>
        <c:axId val="42616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/>
        </c:title>
        <c:numFmt formatCode="0.00" sourceLinked="0"/>
        <c:majorTickMark val="none"/>
        <c:tickLblPos val="nextTo"/>
        <c:crossAx val="42618880"/>
        <c:crosses val="autoZero"/>
        <c:crossBetween val="midCat"/>
      </c:valAx>
      <c:valAx>
        <c:axId val="4261888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  <c:layout/>
        </c:title>
        <c:numFmt formatCode="0.00" sourceLinked="0"/>
        <c:majorTickMark val="none"/>
        <c:tickLblPos val="nextTo"/>
        <c:crossAx val="42616320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0.26100000000000001</c:v>
                </c:pt>
                <c:pt idx="1">
                  <c:v>1.0289999999999999</c:v>
                </c:pt>
                <c:pt idx="2" formatCode="General">
                  <c:v>1.294</c:v>
                </c:pt>
                <c:pt idx="3" formatCode="General">
                  <c:v>1.663</c:v>
                </c:pt>
                <c:pt idx="4">
                  <c:v>2.1230000000000002</c:v>
                </c:pt>
                <c:pt idx="5">
                  <c:v>2.694</c:v>
                </c:pt>
                <c:pt idx="6">
                  <c:v>3.4220000000000002</c:v>
                </c:pt>
                <c:pt idx="7">
                  <c:v>4.2919999999999998</c:v>
                </c:pt>
                <c:pt idx="8">
                  <c:v>5.4260000000000002</c:v>
                </c:pt>
                <c:pt idx="9">
                  <c:v>6.8380000000000001</c:v>
                </c:pt>
                <c:pt idx="10">
                  <c:v>8.5909999999999993</c:v>
                </c:pt>
                <c:pt idx="11">
                  <c:v>10.77</c:v>
                </c:pt>
                <c:pt idx="12">
                  <c:v>13.49</c:v>
                </c:pt>
                <c:pt idx="13">
                  <c:v>16.809999999999999</c:v>
                </c:pt>
                <c:pt idx="14">
                  <c:v>20.71</c:v>
                </c:pt>
                <c:pt idx="15">
                  <c:v>25.15</c:v>
                </c:pt>
                <c:pt idx="16">
                  <c:v>30.23</c:v>
                </c:pt>
                <c:pt idx="17">
                  <c:v>35.51</c:v>
                </c:pt>
                <c:pt idx="18">
                  <c:v>41.68</c:v>
                </c:pt>
                <c:pt idx="19">
                  <c:v>48.66</c:v>
                </c:pt>
                <c:pt idx="20">
                  <c:v>56.82</c:v>
                </c:pt>
                <c:pt idx="21">
                  <c:v>66.47</c:v>
                </c:pt>
                <c:pt idx="22">
                  <c:v>78.260000000000005</c:v>
                </c:pt>
                <c:pt idx="23">
                  <c:v>91.67</c:v>
                </c:pt>
                <c:pt idx="24">
                  <c:v>107.2</c:v>
                </c:pt>
                <c:pt idx="25">
                  <c:v>124.7</c:v>
                </c:pt>
                <c:pt idx="26">
                  <c:v>145.19999999999999</c:v>
                </c:pt>
                <c:pt idx="27">
                  <c:v>165.8</c:v>
                </c:pt>
                <c:pt idx="28">
                  <c:v>188</c:v>
                </c:pt>
                <c:pt idx="29">
                  <c:v>206.9</c:v>
                </c:pt>
                <c:pt idx="30">
                  <c:v>221.5</c:v>
                </c:pt>
                <c:pt idx="31">
                  <c:v>233.9</c:v>
                </c:pt>
                <c:pt idx="32">
                  <c:v>244.2</c:v>
                </c:pt>
                <c:pt idx="33">
                  <c:v>254.3</c:v>
                </c:pt>
                <c:pt idx="34">
                  <c:v>264.10000000000002</c:v>
                </c:pt>
                <c:pt idx="35">
                  <c:v>272.3</c:v>
                </c:pt>
                <c:pt idx="36">
                  <c:v>281.8</c:v>
                </c:pt>
                <c:pt idx="37">
                  <c:v>291.8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0.41705447258788597</c:v>
                </c:pt>
                <c:pt idx="1">
                  <c:v>1.1130877889187911</c:v>
                </c:pt>
                <c:pt idx="2">
                  <c:v>1.3589078400729939</c:v>
                </c:pt>
                <c:pt idx="3">
                  <c:v>1.7161882884513144</c:v>
                </c:pt>
                <c:pt idx="4">
                  <c:v>2.1668872954369314</c:v>
                </c:pt>
                <c:pt idx="5">
                  <c:v>2.7223677497740923</c:v>
                </c:pt>
                <c:pt idx="6">
                  <c:v>3.4671140303704178</c:v>
                </c:pt>
                <c:pt idx="7">
                  <c:v>4.3325151067167411</c:v>
                </c:pt>
                <c:pt idx="8">
                  <c:v>5.463599604617519</c:v>
                </c:pt>
                <c:pt idx="9">
                  <c:v>6.9114571536175022</c:v>
                </c:pt>
                <c:pt idx="10">
                  <c:v>8.6800777757184893</c:v>
                </c:pt>
                <c:pt idx="11">
                  <c:v>10.944848959782089</c:v>
                </c:pt>
                <c:pt idx="12">
                  <c:v>13.797714691067103</c:v>
                </c:pt>
                <c:pt idx="13">
                  <c:v>17.469402328807892</c:v>
                </c:pt>
                <c:pt idx="14">
                  <c:v>22.100430039154713</c:v>
                </c:pt>
                <c:pt idx="15">
                  <c:v>28.004795205727255</c:v>
                </c:pt>
                <c:pt idx="16">
                  <c:v>35.820033952725723</c:v>
                </c:pt>
                <c:pt idx="17">
                  <c:v>44.988410595985869</c:v>
                </c:pt>
                <c:pt idx="18">
                  <c:v>56.792803948694221</c:v>
                </c:pt>
                <c:pt idx="19">
                  <c:v>71.558487543605992</c:v>
                </c:pt>
                <c:pt idx="20">
                  <c:v>89.654104717843737</c:v>
                </c:pt>
                <c:pt idx="21">
                  <c:v>112.37120824546749</c:v>
                </c:pt>
                <c:pt idx="22">
                  <c:v>141.95808878488123</c:v>
                </c:pt>
                <c:pt idx="23">
                  <c:v>178.11115770551345</c:v>
                </c:pt>
                <c:pt idx="24">
                  <c:v>223.7882356652182</c:v>
                </c:pt>
                <c:pt idx="25">
                  <c:v>280.70676691694291</c:v>
                </c:pt>
                <c:pt idx="26">
                  <c:v>355.81459412033888</c:v>
                </c:pt>
                <c:pt idx="27">
                  <c:v>446.42278940462973</c:v>
                </c:pt>
                <c:pt idx="28">
                  <c:v>568.95116070329834</c:v>
                </c:pt>
                <c:pt idx="29">
                  <c:v>722.5323119289975</c:v>
                </c:pt>
                <c:pt idx="30">
                  <c:v>912.67420823638213</c:v>
                </c:pt>
                <c:pt idx="31">
                  <c:v>1156.5859879984209</c:v>
                </c:pt>
                <c:pt idx="32">
                  <c:v>1439.0968936474114</c:v>
                </c:pt>
                <c:pt idx="33">
                  <c:v>1796.6375608519363</c:v>
                </c:pt>
                <c:pt idx="34">
                  <c:v>2269.7153868911114</c:v>
                </c:pt>
                <c:pt idx="35">
                  <c:v>2825.9764977068853</c:v>
                </c:pt>
                <c:pt idx="36">
                  <c:v>3533.5114861560141</c:v>
                </c:pt>
                <c:pt idx="37">
                  <c:v>4447.8337018287211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210.55558129823009</c:v>
                </c:pt>
                <c:pt idx="1">
                  <c:v>210.57213846009813</c:v>
                </c:pt>
                <c:pt idx="2">
                  <c:v>210.57798599969411</c:v>
                </c:pt>
                <c:pt idx="3">
                  <c:v>210.58648494662276</c:v>
                </c:pt>
                <c:pt idx="4">
                  <c:v>210.59720612366607</c:v>
                </c:pt>
                <c:pt idx="5">
                  <c:v>210.61041982993731</c:v>
                </c:pt>
                <c:pt idx="6">
                  <c:v>210.62813577029408</c:v>
                </c:pt>
                <c:pt idx="7">
                  <c:v>210.64872183329658</c:v>
                </c:pt>
                <c:pt idx="8">
                  <c:v>210.67562794350533</c:v>
                </c:pt>
                <c:pt idx="9">
                  <c:v>210.71006941525414</c:v>
                </c:pt>
                <c:pt idx="10">
                  <c:v>210.75214116273546</c:v>
                </c:pt>
                <c:pt idx="11">
                  <c:v>210.80601528371326</c:v>
                </c:pt>
                <c:pt idx="12">
                  <c:v>210.87387893131799</c:v>
                </c:pt>
                <c:pt idx="13">
                  <c:v>210.96122062189593</c:v>
                </c:pt>
                <c:pt idx="14">
                  <c:v>211.07138298570308</c:v>
                </c:pt>
                <c:pt idx="15">
                  <c:v>211.21183535701516</c:v>
                </c:pt>
                <c:pt idx="16">
                  <c:v>211.39774337310476</c:v>
                </c:pt>
                <c:pt idx="17">
                  <c:v>211.61583968054839</c:v>
                </c:pt>
                <c:pt idx="18">
                  <c:v>211.89664125557206</c:v>
                </c:pt>
                <c:pt idx="19">
                  <c:v>212.24788566821283</c:v>
                </c:pt>
                <c:pt idx="20">
                  <c:v>212.67834216451263</c:v>
                </c:pt>
                <c:pt idx="21">
                  <c:v>213.21873405589849</c:v>
                </c:pt>
                <c:pt idx="22">
                  <c:v>213.92254342646632</c:v>
                </c:pt>
                <c:pt idx="23">
                  <c:v>214.78254854418157</c:v>
                </c:pt>
                <c:pt idx="24">
                  <c:v>215.86910971258092</c:v>
                </c:pt>
                <c:pt idx="25">
                  <c:v>217.2230813014599</c:v>
                </c:pt>
                <c:pt idx="26">
                  <c:v>219.00973780680931</c:v>
                </c:pt>
                <c:pt idx="27">
                  <c:v>221.16511531632312</c:v>
                </c:pt>
                <c:pt idx="28">
                  <c:v>224.07980636547035</c:v>
                </c:pt>
                <c:pt idx="29">
                  <c:v>227.73317743415228</c:v>
                </c:pt>
                <c:pt idx="30">
                  <c:v>232.25625137499588</c:v>
                </c:pt>
                <c:pt idx="31">
                  <c:v>238.05839722676001</c:v>
                </c:pt>
                <c:pt idx="32">
                  <c:v>244.77873472291785</c:v>
                </c:pt>
                <c:pt idx="33">
                  <c:v>253.28387170761619</c:v>
                </c:pt>
                <c:pt idx="34">
                  <c:v>264.53739356946596</c:v>
                </c:pt>
                <c:pt idx="35">
                  <c:v>277.76967000878443</c:v>
                </c:pt>
                <c:pt idx="36">
                  <c:v>294.60043235332216</c:v>
                </c:pt>
                <c:pt idx="37">
                  <c:v>316.35022588939819</c:v>
                </c:pt>
              </c:numCache>
            </c:numRef>
          </c:yVal>
          <c:smooth val="1"/>
        </c:ser>
        <c:axId val="43133568"/>
        <c:axId val="43147648"/>
      </c:scatterChart>
      <c:valAx>
        <c:axId val="43133568"/>
        <c:scaling>
          <c:logBase val="10"/>
          <c:orientation val="minMax"/>
          <c:min val="1.0000000000000221E-4"/>
        </c:scaling>
        <c:axPos val="b"/>
        <c:numFmt formatCode="0.000" sourceLinked="1"/>
        <c:tickLblPos val="nextTo"/>
        <c:crossAx val="43147648"/>
        <c:crosses val="autoZero"/>
        <c:crossBetween val="midCat"/>
      </c:valAx>
      <c:valAx>
        <c:axId val="43147648"/>
        <c:scaling>
          <c:logBase val="10"/>
          <c:orientation val="minMax"/>
        </c:scaling>
        <c:axPos val="l"/>
        <c:majorGridlines/>
        <c:numFmt formatCode="0.0000" sourceLinked="1"/>
        <c:tickLblPos val="nextTo"/>
        <c:crossAx val="43133568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1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Pinch'!$D$3:$D$40</c:f>
              <c:numCache>
                <c:formatCode>0.000</c:formatCode>
                <c:ptCount val="38"/>
                <c:pt idx="0">
                  <c:v>523.70000000000005</c:v>
                </c:pt>
                <c:pt idx="1">
                  <c:v>792.6</c:v>
                </c:pt>
                <c:pt idx="2">
                  <c:v>809.5</c:v>
                </c:pt>
                <c:pt idx="3">
                  <c:v>826.2</c:v>
                </c:pt>
                <c:pt idx="4">
                  <c:v>834.8</c:v>
                </c:pt>
                <c:pt idx="5">
                  <c:v>843.3</c:v>
                </c:pt>
                <c:pt idx="6">
                  <c:v>841</c:v>
                </c:pt>
                <c:pt idx="7">
                  <c:v>844.4</c:v>
                </c:pt>
                <c:pt idx="8">
                  <c:v>846.3</c:v>
                </c:pt>
                <c:pt idx="9">
                  <c:v>843.3</c:v>
                </c:pt>
                <c:pt idx="10">
                  <c:v>843.3</c:v>
                </c:pt>
                <c:pt idx="11">
                  <c:v>837.5</c:v>
                </c:pt>
                <c:pt idx="12">
                  <c:v>829.8</c:v>
                </c:pt>
                <c:pt idx="13">
                  <c:v>810.2</c:v>
                </c:pt>
                <c:pt idx="14">
                  <c:v>778.3</c:v>
                </c:pt>
                <c:pt idx="15">
                  <c:v>728.6</c:v>
                </c:pt>
                <c:pt idx="16">
                  <c:v>661.2</c:v>
                </c:pt>
                <c:pt idx="17">
                  <c:v>593.9</c:v>
                </c:pt>
                <c:pt idx="18">
                  <c:v>527.70000000000005</c:v>
                </c:pt>
                <c:pt idx="19">
                  <c:v>468.8</c:v>
                </c:pt>
                <c:pt idx="20">
                  <c:v>419.5</c:v>
                </c:pt>
                <c:pt idx="21">
                  <c:v>377.9</c:v>
                </c:pt>
                <c:pt idx="22">
                  <c:v>341.4</c:v>
                </c:pt>
                <c:pt idx="23">
                  <c:v>311.39999999999998</c:v>
                </c:pt>
                <c:pt idx="24">
                  <c:v>284.3</c:v>
                </c:pt>
                <c:pt idx="25">
                  <c:v>259.8</c:v>
                </c:pt>
                <c:pt idx="26">
                  <c:v>235.2</c:v>
                </c:pt>
                <c:pt idx="27">
                  <c:v>210.6</c:v>
                </c:pt>
                <c:pt idx="28">
                  <c:v>182.4</c:v>
                </c:pt>
                <c:pt idx="29">
                  <c:v>149.69999999999999</c:v>
                </c:pt>
                <c:pt idx="30">
                  <c:v>115.2</c:v>
                </c:pt>
                <c:pt idx="31">
                  <c:v>83.93</c:v>
                </c:pt>
                <c:pt idx="32">
                  <c:v>61.5</c:v>
                </c:pt>
                <c:pt idx="33">
                  <c:v>44.68</c:v>
                </c:pt>
                <c:pt idx="34">
                  <c:v>31.36</c:v>
                </c:pt>
                <c:pt idx="35">
                  <c:v>22.38</c:v>
                </c:pt>
                <c:pt idx="36">
                  <c:v>15.74</c:v>
                </c:pt>
                <c:pt idx="37">
                  <c:v>10.86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Pinch'!$E$3:$E$40</c:f>
              <c:numCache>
                <c:formatCode>0.000</c:formatCode>
                <c:ptCount val="38"/>
                <c:pt idx="0">
                  <c:v>-145.30000000000001</c:v>
                </c:pt>
                <c:pt idx="1">
                  <c:v>126.3</c:v>
                </c:pt>
                <c:pt idx="2">
                  <c:v>168.4</c:v>
                </c:pt>
                <c:pt idx="3">
                  <c:v>159.19999999999999</c:v>
                </c:pt>
                <c:pt idx="4">
                  <c:v>164.3</c:v>
                </c:pt>
                <c:pt idx="5">
                  <c:v>164.5</c:v>
                </c:pt>
                <c:pt idx="6">
                  <c:v>164.7</c:v>
                </c:pt>
                <c:pt idx="7">
                  <c:v>163.30000000000001</c:v>
                </c:pt>
                <c:pt idx="8">
                  <c:v>165</c:v>
                </c:pt>
                <c:pt idx="9">
                  <c:v>164.1</c:v>
                </c:pt>
                <c:pt idx="10">
                  <c:v>165.3</c:v>
                </c:pt>
                <c:pt idx="11">
                  <c:v>170.5</c:v>
                </c:pt>
                <c:pt idx="12">
                  <c:v>180.1</c:v>
                </c:pt>
                <c:pt idx="13">
                  <c:v>203.7</c:v>
                </c:pt>
                <c:pt idx="14">
                  <c:v>237</c:v>
                </c:pt>
                <c:pt idx="15">
                  <c:v>277.60000000000002</c:v>
                </c:pt>
                <c:pt idx="16">
                  <c:v>315.39999999999998</c:v>
                </c:pt>
                <c:pt idx="17">
                  <c:v>341.6</c:v>
                </c:pt>
                <c:pt idx="18">
                  <c:v>356.9</c:v>
                </c:pt>
                <c:pt idx="19">
                  <c:v>358.8</c:v>
                </c:pt>
                <c:pt idx="20">
                  <c:v>355.9</c:v>
                </c:pt>
                <c:pt idx="21">
                  <c:v>347.7</c:v>
                </c:pt>
                <c:pt idx="22">
                  <c:v>335.3</c:v>
                </c:pt>
                <c:pt idx="23">
                  <c:v>320.39999999999998</c:v>
                </c:pt>
                <c:pt idx="24">
                  <c:v>303.39999999999998</c:v>
                </c:pt>
                <c:pt idx="25">
                  <c:v>285.10000000000002</c:v>
                </c:pt>
                <c:pt idx="26">
                  <c:v>265.10000000000002</c:v>
                </c:pt>
                <c:pt idx="27">
                  <c:v>244.2</c:v>
                </c:pt>
                <c:pt idx="28">
                  <c:v>221.4</c:v>
                </c:pt>
                <c:pt idx="29">
                  <c:v>198.6</c:v>
                </c:pt>
                <c:pt idx="30">
                  <c:v>176.5</c:v>
                </c:pt>
                <c:pt idx="31">
                  <c:v>154.30000000000001</c:v>
                </c:pt>
                <c:pt idx="32">
                  <c:v>133.9</c:v>
                </c:pt>
                <c:pt idx="33">
                  <c:v>114.6</c:v>
                </c:pt>
                <c:pt idx="34">
                  <c:v>96.06</c:v>
                </c:pt>
                <c:pt idx="35">
                  <c:v>80.64</c:v>
                </c:pt>
                <c:pt idx="36">
                  <c:v>67.459999999999994</c:v>
                </c:pt>
                <c:pt idx="37">
                  <c:v>55.96</c:v>
                </c:pt>
              </c:numCache>
            </c:numRef>
          </c:yVal>
          <c:smooth val="1"/>
        </c:ser>
        <c:axId val="43164032"/>
        <c:axId val="43165568"/>
      </c:scatterChart>
      <c:valAx>
        <c:axId val="43164032"/>
        <c:scaling>
          <c:logBase val="10"/>
          <c:orientation val="minMax"/>
          <c:min val="1.0000000000000221E-4"/>
        </c:scaling>
        <c:axPos val="b"/>
        <c:numFmt formatCode="0.000" sourceLinked="1"/>
        <c:tickLblPos val="nextTo"/>
        <c:crossAx val="43165568"/>
        <c:crosses val="autoZero"/>
        <c:crossBetween val="midCat"/>
      </c:valAx>
      <c:valAx>
        <c:axId val="43165568"/>
        <c:scaling>
          <c:logBase val="10"/>
          <c:orientation val="minMax"/>
        </c:scaling>
        <c:axPos val="l"/>
        <c:majorGridlines/>
        <c:numFmt formatCode="0.000" sourceLinked="1"/>
        <c:tickLblPos val="nextTo"/>
        <c:crossAx val="4316403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-12.86</c:v>
                </c:pt>
                <c:pt idx="1">
                  <c:v>-12.85</c:v>
                </c:pt>
                <c:pt idx="2">
                  <c:v>-12.83</c:v>
                </c:pt>
                <c:pt idx="3">
                  <c:v>-12.81</c:v>
                </c:pt>
                <c:pt idx="4">
                  <c:v>-12.78</c:v>
                </c:pt>
                <c:pt idx="5">
                  <c:v>-12.74</c:v>
                </c:pt>
                <c:pt idx="6">
                  <c:v>-12.7</c:v>
                </c:pt>
                <c:pt idx="7">
                  <c:v>-12.65</c:v>
                </c:pt>
                <c:pt idx="8">
                  <c:v>-12.6</c:v>
                </c:pt>
                <c:pt idx="9">
                  <c:v>-12.55</c:v>
                </c:pt>
                <c:pt idx="10">
                  <c:v>-12.49</c:v>
                </c:pt>
                <c:pt idx="11">
                  <c:v>-12.44</c:v>
                </c:pt>
                <c:pt idx="12">
                  <c:v>-12.38</c:v>
                </c:pt>
                <c:pt idx="13">
                  <c:v>-12.33</c:v>
                </c:pt>
                <c:pt idx="14">
                  <c:v>-12.27</c:v>
                </c:pt>
                <c:pt idx="15">
                  <c:v>-12.22</c:v>
                </c:pt>
                <c:pt idx="16">
                  <c:v>-12.16</c:v>
                </c:pt>
                <c:pt idx="17">
                  <c:v>-12.11</c:v>
                </c:pt>
                <c:pt idx="18">
                  <c:v>-12.05</c:v>
                </c:pt>
                <c:pt idx="19">
                  <c:v>-12</c:v>
                </c:pt>
                <c:pt idx="20">
                  <c:v>-11.94</c:v>
                </c:pt>
                <c:pt idx="21">
                  <c:v>-11.89</c:v>
                </c:pt>
                <c:pt idx="22">
                  <c:v>-11.84</c:v>
                </c:pt>
                <c:pt idx="23">
                  <c:v>-11.78</c:v>
                </c:pt>
                <c:pt idx="24">
                  <c:v>-11.72</c:v>
                </c:pt>
                <c:pt idx="25">
                  <c:v>-11.66</c:v>
                </c:pt>
                <c:pt idx="26">
                  <c:v>-11.6</c:v>
                </c:pt>
                <c:pt idx="27">
                  <c:v>-11.54</c:v>
                </c:pt>
                <c:pt idx="28">
                  <c:v>-11.47</c:v>
                </c:pt>
                <c:pt idx="29">
                  <c:v>-11.41</c:v>
                </c:pt>
                <c:pt idx="30">
                  <c:v>-11.34</c:v>
                </c:pt>
                <c:pt idx="31">
                  <c:v>-11.27</c:v>
                </c:pt>
                <c:pt idx="32">
                  <c:v>-11.2</c:v>
                </c:pt>
                <c:pt idx="33">
                  <c:v>-11.12</c:v>
                </c:pt>
                <c:pt idx="34">
                  <c:v>-11.04</c:v>
                </c:pt>
                <c:pt idx="35">
                  <c:v>-10.96</c:v>
                </c:pt>
                <c:pt idx="36">
                  <c:v>-10.88</c:v>
                </c:pt>
                <c:pt idx="37">
                  <c:v>-10.8</c:v>
                </c:pt>
                <c:pt idx="38">
                  <c:v>-10.72</c:v>
                </c:pt>
                <c:pt idx="39">
                  <c:v>-10.64</c:v>
                </c:pt>
                <c:pt idx="40">
                  <c:v>-10.51</c:v>
                </c:pt>
                <c:pt idx="41">
                  <c:v>-10.35</c:v>
                </c:pt>
                <c:pt idx="42">
                  <c:v>-10.18</c:v>
                </c:pt>
                <c:pt idx="43">
                  <c:v>-10.02</c:v>
                </c:pt>
                <c:pt idx="44">
                  <c:v>-9.8670000000000009</c:v>
                </c:pt>
                <c:pt idx="45">
                  <c:v>-9.7110000000000003</c:v>
                </c:pt>
                <c:pt idx="46">
                  <c:v>-9.5579999999999998</c:v>
                </c:pt>
                <c:pt idx="47">
                  <c:v>-9.4120000000000008</c:v>
                </c:pt>
                <c:pt idx="48">
                  <c:v>-9.266</c:v>
                </c:pt>
                <c:pt idx="49">
                  <c:v>-9.1159999999999997</c:v>
                </c:pt>
                <c:pt idx="50">
                  <c:v>-8.968</c:v>
                </c:pt>
                <c:pt idx="51">
                  <c:v>-8.8219999999999992</c:v>
                </c:pt>
                <c:pt idx="52">
                  <c:v>-8.673</c:v>
                </c:pt>
                <c:pt idx="53">
                  <c:v>-8.5190000000000001</c:v>
                </c:pt>
                <c:pt idx="54">
                  <c:v>-8.3629999999999995</c:v>
                </c:pt>
                <c:pt idx="55">
                  <c:v>-8.2050000000000001</c:v>
                </c:pt>
                <c:pt idx="56">
                  <c:v>-8.0489999999999995</c:v>
                </c:pt>
                <c:pt idx="57">
                  <c:v>-7.891</c:v>
                </c:pt>
                <c:pt idx="58">
                  <c:v>-7.7309999999999999</c:v>
                </c:pt>
                <c:pt idx="59">
                  <c:v>-7.5759999999999996</c:v>
                </c:pt>
                <c:pt idx="60">
                  <c:v>-7.42</c:v>
                </c:pt>
                <c:pt idx="61">
                  <c:v>-7.2619999999999996</c:v>
                </c:pt>
                <c:pt idx="62">
                  <c:v>-7.1029999999999998</c:v>
                </c:pt>
                <c:pt idx="63">
                  <c:v>-6.9420000000000002</c:v>
                </c:pt>
                <c:pt idx="64">
                  <c:v>-6.7830000000000004</c:v>
                </c:pt>
                <c:pt idx="65">
                  <c:v>-6.6230000000000002</c:v>
                </c:pt>
                <c:pt idx="66">
                  <c:v>-6.4589999999999996</c:v>
                </c:pt>
                <c:pt idx="67">
                  <c:v>-6.298</c:v>
                </c:pt>
                <c:pt idx="68">
                  <c:v>-6.14</c:v>
                </c:pt>
                <c:pt idx="69">
                  <c:v>-5.9809999999999999</c:v>
                </c:pt>
                <c:pt idx="70">
                  <c:v>-5.82</c:v>
                </c:pt>
                <c:pt idx="71">
                  <c:v>-5.641</c:v>
                </c:pt>
                <c:pt idx="72">
                  <c:v>-5.4509999999999996</c:v>
                </c:pt>
                <c:pt idx="73">
                  <c:v>-5.2619999999999996</c:v>
                </c:pt>
                <c:pt idx="74">
                  <c:v>-5.077</c:v>
                </c:pt>
                <c:pt idx="75">
                  <c:v>-4.8979999999999997</c:v>
                </c:pt>
                <c:pt idx="76">
                  <c:v>-4.7279999999999998</c:v>
                </c:pt>
                <c:pt idx="77">
                  <c:v>-4.5640000000000001</c:v>
                </c:pt>
                <c:pt idx="78">
                  <c:v>-4.399</c:v>
                </c:pt>
                <c:pt idx="79">
                  <c:v>-4.2350000000000003</c:v>
                </c:pt>
                <c:pt idx="80">
                  <c:v>-3.9910000000000001</c:v>
                </c:pt>
                <c:pt idx="81">
                  <c:v>-3.657</c:v>
                </c:pt>
                <c:pt idx="82">
                  <c:v>-3.3109999999999999</c:v>
                </c:pt>
                <c:pt idx="83">
                  <c:v>-2.9649999999999999</c:v>
                </c:pt>
                <c:pt idx="84">
                  <c:v>-2.6230000000000002</c:v>
                </c:pt>
                <c:pt idx="85">
                  <c:v>-2.2890000000000001</c:v>
                </c:pt>
                <c:pt idx="86">
                  <c:v>-1.9570000000000001</c:v>
                </c:pt>
                <c:pt idx="87">
                  <c:v>-1.629</c:v>
                </c:pt>
                <c:pt idx="88">
                  <c:v>-1.3009999999999999</c:v>
                </c:pt>
                <c:pt idx="89">
                  <c:v>-0.97550000000000003</c:v>
                </c:pt>
                <c:pt idx="90">
                  <c:v>-0.64590000000000003</c:v>
                </c:pt>
                <c:pt idx="91">
                  <c:v>-0.32869999999999999</c:v>
                </c:pt>
                <c:pt idx="92">
                  <c:v>1.6799999999999999E-2</c:v>
                </c:pt>
                <c:pt idx="93">
                  <c:v>0.3503</c:v>
                </c:pt>
                <c:pt idx="94">
                  <c:v>0.69220000000000004</c:v>
                </c:pt>
                <c:pt idx="95">
                  <c:v>1.03</c:v>
                </c:pt>
                <c:pt idx="96">
                  <c:v>1.3620000000000001</c:v>
                </c:pt>
                <c:pt idx="97">
                  <c:v>1.6830000000000001</c:v>
                </c:pt>
                <c:pt idx="98">
                  <c:v>2.0059999999999998</c:v>
                </c:pt>
                <c:pt idx="99">
                  <c:v>2.3370000000000002</c:v>
                </c:pt>
                <c:pt idx="100">
                  <c:v>2.673</c:v>
                </c:pt>
                <c:pt idx="101">
                  <c:v>3.004</c:v>
                </c:pt>
                <c:pt idx="102">
                  <c:v>3.3370000000000002</c:v>
                </c:pt>
                <c:pt idx="103">
                  <c:v>3.6669999999999998</c:v>
                </c:pt>
                <c:pt idx="104">
                  <c:v>3.9950000000000001</c:v>
                </c:pt>
                <c:pt idx="105">
                  <c:v>4.3230000000000004</c:v>
                </c:pt>
                <c:pt idx="106">
                  <c:v>4.657</c:v>
                </c:pt>
                <c:pt idx="107">
                  <c:v>4.9880000000000004</c:v>
                </c:pt>
                <c:pt idx="108">
                  <c:v>5.3159999999999998</c:v>
                </c:pt>
                <c:pt idx="109">
                  <c:v>5.6429999999999998</c:v>
                </c:pt>
                <c:pt idx="110">
                  <c:v>5.9740000000000002</c:v>
                </c:pt>
                <c:pt idx="111">
                  <c:v>6.3120000000000003</c:v>
                </c:pt>
                <c:pt idx="112">
                  <c:v>6.6529999999999996</c:v>
                </c:pt>
                <c:pt idx="113">
                  <c:v>6.9950000000000001</c:v>
                </c:pt>
                <c:pt idx="114">
                  <c:v>7.3250000000000002</c:v>
                </c:pt>
                <c:pt idx="115">
                  <c:v>7.6459999999999999</c:v>
                </c:pt>
                <c:pt idx="116">
                  <c:v>7.9580000000000002</c:v>
                </c:pt>
                <c:pt idx="117">
                  <c:v>8.2810000000000006</c:v>
                </c:pt>
                <c:pt idx="118">
                  <c:v>8.6129999999999995</c:v>
                </c:pt>
                <c:pt idx="119">
                  <c:v>8.9480000000000004</c:v>
                </c:pt>
                <c:pt idx="120">
                  <c:v>9.4350000000000005</c:v>
                </c:pt>
                <c:pt idx="121">
                  <c:v>10.09</c:v>
                </c:pt>
                <c:pt idx="122">
                  <c:v>10.76</c:v>
                </c:pt>
                <c:pt idx="123">
                  <c:v>11.42</c:v>
                </c:pt>
                <c:pt idx="124">
                  <c:v>12.39</c:v>
                </c:pt>
                <c:pt idx="125">
                  <c:v>17.170000000000002</c:v>
                </c:pt>
                <c:pt idx="126">
                  <c:v>24.73</c:v>
                </c:pt>
                <c:pt idx="127">
                  <c:v>32.03</c:v>
                </c:pt>
                <c:pt idx="128">
                  <c:v>40.659999999999997</c:v>
                </c:pt>
                <c:pt idx="129">
                  <c:v>50.08</c:v>
                </c:pt>
                <c:pt idx="130">
                  <c:v>58.87</c:v>
                </c:pt>
                <c:pt idx="131">
                  <c:v>65.459999999999994</c:v>
                </c:pt>
                <c:pt idx="132">
                  <c:v>72.13</c:v>
                </c:pt>
                <c:pt idx="133">
                  <c:v>76.83</c:v>
                </c:pt>
                <c:pt idx="134">
                  <c:v>81.260000000000005</c:v>
                </c:pt>
                <c:pt idx="135">
                  <c:v>84.26</c:v>
                </c:pt>
                <c:pt idx="136">
                  <c:v>86.94</c:v>
                </c:pt>
                <c:pt idx="137">
                  <c:v>86.97</c:v>
                </c:pt>
                <c:pt idx="138">
                  <c:v>87.56</c:v>
                </c:pt>
                <c:pt idx="139">
                  <c:v>87.86</c:v>
                </c:pt>
                <c:pt idx="140">
                  <c:v>87.83</c:v>
                </c:pt>
                <c:pt idx="141">
                  <c:v>88.02</c:v>
                </c:pt>
                <c:pt idx="142">
                  <c:v>88.25</c:v>
                </c:pt>
                <c:pt idx="143">
                  <c:v>88.45</c:v>
                </c:pt>
                <c:pt idx="144">
                  <c:v>88.75</c:v>
                </c:pt>
                <c:pt idx="145">
                  <c:v>89.27</c:v>
                </c:pt>
                <c:pt idx="146">
                  <c:v>89.59</c:v>
                </c:pt>
                <c:pt idx="147">
                  <c:v>90.03</c:v>
                </c:pt>
                <c:pt idx="148">
                  <c:v>90.4</c:v>
                </c:pt>
                <c:pt idx="149">
                  <c:v>91.03</c:v>
                </c:pt>
                <c:pt idx="150">
                  <c:v>91.58</c:v>
                </c:pt>
                <c:pt idx="151">
                  <c:v>93.77</c:v>
                </c:pt>
                <c:pt idx="152">
                  <c:v>94.65</c:v>
                </c:pt>
                <c:pt idx="153">
                  <c:v>96.33</c:v>
                </c:pt>
                <c:pt idx="154">
                  <c:v>98.19</c:v>
                </c:pt>
                <c:pt idx="155">
                  <c:v>99.21</c:v>
                </c:pt>
                <c:pt idx="156">
                  <c:v>99.94</c:v>
                </c:pt>
                <c:pt idx="157">
                  <c:v>101</c:v>
                </c:pt>
                <c:pt idx="158">
                  <c:v>101.5</c:v>
                </c:pt>
                <c:pt idx="159">
                  <c:v>101.6</c:v>
                </c:pt>
                <c:pt idx="160">
                  <c:v>102.2</c:v>
                </c:pt>
                <c:pt idx="161">
                  <c:v>102.3</c:v>
                </c:pt>
                <c:pt idx="162">
                  <c:v>102.1</c:v>
                </c:pt>
                <c:pt idx="163">
                  <c:v>101.8</c:v>
                </c:pt>
                <c:pt idx="164">
                  <c:v>101.5</c:v>
                </c:pt>
                <c:pt idx="165">
                  <c:v>101.5</c:v>
                </c:pt>
                <c:pt idx="166">
                  <c:v>101.8</c:v>
                </c:pt>
                <c:pt idx="167">
                  <c:v>102.2</c:v>
                </c:pt>
                <c:pt idx="168">
                  <c:v>102.4</c:v>
                </c:pt>
                <c:pt idx="169">
                  <c:v>102.5</c:v>
                </c:pt>
                <c:pt idx="170">
                  <c:v>103</c:v>
                </c:pt>
                <c:pt idx="171">
                  <c:v>103.3</c:v>
                </c:pt>
                <c:pt idx="172">
                  <c:v>103.8</c:v>
                </c:pt>
                <c:pt idx="173">
                  <c:v>103.8</c:v>
                </c:pt>
                <c:pt idx="174">
                  <c:v>104.3</c:v>
                </c:pt>
                <c:pt idx="175">
                  <c:v>104.4</c:v>
                </c:pt>
                <c:pt idx="176">
                  <c:v>104.8</c:v>
                </c:pt>
                <c:pt idx="177">
                  <c:v>105.2</c:v>
                </c:pt>
                <c:pt idx="178">
                  <c:v>105.3</c:v>
                </c:pt>
                <c:pt idx="179">
                  <c:v>105.4</c:v>
                </c:pt>
                <c:pt idx="180">
                  <c:v>105.9</c:v>
                </c:pt>
                <c:pt idx="181">
                  <c:v>106.4</c:v>
                </c:pt>
                <c:pt idx="182">
                  <c:v>106.2</c:v>
                </c:pt>
                <c:pt idx="183">
                  <c:v>106.4</c:v>
                </c:pt>
                <c:pt idx="184">
                  <c:v>106.7</c:v>
                </c:pt>
                <c:pt idx="185">
                  <c:v>107</c:v>
                </c:pt>
                <c:pt idx="186">
                  <c:v>107.1</c:v>
                </c:pt>
                <c:pt idx="187">
                  <c:v>107.2</c:v>
                </c:pt>
                <c:pt idx="188">
                  <c:v>107.2</c:v>
                </c:pt>
                <c:pt idx="189">
                  <c:v>107.4</c:v>
                </c:pt>
                <c:pt idx="190">
                  <c:v>107.7</c:v>
                </c:pt>
                <c:pt idx="191">
                  <c:v>107.8</c:v>
                </c:pt>
                <c:pt idx="192">
                  <c:v>107.7</c:v>
                </c:pt>
                <c:pt idx="193">
                  <c:v>107.9</c:v>
                </c:pt>
                <c:pt idx="194">
                  <c:v>108.2</c:v>
                </c:pt>
                <c:pt idx="195">
                  <c:v>108.4</c:v>
                </c:pt>
                <c:pt idx="196">
                  <c:v>108.2</c:v>
                </c:pt>
                <c:pt idx="197">
                  <c:v>108.2</c:v>
                </c:pt>
                <c:pt idx="198">
                  <c:v>108.6</c:v>
                </c:pt>
                <c:pt idx="199">
                  <c:v>108.7</c:v>
                </c:pt>
                <c:pt idx="200" formatCode="General">
                  <c:v>108.6</c:v>
                </c:pt>
                <c:pt idx="201" formatCode="General">
                  <c:v>108.9</c:v>
                </c:pt>
                <c:pt idx="202" formatCode="General">
                  <c:v>109</c:v>
                </c:pt>
                <c:pt idx="203" formatCode="General">
                  <c:v>109.1</c:v>
                </c:pt>
                <c:pt idx="204" formatCode="General">
                  <c:v>109.3</c:v>
                </c:pt>
                <c:pt idx="205" formatCode="General">
                  <c:v>109.3</c:v>
                </c:pt>
                <c:pt idx="206" formatCode="General">
                  <c:v>109.4</c:v>
                </c:pt>
                <c:pt idx="207" formatCode="General">
                  <c:v>109.4</c:v>
                </c:pt>
                <c:pt idx="208" formatCode="General">
                  <c:v>109.5</c:v>
                </c:pt>
                <c:pt idx="209" formatCode="General">
                  <c:v>109.6</c:v>
                </c:pt>
                <c:pt idx="210" formatCode="General">
                  <c:v>109.7</c:v>
                </c:pt>
                <c:pt idx="211" formatCode="General">
                  <c:v>109.7</c:v>
                </c:pt>
                <c:pt idx="212" formatCode="General">
                  <c:v>109.7</c:v>
                </c:pt>
                <c:pt idx="213" formatCode="General">
                  <c:v>109.8</c:v>
                </c:pt>
                <c:pt idx="214" formatCode="General">
                  <c:v>109.8</c:v>
                </c:pt>
                <c:pt idx="215" formatCode="General">
                  <c:v>109.9</c:v>
                </c:pt>
                <c:pt idx="216" formatCode="General">
                  <c:v>109.8</c:v>
                </c:pt>
                <c:pt idx="217" formatCode="General">
                  <c:v>109.9</c:v>
                </c:pt>
                <c:pt idx="218" formatCode="General">
                  <c:v>109.9</c:v>
                </c:pt>
                <c:pt idx="219" formatCode="General">
                  <c:v>109.8</c:v>
                </c:pt>
                <c:pt idx="220" formatCode="General">
                  <c:v>110</c:v>
                </c:pt>
                <c:pt idx="221" formatCode="General">
                  <c:v>109.8</c:v>
                </c:pt>
                <c:pt idx="222" formatCode="General">
                  <c:v>110</c:v>
                </c:pt>
                <c:pt idx="223" formatCode="General">
                  <c:v>109.9</c:v>
                </c:pt>
                <c:pt idx="224" formatCode="General">
                  <c:v>109.9</c:v>
                </c:pt>
                <c:pt idx="225" formatCode="General">
                  <c:v>109.9</c:v>
                </c:pt>
                <c:pt idx="226" formatCode="General">
                  <c:v>109.9</c:v>
                </c:pt>
                <c:pt idx="227" formatCode="General">
                  <c:v>109.8</c:v>
                </c:pt>
                <c:pt idx="228" formatCode="General">
                  <c:v>109.9</c:v>
                </c:pt>
                <c:pt idx="229" formatCode="General">
                  <c:v>109.9</c:v>
                </c:pt>
                <c:pt idx="230" formatCode="General">
                  <c:v>109.8</c:v>
                </c:pt>
                <c:pt idx="231" formatCode="General">
                  <c:v>110</c:v>
                </c:pt>
                <c:pt idx="232" formatCode="General">
                  <c:v>109.7</c:v>
                </c:pt>
                <c:pt idx="233" formatCode="General">
                  <c:v>109.8</c:v>
                </c:pt>
                <c:pt idx="234" formatCode="General">
                  <c:v>109.8</c:v>
                </c:pt>
                <c:pt idx="235" formatCode="General">
                  <c:v>109.7</c:v>
                </c:pt>
                <c:pt idx="236" formatCode="General">
                  <c:v>109.8</c:v>
                </c:pt>
                <c:pt idx="237" formatCode="General">
                  <c:v>109.6</c:v>
                </c:pt>
                <c:pt idx="238" formatCode="General">
                  <c:v>109.8</c:v>
                </c:pt>
                <c:pt idx="239" formatCode="General">
                  <c:v>109.6</c:v>
                </c:pt>
                <c:pt idx="240" formatCode="General">
                  <c:v>109.6</c:v>
                </c:pt>
                <c:pt idx="241" formatCode="General">
                  <c:v>109.6</c:v>
                </c:pt>
                <c:pt idx="242" formatCode="General">
                  <c:v>109.6</c:v>
                </c:pt>
                <c:pt idx="243" formatCode="General">
                  <c:v>109.5</c:v>
                </c:pt>
                <c:pt idx="244" formatCode="General">
                  <c:v>109.4</c:v>
                </c:pt>
                <c:pt idx="245" formatCode="General">
                  <c:v>109.4</c:v>
                </c:pt>
                <c:pt idx="246" formatCode="General">
                  <c:v>109.4</c:v>
                </c:pt>
                <c:pt idx="247" formatCode="General">
                  <c:v>109.3</c:v>
                </c:pt>
                <c:pt idx="248" formatCode="General">
                  <c:v>109.3</c:v>
                </c:pt>
                <c:pt idx="249" formatCode="General">
                  <c:v>109.2</c:v>
                </c:pt>
                <c:pt idx="250" formatCode="General">
                  <c:v>109.2</c:v>
                </c:pt>
                <c:pt idx="251" formatCode="General">
                  <c:v>109.2</c:v>
                </c:pt>
                <c:pt idx="252" formatCode="General">
                  <c:v>109.1</c:v>
                </c:pt>
                <c:pt idx="253" formatCode="General">
                  <c:v>109</c:v>
                </c:pt>
                <c:pt idx="254" formatCode="General">
                  <c:v>109</c:v>
                </c:pt>
                <c:pt idx="255" formatCode="General">
                  <c:v>109</c:v>
                </c:pt>
                <c:pt idx="256" formatCode="General">
                  <c:v>109</c:v>
                </c:pt>
                <c:pt idx="257" formatCode="General">
                  <c:v>108.9</c:v>
                </c:pt>
                <c:pt idx="258" formatCode="General">
                  <c:v>108.9</c:v>
                </c:pt>
                <c:pt idx="259" formatCode="General">
                  <c:v>108.8</c:v>
                </c:pt>
                <c:pt idx="260" formatCode="General">
                  <c:v>108.8</c:v>
                </c:pt>
                <c:pt idx="261" formatCode="General">
                  <c:v>108.7</c:v>
                </c:pt>
                <c:pt idx="262" formatCode="General">
                  <c:v>108.7</c:v>
                </c:pt>
                <c:pt idx="263" formatCode="General">
                  <c:v>108.7</c:v>
                </c:pt>
                <c:pt idx="264" formatCode="General">
                  <c:v>108.7</c:v>
                </c:pt>
                <c:pt idx="265" formatCode="General">
                  <c:v>108.6</c:v>
                </c:pt>
                <c:pt idx="266" formatCode="General">
                  <c:v>108.6</c:v>
                </c:pt>
                <c:pt idx="267" formatCode="General">
                  <c:v>108.5</c:v>
                </c:pt>
                <c:pt idx="268" formatCode="General">
                  <c:v>108.5</c:v>
                </c:pt>
                <c:pt idx="269" formatCode="General">
                  <c:v>108.5</c:v>
                </c:pt>
                <c:pt idx="270" formatCode="General">
                  <c:v>108.4</c:v>
                </c:pt>
                <c:pt idx="271" formatCode="General">
                  <c:v>108.4</c:v>
                </c:pt>
                <c:pt idx="272" formatCode="General">
                  <c:v>108.4</c:v>
                </c:pt>
                <c:pt idx="273" formatCode="General">
                  <c:v>108.4</c:v>
                </c:pt>
                <c:pt idx="274" formatCode="General">
                  <c:v>108.3</c:v>
                </c:pt>
                <c:pt idx="275" formatCode="General">
                  <c:v>108.3</c:v>
                </c:pt>
                <c:pt idx="276" formatCode="General">
                  <c:v>108.3</c:v>
                </c:pt>
                <c:pt idx="277" formatCode="General">
                  <c:v>108.3</c:v>
                </c:pt>
                <c:pt idx="278" formatCode="General">
                  <c:v>108.3</c:v>
                </c:pt>
                <c:pt idx="279" formatCode="General">
                  <c:v>108.2</c:v>
                </c:pt>
                <c:pt idx="280" formatCode="General">
                  <c:v>108.3</c:v>
                </c:pt>
                <c:pt idx="281" formatCode="General">
                  <c:v>108.2</c:v>
                </c:pt>
                <c:pt idx="282" formatCode="General">
                  <c:v>108.1</c:v>
                </c:pt>
                <c:pt idx="283" formatCode="General">
                  <c:v>108.1</c:v>
                </c:pt>
                <c:pt idx="284" formatCode="General">
                  <c:v>108.1</c:v>
                </c:pt>
                <c:pt idx="285" formatCode="General">
                  <c:v>108</c:v>
                </c:pt>
                <c:pt idx="286" formatCode="General">
                  <c:v>108</c:v>
                </c:pt>
                <c:pt idx="287" formatCode="General">
                  <c:v>108</c:v>
                </c:pt>
                <c:pt idx="288" formatCode="General">
                  <c:v>107.9</c:v>
                </c:pt>
                <c:pt idx="289" formatCode="General">
                  <c:v>107.9</c:v>
                </c:pt>
                <c:pt idx="290" formatCode="General">
                  <c:v>107.9</c:v>
                </c:pt>
                <c:pt idx="291" formatCode="General">
                  <c:v>107.9</c:v>
                </c:pt>
                <c:pt idx="292" formatCode="General">
                  <c:v>107.8</c:v>
                </c:pt>
                <c:pt idx="293" formatCode="General">
                  <c:v>107.8</c:v>
                </c:pt>
                <c:pt idx="294" formatCode="General">
                  <c:v>107.8</c:v>
                </c:pt>
                <c:pt idx="295" formatCode="General">
                  <c:v>107.8</c:v>
                </c:pt>
                <c:pt idx="296" formatCode="General">
                  <c:v>107.7</c:v>
                </c:pt>
                <c:pt idx="297" formatCode="General">
                  <c:v>107.8</c:v>
                </c:pt>
                <c:pt idx="298" formatCode="General">
                  <c:v>107.8</c:v>
                </c:pt>
                <c:pt idx="299" formatCode="General">
                  <c:v>107.8</c:v>
                </c:pt>
                <c:pt idx="300" formatCode="General">
                  <c:v>107.7</c:v>
                </c:pt>
                <c:pt idx="301" formatCode="General">
                  <c:v>107.7</c:v>
                </c:pt>
                <c:pt idx="302" formatCode="General">
                  <c:v>107.7</c:v>
                </c:pt>
                <c:pt idx="303" formatCode="General">
                  <c:v>107.7</c:v>
                </c:pt>
                <c:pt idx="304" formatCode="General">
                  <c:v>107.7</c:v>
                </c:pt>
                <c:pt idx="305" formatCode="General">
                  <c:v>107.7</c:v>
                </c:pt>
                <c:pt idx="306" formatCode="General">
                  <c:v>107.7</c:v>
                </c:pt>
                <c:pt idx="307" formatCode="General">
                  <c:v>107.6</c:v>
                </c:pt>
                <c:pt idx="308" formatCode="General">
                  <c:v>107.6</c:v>
                </c:pt>
                <c:pt idx="309" formatCode="General">
                  <c:v>107.6</c:v>
                </c:pt>
                <c:pt idx="310" formatCode="General">
                  <c:v>107.6</c:v>
                </c:pt>
                <c:pt idx="311" formatCode="General">
                  <c:v>107.7</c:v>
                </c:pt>
                <c:pt idx="312" formatCode="General">
                  <c:v>107.6</c:v>
                </c:pt>
                <c:pt idx="313" formatCode="General">
                  <c:v>107.6</c:v>
                </c:pt>
                <c:pt idx="314" formatCode="General">
                  <c:v>107.6</c:v>
                </c:pt>
                <c:pt idx="315" formatCode="General">
                  <c:v>107.6</c:v>
                </c:pt>
                <c:pt idx="316" formatCode="General">
                  <c:v>107.6</c:v>
                </c:pt>
                <c:pt idx="317" formatCode="General">
                  <c:v>107.6</c:v>
                </c:pt>
                <c:pt idx="318" formatCode="General">
                  <c:v>107.6</c:v>
                </c:pt>
                <c:pt idx="319" formatCode="General">
                  <c:v>107.6</c:v>
                </c:pt>
                <c:pt idx="320" formatCode="General">
                  <c:v>107.6</c:v>
                </c:pt>
                <c:pt idx="321" formatCode="General">
                  <c:v>107.6</c:v>
                </c:pt>
                <c:pt idx="322" formatCode="General">
                  <c:v>107.6</c:v>
                </c:pt>
                <c:pt idx="323" formatCode="General">
                  <c:v>107.6</c:v>
                </c:pt>
                <c:pt idx="324" formatCode="General">
                  <c:v>107.6</c:v>
                </c:pt>
                <c:pt idx="325" formatCode="General">
                  <c:v>107.6</c:v>
                </c:pt>
                <c:pt idx="326" formatCode="General">
                  <c:v>107.6</c:v>
                </c:pt>
                <c:pt idx="327" formatCode="General">
                  <c:v>107.6</c:v>
                </c:pt>
                <c:pt idx="328" formatCode="General">
                  <c:v>107.6</c:v>
                </c:pt>
                <c:pt idx="329" formatCode="General">
                  <c:v>107.6</c:v>
                </c:pt>
                <c:pt idx="330" formatCode="General">
                  <c:v>107.7</c:v>
                </c:pt>
                <c:pt idx="331" formatCode="General">
                  <c:v>107.6</c:v>
                </c:pt>
                <c:pt idx="332" formatCode="General">
                  <c:v>107.7</c:v>
                </c:pt>
                <c:pt idx="333" formatCode="General">
                  <c:v>107.7</c:v>
                </c:pt>
                <c:pt idx="334" formatCode="General">
                  <c:v>107.7</c:v>
                </c:pt>
                <c:pt idx="335" formatCode="General">
                  <c:v>107.7</c:v>
                </c:pt>
                <c:pt idx="336" formatCode="General">
                  <c:v>107.7</c:v>
                </c:pt>
                <c:pt idx="337" formatCode="General">
                  <c:v>107.7</c:v>
                </c:pt>
                <c:pt idx="338" formatCode="General">
                  <c:v>107.7</c:v>
                </c:pt>
                <c:pt idx="339" formatCode="General">
                  <c:v>107.7</c:v>
                </c:pt>
                <c:pt idx="340" formatCode="General">
                  <c:v>107.7</c:v>
                </c:pt>
                <c:pt idx="341" formatCode="General">
                  <c:v>107.8</c:v>
                </c:pt>
                <c:pt idx="342" formatCode="General">
                  <c:v>107.8</c:v>
                </c:pt>
                <c:pt idx="343" formatCode="General">
                  <c:v>107.8</c:v>
                </c:pt>
                <c:pt idx="344" formatCode="General">
                  <c:v>107.8</c:v>
                </c:pt>
                <c:pt idx="345" formatCode="General">
                  <c:v>107.8</c:v>
                </c:pt>
                <c:pt idx="346" formatCode="General">
                  <c:v>107.9</c:v>
                </c:pt>
                <c:pt idx="347" formatCode="General">
                  <c:v>107.9</c:v>
                </c:pt>
                <c:pt idx="348" formatCode="General">
                  <c:v>107.9</c:v>
                </c:pt>
                <c:pt idx="349" formatCode="General">
                  <c:v>107.9</c:v>
                </c:pt>
                <c:pt idx="350" formatCode="General">
                  <c:v>107.9</c:v>
                </c:pt>
                <c:pt idx="351" formatCode="General">
                  <c:v>107.9</c:v>
                </c:pt>
                <c:pt idx="352" formatCode="General">
                  <c:v>107.9</c:v>
                </c:pt>
                <c:pt idx="353" formatCode="General">
                  <c:v>107.9</c:v>
                </c:pt>
                <c:pt idx="354" formatCode="General">
                  <c:v>108</c:v>
                </c:pt>
                <c:pt idx="355" formatCode="General">
                  <c:v>108</c:v>
                </c:pt>
                <c:pt idx="356" formatCode="General">
                  <c:v>108</c:v>
                </c:pt>
                <c:pt idx="357" formatCode="General">
                  <c:v>108</c:v>
                </c:pt>
                <c:pt idx="358" formatCode="General">
                  <c:v>108</c:v>
                </c:pt>
                <c:pt idx="359" formatCode="General">
                  <c:v>108</c:v>
                </c:pt>
                <c:pt idx="360" formatCode="General">
                  <c:v>108</c:v>
                </c:pt>
                <c:pt idx="361" formatCode="General">
                  <c:v>108.1</c:v>
                </c:pt>
                <c:pt idx="362" formatCode="General">
                  <c:v>108.1</c:v>
                </c:pt>
                <c:pt idx="363" formatCode="General">
                  <c:v>108.1</c:v>
                </c:pt>
                <c:pt idx="364" formatCode="General">
                  <c:v>108.1</c:v>
                </c:pt>
                <c:pt idx="365" formatCode="General">
                  <c:v>108.1</c:v>
                </c:pt>
                <c:pt idx="366" formatCode="General">
                  <c:v>108.1</c:v>
                </c:pt>
                <c:pt idx="367" formatCode="General">
                  <c:v>108.1</c:v>
                </c:pt>
                <c:pt idx="368" formatCode="General">
                  <c:v>108.1</c:v>
                </c:pt>
                <c:pt idx="369" formatCode="General">
                  <c:v>108.1</c:v>
                </c:pt>
                <c:pt idx="370" formatCode="General">
                  <c:v>108.1</c:v>
                </c:pt>
                <c:pt idx="371" formatCode="General">
                  <c:v>108.1</c:v>
                </c:pt>
                <c:pt idx="372" formatCode="General">
                  <c:v>108.2</c:v>
                </c:pt>
                <c:pt idx="373" formatCode="General">
                  <c:v>108.1</c:v>
                </c:pt>
                <c:pt idx="374" formatCode="General">
                  <c:v>108.1</c:v>
                </c:pt>
                <c:pt idx="375" formatCode="General">
                  <c:v>108.1</c:v>
                </c:pt>
                <c:pt idx="376" formatCode="General">
                  <c:v>108</c:v>
                </c:pt>
                <c:pt idx="377" formatCode="General">
                  <c:v>108</c:v>
                </c:pt>
                <c:pt idx="378" formatCode="General">
                  <c:v>108</c:v>
                </c:pt>
                <c:pt idx="379" formatCode="General">
                  <c:v>108</c:v>
                </c:pt>
                <c:pt idx="380" formatCode="General">
                  <c:v>108</c:v>
                </c:pt>
                <c:pt idx="381" formatCode="General">
                  <c:v>108</c:v>
                </c:pt>
                <c:pt idx="382" formatCode="General">
                  <c:v>108.1</c:v>
                </c:pt>
                <c:pt idx="383" formatCode="General">
                  <c:v>108.1</c:v>
                </c:pt>
                <c:pt idx="384" formatCode="General">
                  <c:v>108</c:v>
                </c:pt>
                <c:pt idx="385" formatCode="General">
                  <c:v>108</c:v>
                </c:pt>
                <c:pt idx="386" formatCode="General">
                  <c:v>108</c:v>
                </c:pt>
                <c:pt idx="387" formatCode="General">
                  <c:v>108</c:v>
                </c:pt>
                <c:pt idx="388" formatCode="General">
                  <c:v>108</c:v>
                </c:pt>
                <c:pt idx="389" formatCode="General">
                  <c:v>107.9</c:v>
                </c:pt>
                <c:pt idx="390" formatCode="General">
                  <c:v>107.9</c:v>
                </c:pt>
                <c:pt idx="391" formatCode="General">
                  <c:v>107.9</c:v>
                </c:pt>
                <c:pt idx="392" formatCode="General">
                  <c:v>107.8</c:v>
                </c:pt>
                <c:pt idx="393" formatCode="General">
                  <c:v>107.9</c:v>
                </c:pt>
                <c:pt idx="394" formatCode="General">
                  <c:v>107.9</c:v>
                </c:pt>
                <c:pt idx="395" formatCode="General">
                  <c:v>107.8</c:v>
                </c:pt>
                <c:pt idx="396" formatCode="General">
                  <c:v>107.8</c:v>
                </c:pt>
                <c:pt idx="397" formatCode="General">
                  <c:v>107.8</c:v>
                </c:pt>
                <c:pt idx="398" formatCode="General">
                  <c:v>107.7</c:v>
                </c:pt>
                <c:pt idx="399" formatCode="General">
                  <c:v>107.7</c:v>
                </c:pt>
                <c:pt idx="400" formatCode="General">
                  <c:v>107.7</c:v>
                </c:pt>
                <c:pt idx="401" formatCode="General">
                  <c:v>107.6</c:v>
                </c:pt>
                <c:pt idx="402" formatCode="General">
                  <c:v>107.6</c:v>
                </c:pt>
                <c:pt idx="403" formatCode="General">
                  <c:v>107.5</c:v>
                </c:pt>
                <c:pt idx="404" formatCode="General">
                  <c:v>107.4</c:v>
                </c:pt>
                <c:pt idx="405" formatCode="General">
                  <c:v>107.4</c:v>
                </c:pt>
                <c:pt idx="406" formatCode="General">
                  <c:v>107.4</c:v>
                </c:pt>
                <c:pt idx="407" formatCode="General">
                  <c:v>107.3</c:v>
                </c:pt>
                <c:pt idx="408" formatCode="General">
                  <c:v>107.2</c:v>
                </c:pt>
                <c:pt idx="409" formatCode="General">
                  <c:v>107.2</c:v>
                </c:pt>
                <c:pt idx="410" formatCode="General">
                  <c:v>107.1</c:v>
                </c:pt>
                <c:pt idx="411" formatCode="General">
                  <c:v>107.1</c:v>
                </c:pt>
                <c:pt idx="412" formatCode="General">
                  <c:v>107</c:v>
                </c:pt>
                <c:pt idx="413" formatCode="General">
                  <c:v>107</c:v>
                </c:pt>
                <c:pt idx="414" formatCode="General">
                  <c:v>106.9</c:v>
                </c:pt>
                <c:pt idx="415" formatCode="General">
                  <c:v>106.8</c:v>
                </c:pt>
                <c:pt idx="416" formatCode="General">
                  <c:v>106.7</c:v>
                </c:pt>
                <c:pt idx="417" formatCode="General">
                  <c:v>106.7</c:v>
                </c:pt>
              </c:numCache>
            </c:numRef>
          </c:yVal>
        </c:ser>
        <c:axId val="75392512"/>
        <c:axId val="75394048"/>
      </c:scatterChart>
      <c:valAx>
        <c:axId val="75392512"/>
        <c:scaling>
          <c:orientation val="minMax"/>
          <c:max val="60"/>
        </c:scaling>
        <c:axPos val="b"/>
        <c:numFmt formatCode="#,##0" sourceLinked="0"/>
        <c:tickLblPos val="nextTo"/>
        <c:crossAx val="75394048"/>
        <c:crosses val="autoZero"/>
        <c:crossBetween val="midCat"/>
      </c:valAx>
      <c:valAx>
        <c:axId val="75394048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753925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29</xdr:row>
      <xdr:rowOff>0</xdr:rowOff>
    </xdr:from>
    <xdr:to>
      <xdr:col>26</xdr:col>
      <xdr:colOff>336552</xdr:colOff>
      <xdr:row>53</xdr:row>
      <xdr:rowOff>19051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101"/>
  <sheetViews>
    <sheetView tabSelected="1" zoomScale="85" zoomScaleNormal="85" workbookViewId="0">
      <pane xSplit="3" ySplit="3" topLeftCell="L4" activePane="bottomRight" state="frozen"/>
      <selection activeCell="E28" sqref="E28"/>
      <selection pane="topRight" activeCell="E28" sqref="E28"/>
      <selection pane="bottomLeft" activeCell="E28" sqref="E28"/>
      <selection pane="bottomRight" activeCell="F27" sqref="F27"/>
    </sheetView>
  </sheetViews>
  <sheetFormatPr defaultRowHeight="15"/>
  <cols>
    <col min="1" max="1" width="7.5703125" style="5" customWidth="1"/>
    <col min="2" max="2" width="10.5703125" style="23" customWidth="1"/>
    <col min="3" max="3" width="45.85546875" style="23" bestFit="1" customWidth="1"/>
    <col min="4" max="4" width="33.85546875" style="1" bestFit="1" customWidth="1"/>
    <col min="5" max="5" width="7.5703125" style="1" bestFit="1" customWidth="1"/>
    <col min="6" max="6" width="12.7109375" style="51" bestFit="1" customWidth="1"/>
    <col min="7" max="7" width="13.85546875" style="51" bestFit="1" customWidth="1"/>
    <col min="8" max="8" width="13.42578125" style="51" bestFit="1" customWidth="1"/>
    <col min="9" max="9" width="15.42578125" style="51" bestFit="1" customWidth="1"/>
    <col min="10" max="10" width="13.85546875" style="51" bestFit="1" customWidth="1"/>
    <col min="11" max="11" width="13.85546875" style="64" bestFit="1" customWidth="1"/>
    <col min="12" max="12" width="14.5703125" style="65" bestFit="1" customWidth="1"/>
    <col min="13" max="13" width="12.7109375" style="65" bestFit="1" customWidth="1"/>
    <col min="14" max="14" width="14.5703125" style="55" bestFit="1" customWidth="1"/>
    <col min="15" max="15" width="13.85546875" style="55" bestFit="1" customWidth="1"/>
    <col min="16" max="16" width="12.7109375" style="55" bestFit="1" customWidth="1"/>
    <col min="17" max="17" width="15" style="55" bestFit="1" customWidth="1"/>
    <col min="18" max="18" width="12.7109375" style="55" bestFit="1" customWidth="1"/>
    <col min="19" max="19" width="15" style="55" bestFit="1" customWidth="1"/>
    <col min="20" max="20" width="12.7109375" style="55" bestFit="1" customWidth="1"/>
    <col min="21" max="21" width="16" style="84" bestFit="1" customWidth="1"/>
    <col min="22" max="22" width="15" style="84" bestFit="1" customWidth="1"/>
    <col min="23" max="23" width="14.28515625" style="68" bestFit="1" customWidth="1"/>
    <col min="24" max="24" width="15.5703125" style="73" bestFit="1" customWidth="1"/>
    <col min="25" max="25" width="16.5703125" style="73" bestFit="1" customWidth="1"/>
    <col min="26" max="26" width="14.42578125" style="73" bestFit="1" customWidth="1"/>
    <col min="27" max="27" width="15" style="73" bestFit="1" customWidth="1"/>
    <col min="28" max="16384" width="9.140625" style="23"/>
  </cols>
  <sheetData>
    <row r="1" spans="1:33" ht="21.75" thickBot="1">
      <c r="A1" s="87"/>
      <c r="B1" s="36"/>
      <c r="C1" s="36"/>
      <c r="D1" s="37"/>
      <c r="E1" s="38"/>
      <c r="F1" s="46"/>
      <c r="G1" s="46"/>
      <c r="H1" s="46"/>
      <c r="I1" s="46"/>
      <c r="J1" s="46"/>
      <c r="K1" s="47"/>
      <c r="L1" s="48"/>
      <c r="M1" s="48"/>
      <c r="N1" s="49"/>
      <c r="O1" s="49"/>
      <c r="P1" s="49"/>
      <c r="Q1" s="49"/>
      <c r="R1" s="49"/>
      <c r="S1" s="49"/>
      <c r="T1" s="49"/>
      <c r="U1" s="77"/>
      <c r="V1" s="77"/>
      <c r="W1" s="67"/>
      <c r="X1" s="72"/>
      <c r="Y1" s="72"/>
      <c r="Z1" s="72"/>
      <c r="AA1" s="72"/>
      <c r="AB1" s="40"/>
      <c r="AC1" s="40"/>
      <c r="AD1" s="40"/>
      <c r="AE1" s="40"/>
      <c r="AF1" s="40"/>
      <c r="AG1" s="40"/>
    </row>
    <row r="2" spans="1:33">
      <c r="A2" s="88"/>
      <c r="B2" s="40"/>
      <c r="C2" s="41"/>
      <c r="D2" s="39"/>
      <c r="E2" s="39"/>
      <c r="F2" s="46"/>
      <c r="G2" s="46"/>
      <c r="H2" s="46"/>
      <c r="I2" s="46" t="s">
        <v>5</v>
      </c>
      <c r="J2" s="96">
        <v>0.95</v>
      </c>
      <c r="K2" s="47"/>
      <c r="L2" s="46" t="s">
        <v>16</v>
      </c>
      <c r="M2" s="46" t="s">
        <v>16</v>
      </c>
      <c r="N2" s="49"/>
      <c r="O2" s="49"/>
      <c r="P2" s="49"/>
      <c r="Q2" s="49"/>
      <c r="R2" s="49"/>
      <c r="S2" s="49"/>
      <c r="T2" s="49"/>
      <c r="U2" s="77"/>
      <c r="V2" s="77"/>
      <c r="W2" s="67"/>
      <c r="X2" s="72"/>
      <c r="Y2" s="72"/>
      <c r="Z2" s="72"/>
      <c r="AA2" s="72"/>
      <c r="AB2" s="40"/>
      <c r="AC2" s="40"/>
      <c r="AD2" s="40"/>
      <c r="AE2" s="40"/>
      <c r="AF2" s="40"/>
      <c r="AG2" s="40"/>
    </row>
    <row r="3" spans="1:33" s="17" customFormat="1" ht="46.5" customHeight="1" thickBot="1">
      <c r="A3" s="42" t="s">
        <v>89</v>
      </c>
      <c r="B3" s="43" t="s">
        <v>88</v>
      </c>
      <c r="C3" s="43" t="s">
        <v>42</v>
      </c>
      <c r="D3" s="42" t="s">
        <v>86</v>
      </c>
      <c r="E3" s="42" t="s">
        <v>87</v>
      </c>
      <c r="F3" s="50" t="s">
        <v>20</v>
      </c>
      <c r="G3" s="50" t="s">
        <v>15</v>
      </c>
      <c r="H3" s="50" t="s">
        <v>12</v>
      </c>
      <c r="I3" s="50" t="s">
        <v>2</v>
      </c>
      <c r="J3" s="50" t="s">
        <v>59</v>
      </c>
      <c r="K3" s="50" t="s">
        <v>14</v>
      </c>
      <c r="L3" s="50" t="s">
        <v>17</v>
      </c>
      <c r="M3" s="50" t="s">
        <v>18</v>
      </c>
      <c r="N3" s="50" t="s">
        <v>14</v>
      </c>
      <c r="O3" s="50" t="s">
        <v>38</v>
      </c>
      <c r="P3" s="50" t="s">
        <v>39</v>
      </c>
      <c r="Q3" s="50" t="s">
        <v>40</v>
      </c>
      <c r="R3" s="50" t="s">
        <v>41</v>
      </c>
      <c r="S3" s="50" t="s">
        <v>46</v>
      </c>
      <c r="T3" s="50" t="s">
        <v>47</v>
      </c>
      <c r="U3" s="76" t="s">
        <v>54</v>
      </c>
      <c r="V3" s="76" t="s">
        <v>55</v>
      </c>
      <c r="W3" s="66" t="s">
        <v>60</v>
      </c>
      <c r="X3" s="71" t="s">
        <v>61</v>
      </c>
      <c r="Y3" s="71" t="s">
        <v>62</v>
      </c>
      <c r="Z3" s="71" t="s">
        <v>63</v>
      </c>
      <c r="AA3" s="71" t="s">
        <v>64</v>
      </c>
      <c r="AB3" s="41"/>
      <c r="AC3" s="41"/>
      <c r="AD3" s="41"/>
      <c r="AE3" s="41"/>
      <c r="AF3" s="41"/>
      <c r="AG3" s="41"/>
    </row>
    <row r="4" spans="1:33" ht="15" customHeight="1">
      <c r="A4" s="89"/>
      <c r="B4" s="44"/>
      <c r="C4" s="17"/>
      <c r="D4" s="17"/>
      <c r="E4" s="23"/>
      <c r="G4" s="52"/>
      <c r="J4" s="53"/>
      <c r="K4" s="94"/>
      <c r="L4" s="52"/>
      <c r="M4" s="52"/>
      <c r="N4" s="94"/>
      <c r="O4" s="54"/>
      <c r="P4" s="54"/>
      <c r="Q4" s="54"/>
      <c r="R4" s="54"/>
      <c r="S4" s="54"/>
      <c r="T4" s="54"/>
      <c r="U4" s="78"/>
      <c r="V4" s="78"/>
      <c r="AB4" s="40"/>
      <c r="AC4" s="40"/>
      <c r="AD4" s="40"/>
      <c r="AE4" s="40"/>
      <c r="AF4" s="40"/>
      <c r="AG4" s="40"/>
    </row>
    <row r="5" spans="1:33" s="17" customFormat="1" ht="15" customHeight="1" thickBot="1">
      <c r="A5" s="89"/>
      <c r="B5" s="44"/>
      <c r="E5" s="23"/>
      <c r="F5" s="52"/>
      <c r="G5" s="52"/>
      <c r="H5" s="56"/>
      <c r="I5" s="56"/>
      <c r="J5" s="53"/>
      <c r="K5" s="94"/>
      <c r="L5" s="52"/>
      <c r="M5" s="52"/>
      <c r="N5" s="94"/>
      <c r="O5" s="57"/>
      <c r="P5" s="57"/>
      <c r="Q5" s="57"/>
      <c r="R5" s="57"/>
      <c r="S5" s="57"/>
      <c r="T5" s="57"/>
      <c r="U5" s="79"/>
      <c r="V5" s="79"/>
      <c r="W5" s="68"/>
      <c r="X5" s="73"/>
      <c r="Y5" s="73"/>
      <c r="Z5" s="73"/>
      <c r="AA5" s="73"/>
      <c r="AB5" s="41"/>
      <c r="AC5" s="41"/>
      <c r="AD5" s="41"/>
      <c r="AE5" s="41"/>
      <c r="AF5" s="41"/>
      <c r="AG5" s="41"/>
    </row>
    <row r="6" spans="1:33" ht="15" customHeight="1">
      <c r="A6" s="89"/>
      <c r="B6" s="44"/>
      <c r="C6" s="17"/>
      <c r="D6" s="17"/>
      <c r="E6" s="23"/>
      <c r="G6" s="52"/>
      <c r="H6" s="52"/>
      <c r="I6" s="52"/>
      <c r="J6" s="53"/>
      <c r="K6" s="94"/>
      <c r="L6" s="58"/>
      <c r="M6" s="58"/>
      <c r="N6" s="94"/>
      <c r="R6" s="59"/>
      <c r="S6" s="59"/>
      <c r="T6" s="59"/>
      <c r="U6" s="80"/>
      <c r="V6" s="81"/>
      <c r="W6" s="69"/>
      <c r="X6" s="74"/>
      <c r="Y6" s="74"/>
      <c r="Z6" s="74"/>
      <c r="AA6" s="74"/>
      <c r="AB6" s="40"/>
      <c r="AC6" s="31"/>
      <c r="AD6" s="31"/>
      <c r="AE6" s="40"/>
      <c r="AF6" s="40"/>
      <c r="AG6" s="40"/>
    </row>
    <row r="7" spans="1:33" ht="15" customHeight="1" thickBot="1">
      <c r="A7" s="90"/>
      <c r="B7" s="45"/>
      <c r="C7" s="28"/>
      <c r="D7" s="28"/>
      <c r="E7" s="28"/>
      <c r="F7" s="60"/>
      <c r="G7" s="60"/>
      <c r="H7" s="60"/>
      <c r="I7" s="60"/>
      <c r="J7" s="50"/>
      <c r="K7" s="95"/>
      <c r="L7" s="61"/>
      <c r="M7" s="61"/>
      <c r="N7" s="95"/>
      <c r="O7" s="62"/>
      <c r="P7" s="62"/>
      <c r="Q7" s="62"/>
      <c r="R7" s="63"/>
      <c r="S7" s="63"/>
      <c r="T7" s="63"/>
      <c r="U7" s="82"/>
      <c r="V7" s="83"/>
      <c r="W7" s="70"/>
      <c r="X7" s="75"/>
      <c r="Y7" s="75"/>
      <c r="Z7" s="75"/>
      <c r="AA7" s="75"/>
      <c r="AB7" s="40"/>
      <c r="AC7" s="31"/>
      <c r="AD7" s="31"/>
      <c r="AE7" s="40"/>
      <c r="AF7" s="40"/>
      <c r="AG7" s="40"/>
    </row>
    <row r="8" spans="1:33" ht="15" customHeight="1">
      <c r="A8" s="89"/>
      <c r="B8" s="44"/>
      <c r="C8" s="17"/>
      <c r="D8" s="17"/>
      <c r="E8" s="23"/>
      <c r="G8" s="52"/>
      <c r="H8" s="52"/>
      <c r="I8" s="52"/>
      <c r="J8" s="53"/>
      <c r="K8" s="94"/>
      <c r="L8" s="52"/>
      <c r="M8" s="52"/>
      <c r="N8" s="94"/>
      <c r="O8" s="54"/>
      <c r="P8" s="54"/>
      <c r="Q8" s="54"/>
      <c r="R8" s="54"/>
      <c r="S8" s="54"/>
      <c r="T8" s="54"/>
      <c r="U8" s="78"/>
      <c r="V8" s="78"/>
      <c r="AB8" s="40"/>
      <c r="AC8" s="40"/>
      <c r="AD8" s="40"/>
      <c r="AE8" s="40"/>
      <c r="AF8" s="40"/>
      <c r="AG8" s="40"/>
    </row>
    <row r="9" spans="1:33" ht="15" customHeight="1" thickBot="1">
      <c r="A9" s="89"/>
      <c r="B9" s="44"/>
      <c r="C9" s="17"/>
      <c r="D9" s="17"/>
      <c r="E9" s="23"/>
      <c r="F9" s="52"/>
      <c r="G9" s="52"/>
      <c r="H9" s="52"/>
      <c r="I9" s="52"/>
      <c r="J9" s="53"/>
      <c r="K9" s="94"/>
      <c r="L9" s="52"/>
      <c r="M9" s="52"/>
      <c r="N9" s="94"/>
      <c r="O9" s="57"/>
      <c r="P9" s="57"/>
      <c r="Q9" s="57"/>
      <c r="R9" s="57"/>
      <c r="S9" s="57"/>
      <c r="T9" s="57"/>
      <c r="U9" s="79"/>
      <c r="V9" s="79"/>
      <c r="AB9" s="40"/>
      <c r="AC9" s="40"/>
      <c r="AD9" s="40"/>
      <c r="AE9" s="40"/>
      <c r="AF9" s="40"/>
      <c r="AG9" s="40"/>
    </row>
    <row r="10" spans="1:33" ht="15" customHeight="1">
      <c r="A10" s="89"/>
      <c r="B10" s="44"/>
      <c r="C10" s="17"/>
      <c r="D10" s="17"/>
      <c r="E10" s="23"/>
      <c r="F10" s="52"/>
      <c r="G10" s="52"/>
      <c r="H10" s="52"/>
      <c r="I10" s="52"/>
      <c r="J10" s="53"/>
      <c r="K10" s="94"/>
      <c r="L10" s="58"/>
      <c r="M10" s="58"/>
      <c r="N10" s="94"/>
      <c r="R10" s="59"/>
      <c r="S10" s="59"/>
      <c r="T10" s="59"/>
      <c r="U10" s="80"/>
      <c r="V10" s="81"/>
      <c r="W10" s="69"/>
      <c r="X10" s="74"/>
      <c r="Y10" s="74"/>
      <c r="Z10" s="74"/>
      <c r="AA10" s="74"/>
      <c r="AB10" s="40"/>
      <c r="AC10" s="40"/>
      <c r="AD10" s="40"/>
      <c r="AE10" s="40"/>
      <c r="AF10" s="40"/>
      <c r="AG10" s="40"/>
    </row>
    <row r="11" spans="1:33" ht="15" customHeight="1" thickBot="1">
      <c r="A11" s="90"/>
      <c r="B11" s="45"/>
      <c r="C11" s="28"/>
      <c r="D11" s="28"/>
      <c r="E11" s="28"/>
      <c r="F11" s="60"/>
      <c r="G11" s="60"/>
      <c r="H11" s="60"/>
      <c r="I11" s="60"/>
      <c r="J11" s="50"/>
      <c r="K11" s="95"/>
      <c r="L11" s="61"/>
      <c r="M11" s="61"/>
      <c r="N11" s="95"/>
      <c r="O11" s="62"/>
      <c r="P11" s="62"/>
      <c r="Q11" s="62"/>
      <c r="R11" s="63"/>
      <c r="S11" s="63"/>
      <c r="T11" s="63"/>
      <c r="U11" s="82"/>
      <c r="V11" s="83"/>
      <c r="W11" s="70"/>
      <c r="X11" s="75"/>
      <c r="Y11" s="75"/>
      <c r="Z11" s="75"/>
      <c r="AA11" s="75"/>
      <c r="AB11" s="40"/>
      <c r="AC11" s="40"/>
      <c r="AD11" s="40"/>
      <c r="AE11" s="40"/>
      <c r="AF11" s="40"/>
      <c r="AG11" s="40"/>
    </row>
    <row r="12" spans="1:33" ht="15" customHeight="1">
      <c r="A12" s="89"/>
      <c r="B12" s="44"/>
      <c r="C12" s="17"/>
      <c r="D12" s="17"/>
      <c r="E12" s="23"/>
      <c r="G12" s="52"/>
      <c r="J12" s="53"/>
      <c r="K12" s="94"/>
      <c r="L12" s="52"/>
      <c r="M12" s="52"/>
      <c r="N12" s="94"/>
      <c r="O12" s="54"/>
      <c r="P12" s="54"/>
      <c r="Q12" s="54"/>
      <c r="R12" s="54"/>
      <c r="S12" s="54"/>
      <c r="T12" s="54"/>
      <c r="U12" s="78"/>
      <c r="V12" s="78"/>
      <c r="AB12" s="40"/>
      <c r="AC12" s="40"/>
      <c r="AD12" s="40"/>
      <c r="AE12" s="40"/>
      <c r="AF12" s="40"/>
      <c r="AG12" s="40"/>
    </row>
    <row r="13" spans="1:33" ht="15" customHeight="1" thickBot="1">
      <c r="A13" s="89"/>
      <c r="B13" s="44"/>
      <c r="C13" s="17"/>
      <c r="D13" s="17"/>
      <c r="E13" s="23"/>
      <c r="F13" s="52"/>
      <c r="G13" s="52"/>
      <c r="H13" s="56"/>
      <c r="I13" s="56"/>
      <c r="J13" s="53"/>
      <c r="K13" s="94"/>
      <c r="L13" s="52"/>
      <c r="M13" s="52"/>
      <c r="N13" s="94"/>
      <c r="O13" s="57"/>
      <c r="P13" s="57"/>
      <c r="Q13" s="57"/>
      <c r="R13" s="57"/>
      <c r="S13" s="57"/>
      <c r="T13" s="57"/>
      <c r="U13" s="79"/>
      <c r="V13" s="79"/>
      <c r="AB13" s="40"/>
      <c r="AC13" s="40"/>
      <c r="AD13" s="40"/>
      <c r="AE13" s="40"/>
      <c r="AF13" s="40"/>
      <c r="AG13" s="40"/>
    </row>
    <row r="14" spans="1:33" ht="15" customHeight="1">
      <c r="A14" s="89"/>
      <c r="B14" s="44"/>
      <c r="C14" s="17"/>
      <c r="D14" s="17"/>
      <c r="E14" s="23"/>
      <c r="G14" s="52"/>
      <c r="H14" s="52"/>
      <c r="I14" s="52"/>
      <c r="J14" s="53"/>
      <c r="K14" s="94"/>
      <c r="L14" s="58"/>
      <c r="M14" s="58"/>
      <c r="N14" s="94"/>
      <c r="S14" s="59"/>
      <c r="T14" s="59"/>
      <c r="U14" s="80"/>
      <c r="V14" s="80"/>
      <c r="W14" s="69"/>
      <c r="X14" s="74"/>
      <c r="Y14" s="74"/>
      <c r="Z14" s="74"/>
      <c r="AA14" s="74"/>
      <c r="AB14" s="40"/>
      <c r="AC14" s="40"/>
      <c r="AD14" s="40"/>
      <c r="AE14" s="40"/>
      <c r="AF14" s="40"/>
      <c r="AG14" s="40"/>
    </row>
    <row r="15" spans="1:33" ht="15" customHeight="1" thickBot="1">
      <c r="A15" s="90"/>
      <c r="B15" s="45"/>
      <c r="C15" s="28"/>
      <c r="D15" s="28"/>
      <c r="E15" s="28"/>
      <c r="F15" s="60"/>
      <c r="G15" s="60"/>
      <c r="H15" s="60"/>
      <c r="I15" s="60"/>
      <c r="J15" s="50"/>
      <c r="K15" s="95"/>
      <c r="L15" s="61"/>
      <c r="M15" s="61"/>
      <c r="N15" s="95"/>
      <c r="O15" s="62"/>
      <c r="P15" s="62"/>
      <c r="Q15" s="62"/>
      <c r="R15" s="62"/>
      <c r="S15" s="63"/>
      <c r="T15" s="63"/>
      <c r="U15" s="82"/>
      <c r="V15" s="82"/>
      <c r="W15" s="70"/>
      <c r="X15" s="75"/>
      <c r="Y15" s="75"/>
      <c r="Z15" s="75"/>
      <c r="AA15" s="75"/>
      <c r="AB15" s="40"/>
      <c r="AC15" s="40"/>
      <c r="AD15" s="40"/>
      <c r="AE15" s="40"/>
      <c r="AF15" s="40"/>
      <c r="AG15" s="40"/>
    </row>
    <row r="16" spans="1:33">
      <c r="A16" s="89"/>
      <c r="B16" s="44"/>
      <c r="C16" s="17"/>
      <c r="D16" s="17"/>
      <c r="E16" s="23"/>
      <c r="G16" s="52"/>
      <c r="H16" s="52"/>
      <c r="I16" s="52"/>
      <c r="J16" s="53"/>
      <c r="K16" s="94"/>
      <c r="L16" s="52"/>
      <c r="M16" s="52"/>
      <c r="N16" s="94"/>
      <c r="O16" s="54"/>
      <c r="P16" s="54"/>
      <c r="Q16" s="54"/>
      <c r="R16" s="54"/>
      <c r="S16" s="54"/>
      <c r="T16" s="54"/>
      <c r="U16" s="78"/>
      <c r="V16" s="78"/>
      <c r="AB16"/>
      <c r="AC16"/>
      <c r="AD16"/>
      <c r="AE16"/>
      <c r="AF16"/>
      <c r="AG16"/>
    </row>
    <row r="17" spans="1:33" ht="15.75" thickBot="1">
      <c r="A17" s="89"/>
      <c r="B17" s="44"/>
      <c r="C17" s="17"/>
      <c r="D17" s="17"/>
      <c r="E17" s="23"/>
      <c r="F17" s="52"/>
      <c r="G17" s="52"/>
      <c r="H17" s="52"/>
      <c r="I17" s="52"/>
      <c r="J17" s="53"/>
      <c r="K17" s="94"/>
      <c r="L17" s="52"/>
      <c r="M17" s="52"/>
      <c r="N17" s="94"/>
      <c r="O17" s="57"/>
      <c r="P17" s="57"/>
      <c r="Q17" s="57"/>
      <c r="R17" s="57"/>
      <c r="S17" s="57"/>
      <c r="T17" s="57"/>
      <c r="U17" s="79"/>
      <c r="V17" s="79"/>
      <c r="AB17"/>
      <c r="AC17"/>
      <c r="AD17"/>
      <c r="AE17"/>
      <c r="AF17"/>
      <c r="AG17"/>
    </row>
    <row r="18" spans="1:33">
      <c r="A18" s="89"/>
      <c r="B18" s="44"/>
      <c r="C18" s="17"/>
      <c r="D18" s="17"/>
      <c r="E18" s="23"/>
      <c r="F18" s="52"/>
      <c r="G18" s="52"/>
      <c r="H18" s="52"/>
      <c r="I18" s="52"/>
      <c r="J18" s="53"/>
      <c r="K18" s="94"/>
      <c r="L18" s="58"/>
      <c r="M18" s="58"/>
      <c r="N18" s="94"/>
      <c r="S18" s="59"/>
      <c r="T18" s="59"/>
      <c r="U18" s="80"/>
      <c r="V18" s="80"/>
      <c r="W18" s="69"/>
      <c r="X18" s="74"/>
      <c r="Y18" s="74"/>
      <c r="Z18" s="74"/>
      <c r="AA18" s="74"/>
      <c r="AB18"/>
      <c r="AC18"/>
      <c r="AD18"/>
      <c r="AE18"/>
      <c r="AF18"/>
      <c r="AG18"/>
    </row>
    <row r="19" spans="1:33" ht="15.75" thickBot="1">
      <c r="A19" s="90"/>
      <c r="B19" s="45"/>
      <c r="C19" s="28"/>
      <c r="D19" s="28"/>
      <c r="E19" s="28"/>
      <c r="F19" s="60"/>
      <c r="G19" s="60"/>
      <c r="H19" s="60"/>
      <c r="I19" s="60"/>
      <c r="J19" s="50"/>
      <c r="K19" s="95"/>
      <c r="L19" s="61"/>
      <c r="M19" s="61"/>
      <c r="N19" s="95"/>
      <c r="O19" s="62"/>
      <c r="P19" s="62"/>
      <c r="Q19" s="62"/>
      <c r="R19" s="62"/>
      <c r="S19" s="63"/>
      <c r="T19" s="63"/>
      <c r="U19" s="82"/>
      <c r="V19" s="82"/>
      <c r="W19" s="70"/>
      <c r="X19" s="75"/>
      <c r="Y19" s="75"/>
      <c r="Z19" s="75"/>
      <c r="AA19" s="75"/>
      <c r="AB19"/>
      <c r="AC19"/>
      <c r="AD19"/>
      <c r="AE19"/>
      <c r="AF19"/>
      <c r="AG19"/>
    </row>
    <row r="20" spans="1:33">
      <c r="A20" s="89"/>
      <c r="B20" s="44"/>
      <c r="C20" s="17"/>
      <c r="D20" s="17"/>
      <c r="E20" s="23"/>
      <c r="G20" s="52"/>
      <c r="H20" s="52"/>
      <c r="I20" s="52"/>
      <c r="J20" s="53"/>
      <c r="K20" s="94"/>
      <c r="L20" s="52"/>
      <c r="M20" s="52"/>
      <c r="N20" s="94"/>
      <c r="O20" s="54"/>
      <c r="P20" s="54"/>
      <c r="Q20" s="54"/>
      <c r="R20" s="54"/>
      <c r="S20" s="54"/>
      <c r="T20" s="54"/>
      <c r="U20" s="78"/>
      <c r="V20" s="78"/>
      <c r="AB20"/>
      <c r="AC20"/>
      <c r="AD20"/>
      <c r="AE20"/>
      <c r="AF20"/>
      <c r="AG20"/>
    </row>
    <row r="21" spans="1:33" ht="15.75" thickBot="1">
      <c r="A21" s="89"/>
      <c r="B21" s="44"/>
      <c r="C21" s="17"/>
      <c r="D21" s="17"/>
      <c r="E21" s="23"/>
      <c r="F21" s="52"/>
      <c r="G21" s="52"/>
      <c r="H21" s="56"/>
      <c r="I21" s="56"/>
      <c r="J21" s="53"/>
      <c r="K21" s="94"/>
      <c r="L21" s="52"/>
      <c r="M21" s="52"/>
      <c r="N21" s="94"/>
      <c r="O21" s="57"/>
      <c r="P21" s="57"/>
      <c r="Q21" s="57"/>
      <c r="R21" s="57"/>
      <c r="S21" s="57"/>
      <c r="T21" s="57"/>
      <c r="U21" s="79"/>
      <c r="V21" s="79"/>
      <c r="AB21"/>
      <c r="AC21"/>
      <c r="AD21"/>
      <c r="AE21"/>
      <c r="AF21"/>
      <c r="AG21"/>
    </row>
    <row r="22" spans="1:33">
      <c r="A22" s="89"/>
      <c r="B22" s="44"/>
      <c r="C22" s="17"/>
      <c r="D22" s="17"/>
      <c r="E22" s="23"/>
      <c r="F22" s="52"/>
      <c r="G22" s="52"/>
      <c r="H22" s="52"/>
      <c r="I22" s="52"/>
      <c r="J22" s="53"/>
      <c r="K22" s="94"/>
      <c r="L22" s="58"/>
      <c r="M22" s="58"/>
      <c r="N22" s="94"/>
      <c r="S22" s="59"/>
      <c r="T22" s="59"/>
      <c r="U22" s="80"/>
      <c r="V22" s="80"/>
      <c r="W22" s="69"/>
      <c r="X22" s="74"/>
      <c r="Y22" s="74"/>
      <c r="Z22" s="74"/>
      <c r="AA22" s="74"/>
      <c r="AB22"/>
      <c r="AC22"/>
      <c r="AD22"/>
      <c r="AE22"/>
      <c r="AF22"/>
      <c r="AG22"/>
    </row>
    <row r="23" spans="1:33" ht="15.75" thickBot="1">
      <c r="A23" s="90"/>
      <c r="B23" s="45"/>
      <c r="C23" s="28"/>
      <c r="D23" s="28"/>
      <c r="E23" s="28"/>
      <c r="F23" s="60"/>
      <c r="G23" s="60"/>
      <c r="H23" s="60"/>
      <c r="I23" s="60"/>
      <c r="J23" s="50"/>
      <c r="K23" s="95"/>
      <c r="L23" s="61"/>
      <c r="M23" s="61"/>
      <c r="N23" s="95"/>
      <c r="O23" s="62"/>
      <c r="P23" s="62"/>
      <c r="Q23" s="62"/>
      <c r="R23" s="62"/>
      <c r="S23" s="63"/>
      <c r="T23" s="63"/>
      <c r="U23" s="82"/>
      <c r="V23" s="82"/>
      <c r="W23" s="70"/>
      <c r="X23" s="75"/>
      <c r="Y23" s="75"/>
      <c r="Z23" s="75"/>
      <c r="AA23" s="75"/>
      <c r="AB23"/>
      <c r="AC23"/>
      <c r="AD23"/>
      <c r="AE23"/>
      <c r="AF23"/>
      <c r="AG23"/>
    </row>
    <row r="24" spans="1:33">
      <c r="A24" s="89"/>
      <c r="B24" s="44"/>
      <c r="C24" s="17"/>
      <c r="D24" s="17"/>
      <c r="E24" s="23"/>
      <c r="G24" s="52"/>
      <c r="H24" s="52"/>
      <c r="I24" s="52"/>
      <c r="J24" s="53"/>
      <c r="K24" s="94"/>
      <c r="L24" s="52"/>
      <c r="M24" s="52"/>
      <c r="N24" s="94"/>
      <c r="O24" s="54"/>
      <c r="P24" s="54"/>
      <c r="Q24" s="54"/>
      <c r="R24" s="54"/>
      <c r="S24" s="54"/>
      <c r="T24" s="54"/>
      <c r="U24" s="78"/>
      <c r="V24" s="78"/>
      <c r="AB24"/>
      <c r="AC24"/>
      <c r="AD24"/>
      <c r="AE24"/>
      <c r="AF24"/>
      <c r="AG24"/>
    </row>
    <row r="25" spans="1:33" ht="15.75" thickBot="1">
      <c r="A25" s="89"/>
      <c r="B25" s="44"/>
      <c r="C25" s="17"/>
      <c r="D25" s="17"/>
      <c r="E25" s="23"/>
      <c r="F25" s="52"/>
      <c r="G25" s="52"/>
      <c r="H25" s="52"/>
      <c r="I25" s="52"/>
      <c r="J25" s="53"/>
      <c r="K25" s="94"/>
      <c r="L25" s="52"/>
      <c r="M25" s="52"/>
      <c r="N25" s="94"/>
      <c r="O25" s="57"/>
      <c r="P25" s="57"/>
      <c r="Q25" s="57"/>
      <c r="R25" s="57"/>
      <c r="S25" s="57"/>
      <c r="T25" s="57"/>
      <c r="U25" s="79"/>
      <c r="V25" s="79"/>
      <c r="AB25"/>
      <c r="AC25"/>
      <c r="AD25"/>
      <c r="AE25"/>
      <c r="AF25"/>
      <c r="AG25"/>
    </row>
    <row r="26" spans="1:33">
      <c r="A26" s="89"/>
      <c r="B26" s="44"/>
      <c r="C26" s="17"/>
      <c r="D26" s="17"/>
      <c r="E26" s="23"/>
      <c r="F26" s="52"/>
      <c r="G26" s="52"/>
      <c r="H26" s="52"/>
      <c r="I26" s="52"/>
      <c r="J26" s="53"/>
      <c r="K26" s="94"/>
      <c r="L26" s="58"/>
      <c r="M26" s="58"/>
      <c r="N26" s="94"/>
      <c r="S26" s="59"/>
      <c r="T26" s="59"/>
      <c r="U26" s="80"/>
      <c r="V26" s="80"/>
      <c r="W26" s="69"/>
      <c r="X26" s="74"/>
      <c r="Y26" s="74"/>
      <c r="Z26" s="74"/>
      <c r="AA26" s="74"/>
      <c r="AB26"/>
      <c r="AC26"/>
      <c r="AD26"/>
      <c r="AE26"/>
      <c r="AF26"/>
      <c r="AG26"/>
    </row>
    <row r="27" spans="1:33" ht="15.75" thickBot="1">
      <c r="A27" s="90"/>
      <c r="B27" s="45"/>
      <c r="C27" s="28"/>
      <c r="D27" s="28"/>
      <c r="E27" s="28"/>
      <c r="F27" s="60"/>
      <c r="G27" s="60"/>
      <c r="H27" s="60"/>
      <c r="I27" s="60"/>
      <c r="J27" s="50"/>
      <c r="K27" s="95"/>
      <c r="L27" s="61"/>
      <c r="M27" s="61"/>
      <c r="N27" s="95"/>
      <c r="O27" s="62"/>
      <c r="P27" s="62"/>
      <c r="Q27" s="62"/>
      <c r="R27" s="62"/>
      <c r="S27" s="63"/>
      <c r="T27" s="63"/>
      <c r="U27" s="82"/>
      <c r="V27" s="82"/>
      <c r="W27" s="70"/>
      <c r="X27" s="75"/>
      <c r="Y27" s="75"/>
      <c r="Z27" s="75"/>
      <c r="AA27" s="75"/>
      <c r="AB27"/>
      <c r="AC27"/>
      <c r="AD27"/>
      <c r="AE27"/>
      <c r="AF27"/>
      <c r="AG27"/>
    </row>
    <row r="28" spans="1:33">
      <c r="A28" s="89"/>
      <c r="B28" s="44"/>
      <c r="C28" s="17"/>
      <c r="D28" s="17"/>
      <c r="E28" s="23"/>
      <c r="G28" s="52"/>
      <c r="J28" s="53"/>
      <c r="K28" s="94"/>
      <c r="L28" s="52"/>
      <c r="M28" s="52"/>
      <c r="N28" s="94"/>
      <c r="O28" s="54"/>
      <c r="P28" s="54"/>
      <c r="Q28" s="54"/>
      <c r="R28" s="54"/>
      <c r="S28" s="54"/>
      <c r="T28" s="54"/>
      <c r="U28" s="78"/>
      <c r="V28" s="78"/>
      <c r="AB28"/>
      <c r="AC28"/>
      <c r="AD28"/>
      <c r="AE28"/>
      <c r="AF28"/>
      <c r="AG28"/>
    </row>
    <row r="29" spans="1:33" ht="15.75" thickBot="1">
      <c r="A29" s="89"/>
      <c r="B29" s="44"/>
      <c r="C29" s="17"/>
      <c r="D29" s="17"/>
      <c r="E29" s="23"/>
      <c r="F29" s="52"/>
      <c r="G29" s="52"/>
      <c r="H29" s="56"/>
      <c r="I29" s="56"/>
      <c r="J29" s="53"/>
      <c r="K29" s="94"/>
      <c r="L29" s="52"/>
      <c r="M29" s="52"/>
      <c r="N29" s="94"/>
      <c r="O29" s="57"/>
      <c r="P29" s="57"/>
      <c r="Q29" s="57"/>
      <c r="R29" s="57"/>
      <c r="S29" s="57"/>
      <c r="T29" s="57"/>
      <c r="U29" s="79"/>
      <c r="V29" s="79"/>
      <c r="AB29"/>
      <c r="AC29"/>
      <c r="AD29"/>
      <c r="AE29"/>
      <c r="AF29"/>
      <c r="AG29"/>
    </row>
    <row r="30" spans="1:33">
      <c r="A30" s="89"/>
      <c r="B30" s="44"/>
      <c r="C30" s="17"/>
      <c r="D30" s="17"/>
      <c r="E30" s="23"/>
      <c r="G30" s="52"/>
      <c r="H30" s="52"/>
      <c r="I30" s="52"/>
      <c r="J30" s="53"/>
      <c r="K30" s="94"/>
      <c r="L30" s="58"/>
      <c r="M30" s="58"/>
      <c r="N30" s="94"/>
      <c r="S30" s="59"/>
      <c r="T30" s="59"/>
      <c r="U30" s="80"/>
      <c r="V30" s="80"/>
      <c r="W30" s="69"/>
      <c r="X30" s="74"/>
      <c r="Y30" s="74"/>
      <c r="Z30" s="74"/>
      <c r="AA30" s="74"/>
      <c r="AB30"/>
      <c r="AC30"/>
      <c r="AD30"/>
      <c r="AE30"/>
      <c r="AF30"/>
      <c r="AG30"/>
    </row>
    <row r="31" spans="1:33" ht="15.75" thickBot="1">
      <c r="A31" s="90"/>
      <c r="B31" s="45"/>
      <c r="C31" s="28"/>
      <c r="D31" s="28"/>
      <c r="E31" s="28"/>
      <c r="F31" s="60"/>
      <c r="G31" s="60"/>
      <c r="H31" s="60"/>
      <c r="I31" s="60"/>
      <c r="J31" s="50"/>
      <c r="K31" s="95"/>
      <c r="L31" s="61"/>
      <c r="M31" s="61"/>
      <c r="N31" s="95"/>
      <c r="O31" s="62"/>
      <c r="P31" s="62"/>
      <c r="Q31" s="62"/>
      <c r="R31" s="62"/>
      <c r="S31" s="63"/>
      <c r="T31" s="63"/>
      <c r="U31" s="82"/>
      <c r="V31" s="82"/>
      <c r="W31" s="70"/>
      <c r="X31" s="75"/>
      <c r="Y31" s="75"/>
      <c r="Z31" s="75"/>
      <c r="AA31" s="75"/>
      <c r="AB31"/>
      <c r="AC31"/>
      <c r="AD31"/>
      <c r="AE31"/>
      <c r="AF31"/>
      <c r="AG31"/>
    </row>
    <row r="32" spans="1:33">
      <c r="A32" s="89"/>
      <c r="B32" s="44"/>
      <c r="C32" s="17"/>
      <c r="D32" s="17"/>
      <c r="E32" s="23"/>
      <c r="G32" s="52"/>
      <c r="H32" s="52"/>
      <c r="I32" s="52"/>
      <c r="J32" s="53"/>
      <c r="K32" s="94"/>
      <c r="L32" s="52"/>
      <c r="M32" s="52"/>
      <c r="N32" s="94"/>
      <c r="O32" s="54"/>
      <c r="P32" s="54"/>
      <c r="Q32" s="54"/>
      <c r="R32" s="54"/>
      <c r="S32" s="54"/>
      <c r="T32" s="54"/>
      <c r="U32" s="78"/>
      <c r="V32" s="78"/>
      <c r="AB32"/>
      <c r="AC32"/>
      <c r="AD32"/>
      <c r="AE32"/>
      <c r="AF32"/>
      <c r="AG32"/>
    </row>
    <row r="33" spans="1:33" ht="15.75" thickBot="1">
      <c r="A33" s="89"/>
      <c r="B33" s="44"/>
      <c r="C33" s="17"/>
      <c r="D33" s="17"/>
      <c r="E33" s="23"/>
      <c r="F33" s="52"/>
      <c r="G33" s="52"/>
      <c r="H33" s="52"/>
      <c r="I33" s="52"/>
      <c r="J33" s="53"/>
      <c r="K33" s="94"/>
      <c r="L33" s="52"/>
      <c r="M33" s="52"/>
      <c r="N33" s="94"/>
      <c r="O33" s="57"/>
      <c r="P33" s="57"/>
      <c r="Q33" s="57"/>
      <c r="R33" s="57"/>
      <c r="S33" s="57"/>
      <c r="T33" s="57"/>
      <c r="U33" s="79"/>
      <c r="V33" s="79"/>
      <c r="AB33"/>
      <c r="AC33"/>
      <c r="AD33"/>
      <c r="AE33"/>
      <c r="AF33"/>
      <c r="AG33"/>
    </row>
    <row r="34" spans="1:33">
      <c r="A34" s="89"/>
      <c r="B34" s="44"/>
      <c r="C34" s="17"/>
      <c r="D34" s="17"/>
      <c r="E34" s="23"/>
      <c r="F34" s="52"/>
      <c r="G34" s="52"/>
      <c r="H34" s="52"/>
      <c r="I34" s="52"/>
      <c r="J34" s="53"/>
      <c r="K34" s="94"/>
      <c r="L34" s="58"/>
      <c r="M34" s="58"/>
      <c r="N34" s="94"/>
      <c r="S34" s="59"/>
      <c r="T34" s="59"/>
      <c r="U34" s="80"/>
      <c r="V34" s="80"/>
      <c r="W34" s="69"/>
      <c r="X34" s="74"/>
      <c r="Y34" s="74"/>
      <c r="Z34" s="74"/>
      <c r="AA34" s="74"/>
      <c r="AB34"/>
      <c r="AC34"/>
      <c r="AD34"/>
      <c r="AE34"/>
      <c r="AF34"/>
      <c r="AG34"/>
    </row>
    <row r="35" spans="1:33" ht="15.75" thickBot="1">
      <c r="A35" s="90"/>
      <c r="B35" s="45"/>
      <c r="C35" s="28"/>
      <c r="D35" s="28"/>
      <c r="E35" s="28"/>
      <c r="F35" s="60"/>
      <c r="G35" s="60"/>
      <c r="H35" s="60"/>
      <c r="I35" s="60"/>
      <c r="J35" s="50"/>
      <c r="K35" s="95"/>
      <c r="L35" s="61"/>
      <c r="M35" s="61"/>
      <c r="N35" s="95"/>
      <c r="O35" s="62"/>
      <c r="P35" s="62"/>
      <c r="Q35" s="62"/>
      <c r="R35" s="62"/>
      <c r="S35" s="63"/>
      <c r="T35" s="63"/>
      <c r="U35" s="82"/>
      <c r="V35" s="82"/>
      <c r="W35" s="70"/>
      <c r="X35" s="75"/>
      <c r="Y35" s="75"/>
      <c r="Z35" s="75"/>
      <c r="AA35" s="75"/>
      <c r="AB35"/>
      <c r="AC35"/>
      <c r="AD35"/>
      <c r="AE35"/>
      <c r="AF35"/>
      <c r="AG35"/>
    </row>
    <row r="36" spans="1:33">
      <c r="A36" s="89"/>
      <c r="B36" s="44"/>
      <c r="C36" s="17"/>
      <c r="D36" s="17"/>
      <c r="E36" s="23"/>
      <c r="G36" s="52"/>
      <c r="J36" s="53"/>
      <c r="K36" s="94"/>
      <c r="L36" s="52"/>
      <c r="M36" s="52"/>
      <c r="N36" s="94"/>
      <c r="O36" s="54"/>
      <c r="P36" s="54"/>
      <c r="Q36" s="54"/>
      <c r="R36" s="54"/>
      <c r="S36" s="54"/>
      <c r="T36" s="54"/>
      <c r="U36" s="78"/>
      <c r="V36" s="78"/>
      <c r="AB36"/>
      <c r="AC36"/>
      <c r="AD36"/>
      <c r="AE36"/>
      <c r="AF36"/>
      <c r="AG36"/>
    </row>
    <row r="37" spans="1:33" ht="15.75" thickBot="1">
      <c r="A37" s="89"/>
      <c r="B37" s="44"/>
      <c r="C37" s="17"/>
      <c r="D37" s="17"/>
      <c r="E37" s="23"/>
      <c r="F37" s="52"/>
      <c r="G37" s="52"/>
      <c r="H37" s="56"/>
      <c r="I37" s="56"/>
      <c r="J37" s="53"/>
      <c r="K37" s="94"/>
      <c r="L37" s="52"/>
      <c r="M37" s="52"/>
      <c r="N37" s="94"/>
      <c r="O37" s="57"/>
      <c r="P37" s="57"/>
      <c r="Q37" s="57"/>
      <c r="R37" s="57"/>
      <c r="S37" s="57"/>
      <c r="T37" s="57"/>
      <c r="U37" s="79"/>
      <c r="V37" s="79"/>
      <c r="AB37"/>
      <c r="AC37"/>
      <c r="AD37"/>
      <c r="AE37"/>
      <c r="AF37"/>
      <c r="AG37"/>
    </row>
    <row r="38" spans="1:33">
      <c r="A38" s="89"/>
      <c r="B38" s="44"/>
      <c r="C38" s="17"/>
      <c r="D38" s="17"/>
      <c r="E38" s="23"/>
      <c r="G38" s="52"/>
      <c r="H38" s="52"/>
      <c r="I38" s="52"/>
      <c r="J38" s="53"/>
      <c r="K38" s="94"/>
      <c r="L38" s="58"/>
      <c r="M38" s="58"/>
      <c r="N38" s="94"/>
      <c r="S38" s="59"/>
      <c r="T38" s="59"/>
      <c r="U38" s="80"/>
      <c r="V38" s="80"/>
      <c r="W38" s="69"/>
      <c r="X38" s="74"/>
      <c r="Y38" s="74"/>
      <c r="Z38" s="74"/>
      <c r="AA38" s="74"/>
      <c r="AB38"/>
      <c r="AC38"/>
      <c r="AD38"/>
      <c r="AE38"/>
      <c r="AF38"/>
      <c r="AG38"/>
    </row>
    <row r="39" spans="1:33" s="28" customFormat="1" ht="15.75" thickBot="1">
      <c r="A39" s="90"/>
      <c r="B39" s="45"/>
      <c r="F39" s="60"/>
      <c r="G39" s="60"/>
      <c r="H39" s="60"/>
      <c r="I39" s="60"/>
      <c r="J39" s="50"/>
      <c r="K39" s="95"/>
      <c r="L39" s="61"/>
      <c r="M39" s="61"/>
      <c r="N39" s="95"/>
      <c r="O39" s="62"/>
      <c r="P39" s="62"/>
      <c r="Q39" s="62"/>
      <c r="R39" s="62"/>
      <c r="S39" s="63"/>
      <c r="T39" s="63"/>
      <c r="U39" s="82"/>
      <c r="V39" s="82"/>
      <c r="W39" s="70"/>
      <c r="X39" s="75"/>
      <c r="Y39" s="75"/>
      <c r="Z39" s="75"/>
      <c r="AA39" s="75"/>
      <c r="AB39"/>
      <c r="AC39"/>
      <c r="AD39"/>
      <c r="AE39"/>
      <c r="AF39"/>
      <c r="AG39"/>
    </row>
    <row r="40" spans="1:33">
      <c r="A40" s="89"/>
      <c r="B40" s="44"/>
      <c r="C40" s="17"/>
      <c r="D40" s="17"/>
      <c r="E40" s="23"/>
      <c r="G40" s="52"/>
      <c r="H40" s="52"/>
      <c r="I40" s="52"/>
      <c r="J40" s="53"/>
      <c r="K40" s="94"/>
      <c r="L40" s="52"/>
      <c r="M40" s="52"/>
      <c r="N40" s="94"/>
      <c r="O40" s="54"/>
      <c r="P40" s="54"/>
      <c r="Q40" s="54"/>
      <c r="R40" s="54"/>
      <c r="S40" s="54"/>
      <c r="T40" s="54"/>
      <c r="U40" s="78"/>
      <c r="V40" s="78"/>
      <c r="AB40"/>
      <c r="AC40"/>
      <c r="AD40"/>
      <c r="AE40"/>
      <c r="AF40"/>
      <c r="AG40"/>
    </row>
    <row r="41" spans="1:33" ht="15.75" thickBot="1">
      <c r="A41" s="89"/>
      <c r="B41" s="44"/>
      <c r="C41" s="17"/>
      <c r="D41" s="17"/>
      <c r="E41" s="23"/>
      <c r="F41" s="52"/>
      <c r="G41" s="52"/>
      <c r="H41" s="52"/>
      <c r="I41" s="52"/>
      <c r="J41" s="53"/>
      <c r="K41" s="94"/>
      <c r="L41" s="52"/>
      <c r="M41" s="52"/>
      <c r="N41" s="94"/>
      <c r="O41" s="57"/>
      <c r="P41" s="57"/>
      <c r="Q41" s="57"/>
      <c r="R41" s="57"/>
      <c r="S41" s="57"/>
      <c r="T41" s="57"/>
      <c r="U41" s="79"/>
      <c r="V41" s="79"/>
      <c r="AB41"/>
      <c r="AC41"/>
      <c r="AD41"/>
      <c r="AE41"/>
      <c r="AF41"/>
      <c r="AG41"/>
    </row>
    <row r="42" spans="1:33">
      <c r="A42" s="89"/>
      <c r="B42" s="44"/>
      <c r="C42" s="17"/>
      <c r="D42" s="17"/>
      <c r="E42" s="23"/>
      <c r="F42" s="52"/>
      <c r="G42" s="52"/>
      <c r="H42" s="52"/>
      <c r="I42" s="52"/>
      <c r="J42" s="53"/>
      <c r="K42" s="94"/>
      <c r="L42" s="58"/>
      <c r="M42" s="58"/>
      <c r="N42" s="94"/>
      <c r="S42" s="59"/>
      <c r="T42" s="59"/>
      <c r="U42" s="80"/>
      <c r="V42" s="80"/>
      <c r="W42" s="69"/>
      <c r="X42" s="74"/>
      <c r="Y42" s="74"/>
      <c r="Z42" s="74"/>
      <c r="AA42" s="74"/>
      <c r="AB42"/>
      <c r="AC42"/>
      <c r="AD42"/>
      <c r="AE42"/>
      <c r="AF42"/>
      <c r="AG42"/>
    </row>
    <row r="43" spans="1:33" ht="15.75" thickBot="1">
      <c r="A43" s="90"/>
      <c r="B43" s="45"/>
      <c r="C43" s="28"/>
      <c r="D43" s="28"/>
      <c r="E43" s="28"/>
      <c r="F43" s="60"/>
      <c r="G43" s="60"/>
      <c r="H43" s="60"/>
      <c r="I43" s="60"/>
      <c r="J43" s="50"/>
      <c r="K43" s="95"/>
      <c r="L43" s="61"/>
      <c r="M43" s="61"/>
      <c r="N43" s="95"/>
      <c r="O43" s="62"/>
      <c r="P43" s="62"/>
      <c r="Q43" s="62"/>
      <c r="R43" s="62"/>
      <c r="S43" s="63"/>
      <c r="T43" s="63"/>
      <c r="U43" s="82"/>
      <c r="V43" s="82"/>
      <c r="W43" s="70"/>
      <c r="X43" s="75"/>
      <c r="Y43" s="75"/>
      <c r="Z43" s="75"/>
      <c r="AA43" s="75"/>
      <c r="AB43"/>
      <c r="AC43"/>
      <c r="AD43"/>
      <c r="AE43"/>
      <c r="AF43"/>
      <c r="AG43"/>
    </row>
    <row r="44" spans="1:33">
      <c r="A44" s="89"/>
      <c r="B44" s="44"/>
      <c r="C44" s="17"/>
      <c r="D44" s="17"/>
      <c r="E44" s="23"/>
      <c r="G44" s="52"/>
      <c r="H44" s="52"/>
      <c r="I44" s="52"/>
      <c r="J44" s="53"/>
      <c r="K44" s="94"/>
      <c r="L44" s="52"/>
      <c r="M44" s="52"/>
      <c r="N44" s="94"/>
      <c r="O44" s="54"/>
      <c r="P44" s="54"/>
      <c r="Q44" s="54"/>
      <c r="R44" s="54"/>
      <c r="S44" s="54"/>
      <c r="T44" s="54"/>
      <c r="U44" s="78"/>
      <c r="V44" s="78"/>
      <c r="AB44"/>
      <c r="AC44"/>
      <c r="AD44"/>
      <c r="AE44"/>
      <c r="AF44"/>
      <c r="AG44"/>
    </row>
    <row r="45" spans="1:33" ht="15.75" thickBot="1">
      <c r="A45" s="89"/>
      <c r="B45" s="44"/>
      <c r="C45" s="17"/>
      <c r="D45" s="17"/>
      <c r="E45" s="23"/>
      <c r="F45" s="52"/>
      <c r="G45" s="52"/>
      <c r="H45" s="56"/>
      <c r="I45" s="56"/>
      <c r="J45" s="53"/>
      <c r="K45" s="94"/>
      <c r="L45" s="52"/>
      <c r="M45" s="52"/>
      <c r="N45" s="94"/>
      <c r="O45" s="57"/>
      <c r="P45" s="57"/>
      <c r="Q45" s="57"/>
      <c r="R45" s="57"/>
      <c r="S45" s="57"/>
      <c r="T45" s="57"/>
      <c r="U45" s="79"/>
      <c r="V45" s="79"/>
      <c r="AB45"/>
      <c r="AC45"/>
      <c r="AD45"/>
      <c r="AE45"/>
      <c r="AF45"/>
      <c r="AG45"/>
    </row>
    <row r="46" spans="1:33">
      <c r="A46" s="89"/>
      <c r="B46" s="44"/>
      <c r="C46" s="17"/>
      <c r="D46" s="17"/>
      <c r="E46" s="23"/>
      <c r="F46" s="52"/>
      <c r="G46" s="52"/>
      <c r="H46" s="52"/>
      <c r="I46" s="52"/>
      <c r="J46" s="53"/>
      <c r="K46" s="94"/>
      <c r="L46" s="58"/>
      <c r="M46" s="58"/>
      <c r="N46" s="94"/>
      <c r="S46" s="59"/>
      <c r="T46" s="59"/>
      <c r="U46" s="80"/>
      <c r="V46" s="80"/>
      <c r="W46" s="69"/>
      <c r="X46" s="74"/>
      <c r="Y46" s="74"/>
      <c r="Z46" s="74"/>
      <c r="AA46" s="74"/>
      <c r="AB46"/>
      <c r="AC46"/>
      <c r="AD46"/>
      <c r="AE46"/>
      <c r="AF46"/>
      <c r="AG46"/>
    </row>
    <row r="47" spans="1:33" ht="15.75" thickBot="1">
      <c r="A47" s="90"/>
      <c r="B47" s="45"/>
      <c r="C47" s="28"/>
      <c r="D47" s="28"/>
      <c r="E47" s="28"/>
      <c r="F47" s="60"/>
      <c r="G47" s="60"/>
      <c r="H47" s="60"/>
      <c r="I47" s="60"/>
      <c r="J47" s="50"/>
      <c r="K47" s="95"/>
      <c r="L47" s="61"/>
      <c r="M47" s="61"/>
      <c r="N47" s="95"/>
      <c r="O47" s="62"/>
      <c r="P47" s="62"/>
      <c r="Q47" s="62"/>
      <c r="R47" s="62"/>
      <c r="S47" s="63"/>
      <c r="T47" s="63"/>
      <c r="U47" s="82"/>
      <c r="V47" s="82"/>
      <c r="W47" s="70"/>
      <c r="X47" s="75"/>
      <c r="Y47" s="75"/>
      <c r="Z47" s="75"/>
      <c r="AA47" s="75"/>
      <c r="AB47"/>
      <c r="AC47"/>
      <c r="AD47"/>
      <c r="AE47"/>
      <c r="AF47"/>
      <c r="AG47"/>
    </row>
    <row r="48" spans="1:33">
      <c r="A48" s="89"/>
      <c r="B48" s="44"/>
      <c r="C48" s="17"/>
      <c r="D48" s="17"/>
      <c r="E48" s="23"/>
      <c r="G48" s="52"/>
      <c r="H48" s="52"/>
      <c r="I48" s="52"/>
      <c r="J48" s="53"/>
      <c r="K48" s="94"/>
      <c r="L48" s="52"/>
      <c r="M48" s="52"/>
      <c r="N48" s="94"/>
      <c r="O48" s="54"/>
      <c r="P48" s="54"/>
      <c r="Q48" s="54"/>
      <c r="R48" s="54"/>
      <c r="S48" s="54"/>
      <c r="T48" s="54"/>
      <c r="U48" s="78"/>
      <c r="V48" s="78"/>
      <c r="AB48"/>
      <c r="AC48"/>
      <c r="AD48"/>
      <c r="AE48"/>
      <c r="AF48"/>
      <c r="AG48"/>
    </row>
    <row r="49" spans="1:33" ht="15.75" thickBot="1">
      <c r="A49" s="89"/>
      <c r="B49" s="44"/>
      <c r="C49" s="17"/>
      <c r="D49" s="17"/>
      <c r="E49" s="23"/>
      <c r="F49" s="52"/>
      <c r="G49" s="52"/>
      <c r="H49" s="52"/>
      <c r="I49" s="52"/>
      <c r="J49" s="53"/>
      <c r="K49" s="94"/>
      <c r="L49" s="52"/>
      <c r="M49" s="52"/>
      <c r="N49" s="94"/>
      <c r="O49" s="57"/>
      <c r="P49" s="57"/>
      <c r="Q49" s="57"/>
      <c r="R49" s="57"/>
      <c r="S49" s="57"/>
      <c r="T49" s="57"/>
      <c r="U49" s="79"/>
      <c r="V49" s="79"/>
      <c r="AB49"/>
      <c r="AC49"/>
      <c r="AD49"/>
      <c r="AE49"/>
      <c r="AF49"/>
      <c r="AG49"/>
    </row>
    <row r="50" spans="1:33">
      <c r="A50" s="89"/>
      <c r="B50" s="44"/>
      <c r="C50" s="17"/>
      <c r="D50" s="17"/>
      <c r="E50" s="23"/>
      <c r="F50" s="52"/>
      <c r="G50" s="52"/>
      <c r="H50" s="52"/>
      <c r="I50" s="52"/>
      <c r="J50" s="53"/>
      <c r="K50" s="94"/>
      <c r="L50" s="58"/>
      <c r="M50" s="58"/>
      <c r="N50" s="94"/>
      <c r="S50" s="59"/>
      <c r="T50" s="59"/>
      <c r="U50" s="80"/>
      <c r="V50" s="80"/>
      <c r="W50" s="69"/>
      <c r="X50" s="74"/>
      <c r="Y50" s="74"/>
      <c r="Z50" s="74"/>
      <c r="AA50" s="74"/>
      <c r="AB50"/>
      <c r="AC50"/>
      <c r="AD50"/>
      <c r="AE50"/>
      <c r="AF50"/>
      <c r="AG50"/>
    </row>
    <row r="51" spans="1:33" ht="15.75" thickBot="1">
      <c r="A51" s="90"/>
      <c r="B51" s="45"/>
      <c r="C51" s="28"/>
      <c r="D51" s="28"/>
      <c r="E51" s="28"/>
      <c r="F51" s="60"/>
      <c r="G51" s="60"/>
      <c r="H51" s="60"/>
      <c r="I51" s="60"/>
      <c r="J51" s="50"/>
      <c r="K51" s="95"/>
      <c r="L51" s="61"/>
      <c r="M51" s="61"/>
      <c r="N51" s="95"/>
      <c r="O51" s="62"/>
      <c r="P51" s="62"/>
      <c r="Q51" s="62"/>
      <c r="R51" s="62"/>
      <c r="S51" s="63"/>
      <c r="T51" s="63"/>
      <c r="U51" s="82"/>
      <c r="V51" s="82"/>
      <c r="W51" s="70"/>
      <c r="X51" s="75"/>
      <c r="Y51" s="75"/>
      <c r="Z51" s="75"/>
      <c r="AA51" s="75"/>
      <c r="AB51"/>
      <c r="AC51"/>
      <c r="AD51"/>
      <c r="AE51"/>
      <c r="AF51"/>
      <c r="AG51"/>
    </row>
    <row r="52" spans="1:33">
      <c r="A52" s="89"/>
      <c r="B52" s="44"/>
      <c r="C52" s="17"/>
      <c r="D52" s="17"/>
      <c r="E52" s="23"/>
      <c r="G52" s="52"/>
      <c r="H52" s="52"/>
      <c r="I52" s="52"/>
      <c r="J52" s="85"/>
      <c r="K52" s="94"/>
      <c r="L52" s="52"/>
      <c r="M52" s="52"/>
      <c r="N52" s="94"/>
      <c r="O52" s="54"/>
      <c r="P52" s="54"/>
      <c r="Q52" s="54"/>
      <c r="R52" s="54"/>
      <c r="S52" s="54"/>
      <c r="T52" s="54"/>
      <c r="U52" s="78"/>
      <c r="V52" s="78"/>
      <c r="AB52"/>
      <c r="AC52"/>
      <c r="AD52"/>
      <c r="AE52"/>
      <c r="AF52"/>
      <c r="AG52"/>
    </row>
    <row r="53" spans="1:33" ht="15.75" thickBot="1">
      <c r="A53" s="89"/>
      <c r="B53" s="44"/>
      <c r="C53" s="17"/>
      <c r="D53" s="17"/>
      <c r="E53" s="23"/>
      <c r="F53" s="52"/>
      <c r="G53" s="52"/>
      <c r="H53" s="52"/>
      <c r="I53" s="52"/>
      <c r="J53" s="85"/>
      <c r="K53" s="94"/>
      <c r="L53" s="52"/>
      <c r="M53" s="52"/>
      <c r="N53" s="94"/>
      <c r="O53" s="57"/>
      <c r="P53" s="57"/>
      <c r="Q53" s="57"/>
      <c r="R53" s="57"/>
      <c r="S53" s="57"/>
      <c r="T53" s="57"/>
      <c r="U53" s="79"/>
      <c r="V53" s="79"/>
      <c r="AB53"/>
      <c r="AC53"/>
      <c r="AD53"/>
      <c r="AE53"/>
      <c r="AF53"/>
      <c r="AG53"/>
    </row>
    <row r="54" spans="1:33">
      <c r="A54" s="89"/>
      <c r="B54" s="44"/>
      <c r="C54" s="17"/>
      <c r="D54" s="17"/>
      <c r="E54" s="23"/>
      <c r="F54" s="52"/>
      <c r="G54" s="52"/>
      <c r="H54" s="52"/>
      <c r="I54" s="52"/>
      <c r="J54" s="85"/>
      <c r="K54" s="94"/>
      <c r="L54" s="58"/>
      <c r="M54" s="58"/>
      <c r="N54" s="94"/>
      <c r="S54" s="59"/>
      <c r="T54" s="59"/>
      <c r="U54" s="80"/>
      <c r="V54" s="80"/>
      <c r="W54" s="69"/>
      <c r="X54" s="74"/>
      <c r="Y54" s="74"/>
      <c r="Z54" s="74"/>
      <c r="AA54" s="74"/>
      <c r="AB54"/>
      <c r="AC54"/>
      <c r="AD54"/>
      <c r="AE54"/>
      <c r="AF54"/>
      <c r="AG54"/>
    </row>
    <row r="55" spans="1:33" ht="15.75" thickBot="1">
      <c r="A55" s="90"/>
      <c r="B55" s="45"/>
      <c r="C55" s="28"/>
      <c r="D55" s="28"/>
      <c r="E55" s="28"/>
      <c r="F55" s="60"/>
      <c r="G55" s="60"/>
      <c r="H55" s="60"/>
      <c r="I55" s="60"/>
      <c r="J55" s="86"/>
      <c r="K55" s="95"/>
      <c r="L55" s="61"/>
      <c r="M55" s="61"/>
      <c r="N55" s="95"/>
      <c r="O55" s="62"/>
      <c r="P55" s="62"/>
      <c r="Q55" s="62"/>
      <c r="R55" s="62"/>
      <c r="S55" s="63"/>
      <c r="T55" s="63"/>
      <c r="U55" s="82"/>
      <c r="V55" s="82"/>
      <c r="W55" s="70"/>
      <c r="X55" s="75"/>
      <c r="Y55" s="75"/>
      <c r="Z55" s="75"/>
      <c r="AA55" s="75"/>
      <c r="AB55"/>
      <c r="AC55"/>
      <c r="AD55"/>
      <c r="AE55"/>
      <c r="AF55"/>
      <c r="AG55"/>
    </row>
    <row r="56" spans="1:33">
      <c r="A56" s="91"/>
      <c r="B56"/>
      <c r="C56"/>
      <c r="D56"/>
      <c r="E56"/>
      <c r="F56" s="55"/>
      <c r="G56" s="55"/>
      <c r="H56" s="55"/>
      <c r="I56" s="55"/>
      <c r="J56" s="55"/>
      <c r="K56" s="55"/>
      <c r="L56" s="55"/>
      <c r="M56" s="55"/>
      <c r="AB56"/>
      <c r="AC56"/>
      <c r="AD56"/>
      <c r="AE56"/>
      <c r="AF56"/>
      <c r="AG56"/>
    </row>
    <row r="57" spans="1:33">
      <c r="A57" s="91"/>
      <c r="B57"/>
      <c r="C57"/>
      <c r="D57"/>
      <c r="E57"/>
      <c r="F57" s="55"/>
      <c r="G57" s="55"/>
      <c r="H57" s="55"/>
      <c r="I57" s="55"/>
      <c r="J57" s="55"/>
      <c r="K57" s="55"/>
      <c r="L57" s="55"/>
      <c r="M57" s="55"/>
      <c r="AB57"/>
      <c r="AC57"/>
      <c r="AD57"/>
      <c r="AE57"/>
      <c r="AF57"/>
      <c r="AG57"/>
    </row>
    <row r="58" spans="1:33">
      <c r="A58" s="91"/>
      <c r="B58"/>
      <c r="C58"/>
      <c r="D58"/>
      <c r="E58"/>
      <c r="F58" s="55"/>
      <c r="G58" s="55"/>
      <c r="H58" s="55"/>
      <c r="I58" s="55"/>
      <c r="J58" s="55"/>
      <c r="K58" s="55"/>
      <c r="L58" s="55"/>
      <c r="M58" s="55"/>
      <c r="AB58"/>
      <c r="AC58"/>
      <c r="AD58"/>
      <c r="AE58"/>
      <c r="AF58"/>
      <c r="AG58"/>
    </row>
    <row r="59" spans="1:33">
      <c r="A59" s="91"/>
      <c r="B59"/>
      <c r="C59"/>
      <c r="D59"/>
      <c r="E59"/>
      <c r="F59" s="55"/>
      <c r="G59" s="55"/>
      <c r="H59" s="55"/>
      <c r="I59" s="55"/>
      <c r="J59" s="55"/>
      <c r="K59" s="55"/>
      <c r="L59" s="55"/>
      <c r="M59" s="55"/>
      <c r="AB59"/>
      <c r="AC59"/>
      <c r="AD59"/>
      <c r="AE59"/>
      <c r="AF59"/>
      <c r="AG59"/>
    </row>
    <row r="60" spans="1:33">
      <c r="A60" s="91"/>
      <c r="B60"/>
      <c r="C60"/>
      <c r="D60"/>
      <c r="E60"/>
      <c r="F60" s="55"/>
      <c r="G60" s="55"/>
      <c r="H60" s="55"/>
      <c r="I60" s="55"/>
      <c r="J60" s="55"/>
      <c r="K60" s="55"/>
      <c r="L60" s="55"/>
      <c r="M60" s="55"/>
      <c r="AB60"/>
      <c r="AC60"/>
      <c r="AD60"/>
      <c r="AE60"/>
      <c r="AF60"/>
      <c r="AG60"/>
    </row>
    <row r="61" spans="1:33">
      <c r="A61" s="91"/>
      <c r="B61"/>
      <c r="C61"/>
      <c r="D61"/>
      <c r="E61"/>
      <c r="F61" s="55"/>
      <c r="G61" s="55"/>
      <c r="H61" s="55"/>
      <c r="I61" s="55"/>
      <c r="J61" s="55"/>
      <c r="K61" s="55"/>
      <c r="L61" s="55"/>
      <c r="M61" s="55"/>
      <c r="AB61"/>
      <c r="AC61"/>
      <c r="AD61"/>
      <c r="AE61"/>
      <c r="AF61"/>
      <c r="AG61"/>
    </row>
    <row r="62" spans="1:33">
      <c r="A62" s="91"/>
      <c r="B62"/>
      <c r="C62"/>
      <c r="D62"/>
      <c r="E62"/>
      <c r="F62" s="55"/>
      <c r="G62" s="55"/>
      <c r="H62" s="55"/>
      <c r="I62" s="55"/>
      <c r="J62" s="55"/>
      <c r="K62" s="55"/>
      <c r="L62" s="55"/>
      <c r="M62" s="55"/>
      <c r="AB62"/>
      <c r="AC62"/>
      <c r="AD62"/>
      <c r="AE62"/>
      <c r="AF62"/>
      <c r="AG62"/>
    </row>
    <row r="63" spans="1:33">
      <c r="A63" s="91"/>
      <c r="B63"/>
      <c r="C63"/>
      <c r="D63"/>
      <c r="E63"/>
      <c r="F63" s="55"/>
      <c r="G63" s="55"/>
      <c r="H63" s="55"/>
      <c r="I63" s="55"/>
      <c r="J63" s="55"/>
      <c r="K63" s="55"/>
      <c r="L63" s="55"/>
      <c r="M63" s="55"/>
      <c r="AB63"/>
      <c r="AC63"/>
      <c r="AD63"/>
      <c r="AE63"/>
      <c r="AF63"/>
      <c r="AG63"/>
    </row>
    <row r="64" spans="1:33">
      <c r="A64" s="91"/>
      <c r="B64"/>
      <c r="C64"/>
      <c r="D64"/>
      <c r="E64"/>
      <c r="F64" s="55"/>
      <c r="G64" s="55"/>
      <c r="H64" s="55"/>
      <c r="I64" s="55"/>
      <c r="J64" s="55"/>
      <c r="K64" s="55"/>
      <c r="L64" s="55"/>
      <c r="M64" s="55"/>
      <c r="AB64"/>
      <c r="AC64"/>
      <c r="AD64"/>
      <c r="AE64"/>
      <c r="AF64"/>
      <c r="AG64"/>
    </row>
    <row r="65" spans="1:33">
      <c r="A65" s="91"/>
      <c r="B65"/>
      <c r="C65"/>
      <c r="D65"/>
      <c r="E65"/>
      <c r="F65" s="55"/>
      <c r="G65" s="55"/>
      <c r="H65" s="55"/>
      <c r="I65" s="55"/>
      <c r="J65" s="55"/>
      <c r="K65" s="55"/>
      <c r="L65" s="55"/>
      <c r="M65" s="55"/>
      <c r="AB65"/>
      <c r="AC65"/>
      <c r="AD65"/>
      <c r="AE65"/>
      <c r="AF65"/>
      <c r="AG65"/>
    </row>
    <row r="66" spans="1:33">
      <c r="A66" s="91"/>
      <c r="B66"/>
      <c r="C66"/>
      <c r="D66"/>
      <c r="E66"/>
      <c r="F66" s="55"/>
      <c r="G66" s="55"/>
      <c r="H66" s="55"/>
      <c r="I66" s="55"/>
      <c r="J66" s="55"/>
      <c r="K66" s="55"/>
      <c r="L66" s="55"/>
      <c r="M66" s="55"/>
      <c r="AB66"/>
      <c r="AC66"/>
      <c r="AD66"/>
      <c r="AE66"/>
      <c r="AF66"/>
      <c r="AG66"/>
    </row>
    <row r="67" spans="1:33">
      <c r="A67" s="91"/>
      <c r="B67"/>
      <c r="C67"/>
      <c r="D67"/>
      <c r="E67"/>
      <c r="F67" s="55"/>
      <c r="G67" s="55"/>
      <c r="H67" s="55"/>
      <c r="I67" s="55"/>
      <c r="J67" s="55"/>
      <c r="K67" s="55"/>
      <c r="L67" s="55"/>
      <c r="M67" s="55"/>
      <c r="AB67"/>
      <c r="AC67"/>
      <c r="AD67"/>
      <c r="AE67"/>
      <c r="AF67"/>
      <c r="AG67"/>
    </row>
    <row r="68" spans="1:33">
      <c r="A68" s="91"/>
      <c r="B68"/>
      <c r="C68"/>
      <c r="D68"/>
      <c r="E68"/>
      <c r="F68" s="55"/>
      <c r="G68" s="55"/>
      <c r="H68" s="55"/>
      <c r="I68" s="55"/>
      <c r="J68" s="55"/>
      <c r="K68" s="55"/>
      <c r="L68" s="55"/>
      <c r="M68" s="55"/>
      <c r="AB68"/>
      <c r="AC68"/>
      <c r="AD68"/>
      <c r="AE68"/>
      <c r="AF68"/>
      <c r="AG68"/>
    </row>
    <row r="69" spans="1:33">
      <c r="A69" s="91"/>
      <c r="B69"/>
      <c r="C69"/>
      <c r="D69"/>
      <c r="E69"/>
      <c r="F69" s="55"/>
      <c r="G69" s="55"/>
      <c r="H69" s="55"/>
      <c r="I69" s="55"/>
      <c r="J69" s="55"/>
      <c r="K69" s="55"/>
      <c r="L69" s="55"/>
      <c r="M69" s="55"/>
      <c r="AB69"/>
      <c r="AC69"/>
      <c r="AD69"/>
      <c r="AE69"/>
      <c r="AF69"/>
      <c r="AG69"/>
    </row>
    <row r="70" spans="1:33">
      <c r="A70" s="91"/>
      <c r="B70"/>
      <c r="C70"/>
      <c r="D70"/>
      <c r="E70"/>
      <c r="F70" s="55"/>
      <c r="G70" s="55"/>
      <c r="H70" s="55"/>
      <c r="I70" s="55"/>
      <c r="J70" s="55"/>
      <c r="K70" s="55"/>
      <c r="L70" s="55"/>
      <c r="M70" s="55"/>
      <c r="AB70"/>
      <c r="AC70"/>
      <c r="AD70"/>
      <c r="AE70"/>
      <c r="AF70"/>
      <c r="AG70"/>
    </row>
    <row r="71" spans="1:33">
      <c r="A71" s="91"/>
      <c r="B71"/>
      <c r="C71"/>
      <c r="D71"/>
      <c r="E71"/>
      <c r="F71" s="55"/>
      <c r="G71" s="55"/>
      <c r="H71" s="55"/>
      <c r="I71" s="55"/>
      <c r="J71" s="55"/>
      <c r="K71" s="55"/>
      <c r="L71" s="55"/>
      <c r="M71" s="55"/>
      <c r="AB71"/>
      <c r="AC71"/>
      <c r="AD71"/>
      <c r="AE71"/>
      <c r="AF71"/>
      <c r="AG71"/>
    </row>
    <row r="72" spans="1:33">
      <c r="A72" s="91"/>
      <c r="B72"/>
      <c r="C72"/>
      <c r="D72"/>
      <c r="E72"/>
      <c r="F72" s="55"/>
      <c r="G72" s="55"/>
      <c r="H72" s="55"/>
      <c r="I72" s="55"/>
      <c r="J72" s="55"/>
      <c r="K72" s="55"/>
      <c r="L72" s="55"/>
      <c r="M72" s="55"/>
      <c r="AB72"/>
      <c r="AC72"/>
      <c r="AD72"/>
      <c r="AE72"/>
      <c r="AF72"/>
      <c r="AG72"/>
    </row>
    <row r="73" spans="1:33">
      <c r="A73" s="91"/>
      <c r="B73"/>
      <c r="C73"/>
      <c r="D73"/>
      <c r="E73"/>
      <c r="F73" s="55"/>
      <c r="G73" s="55"/>
      <c r="H73" s="55"/>
      <c r="I73" s="55"/>
      <c r="J73" s="55"/>
      <c r="K73" s="55"/>
      <c r="L73" s="55"/>
      <c r="M73" s="55"/>
      <c r="AB73"/>
      <c r="AC73"/>
      <c r="AD73"/>
      <c r="AE73"/>
      <c r="AF73"/>
      <c r="AG73"/>
    </row>
    <row r="74" spans="1:33">
      <c r="A74" s="91"/>
      <c r="B74"/>
      <c r="C74"/>
      <c r="D74"/>
      <c r="E74"/>
      <c r="F74" s="55"/>
      <c r="G74" s="55"/>
      <c r="H74" s="55"/>
      <c r="I74" s="55"/>
      <c r="J74" s="55"/>
      <c r="K74" s="55"/>
      <c r="L74" s="55"/>
      <c r="M74" s="55"/>
      <c r="AB74"/>
      <c r="AC74"/>
      <c r="AD74"/>
      <c r="AE74"/>
      <c r="AF74"/>
      <c r="AG74"/>
    </row>
    <row r="75" spans="1:33">
      <c r="A75" s="92"/>
      <c r="B75" s="40"/>
      <c r="C75" s="40"/>
      <c r="D75" s="40"/>
      <c r="E75" s="40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77"/>
      <c r="V75" s="77"/>
      <c r="W75" s="67"/>
      <c r="X75" s="72"/>
      <c r="Y75" s="72"/>
      <c r="Z75" s="72"/>
      <c r="AA75" s="72"/>
      <c r="AB75" s="40"/>
      <c r="AC75" s="40"/>
      <c r="AD75" s="40"/>
      <c r="AE75" s="40"/>
      <c r="AF75" s="40"/>
      <c r="AG75" s="40"/>
    </row>
    <row r="76" spans="1:33">
      <c r="A76" s="92"/>
      <c r="B76" s="40"/>
      <c r="C76" s="40"/>
      <c r="D76" s="40"/>
      <c r="E76" s="40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77"/>
      <c r="V76" s="77"/>
      <c r="W76" s="67"/>
      <c r="X76" s="72"/>
      <c r="Y76" s="72"/>
      <c r="Z76" s="72"/>
      <c r="AA76" s="72"/>
      <c r="AB76" s="40"/>
      <c r="AC76" s="40"/>
      <c r="AD76" s="40"/>
      <c r="AE76" s="40"/>
      <c r="AF76" s="40"/>
      <c r="AG76" s="40"/>
    </row>
    <row r="77" spans="1:33">
      <c r="A77" s="92"/>
      <c r="B77" s="40"/>
      <c r="C77" s="40"/>
      <c r="D77" s="40"/>
      <c r="E77" s="40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77"/>
      <c r="V77" s="77"/>
      <c r="W77" s="67"/>
      <c r="X77" s="72"/>
      <c r="Y77" s="72"/>
      <c r="Z77" s="72"/>
      <c r="AA77" s="72"/>
      <c r="AB77" s="40"/>
      <c r="AC77" s="40"/>
      <c r="AD77" s="40"/>
      <c r="AE77" s="40"/>
      <c r="AF77" s="40"/>
      <c r="AG77" s="40"/>
    </row>
    <row r="78" spans="1:33">
      <c r="A78" s="92"/>
      <c r="B78" s="40"/>
      <c r="C78" s="40"/>
      <c r="D78" s="40"/>
      <c r="E78" s="40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77"/>
      <c r="V78" s="77"/>
      <c r="W78" s="67"/>
      <c r="X78" s="72"/>
      <c r="Y78" s="72"/>
      <c r="Z78" s="72"/>
      <c r="AA78" s="72"/>
      <c r="AB78" s="40"/>
      <c r="AC78" s="40"/>
      <c r="AD78" s="40"/>
      <c r="AE78" s="40"/>
      <c r="AF78" s="40"/>
      <c r="AG78" s="40"/>
    </row>
    <row r="79" spans="1:33">
      <c r="A79" s="92"/>
      <c r="B79" s="40"/>
      <c r="C79" s="40"/>
      <c r="D79" s="40"/>
      <c r="E79" s="40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77"/>
      <c r="V79" s="77"/>
      <c r="W79" s="67"/>
      <c r="X79" s="72"/>
      <c r="Y79" s="72"/>
      <c r="Z79" s="72"/>
      <c r="AA79" s="72"/>
      <c r="AB79" s="40"/>
      <c r="AC79" s="40"/>
      <c r="AD79" s="40"/>
      <c r="AE79" s="40"/>
      <c r="AF79" s="40"/>
      <c r="AG79" s="40"/>
    </row>
    <row r="80" spans="1:33">
      <c r="A80" s="92"/>
      <c r="B80" s="40"/>
      <c r="C80" s="40"/>
      <c r="D80" s="40"/>
      <c r="E80" s="40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77"/>
      <c r="V80" s="77"/>
      <c r="W80" s="67"/>
      <c r="X80" s="72"/>
      <c r="Y80" s="72"/>
      <c r="Z80" s="72"/>
      <c r="AA80" s="72"/>
      <c r="AB80" s="40"/>
      <c r="AC80" s="40"/>
      <c r="AD80" s="40"/>
      <c r="AE80" s="40"/>
      <c r="AF80" s="40"/>
      <c r="AG80" s="40"/>
    </row>
    <row r="81" spans="1:33">
      <c r="A81" s="92"/>
      <c r="B81" s="40"/>
      <c r="C81" s="40"/>
      <c r="D81" s="40"/>
      <c r="E81" s="40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77"/>
      <c r="V81" s="77"/>
      <c r="W81" s="67"/>
      <c r="X81" s="72"/>
      <c r="Y81" s="72"/>
      <c r="Z81" s="72"/>
      <c r="AA81" s="72"/>
      <c r="AB81" s="40"/>
      <c r="AC81" s="40"/>
      <c r="AD81" s="40"/>
      <c r="AE81" s="40"/>
      <c r="AF81" s="40"/>
      <c r="AG81" s="40"/>
    </row>
    <row r="82" spans="1:33">
      <c r="A82" s="92"/>
      <c r="B82" s="40"/>
      <c r="C82" s="40"/>
      <c r="D82" s="40"/>
      <c r="E82" s="40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77"/>
      <c r="V82" s="77"/>
      <c r="W82" s="67"/>
      <c r="X82" s="72"/>
      <c r="Y82" s="72"/>
      <c r="Z82" s="72"/>
      <c r="AA82" s="72"/>
      <c r="AB82" s="40"/>
      <c r="AC82" s="40"/>
      <c r="AD82" s="40"/>
      <c r="AE82" s="40"/>
      <c r="AF82" s="40"/>
      <c r="AG82" s="40"/>
    </row>
    <row r="83" spans="1:33">
      <c r="A83" s="92"/>
      <c r="B83" s="40"/>
      <c r="C83" s="40"/>
      <c r="D83" s="40"/>
      <c r="E83" s="40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77"/>
      <c r="V83" s="77"/>
      <c r="W83" s="67"/>
      <c r="X83" s="72"/>
      <c r="Y83" s="72"/>
      <c r="Z83" s="72"/>
      <c r="AA83" s="72"/>
      <c r="AB83" s="40"/>
      <c r="AC83" s="40"/>
      <c r="AD83" s="40"/>
      <c r="AE83" s="40"/>
      <c r="AF83" s="40"/>
      <c r="AG83" s="40"/>
    </row>
    <row r="84" spans="1:33">
      <c r="A84" s="92"/>
      <c r="B84" s="40"/>
      <c r="C84" s="40"/>
      <c r="D84" s="40"/>
      <c r="E84" s="40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77"/>
      <c r="V84" s="77"/>
      <c r="W84" s="67"/>
      <c r="X84" s="72"/>
      <c r="Y84" s="72"/>
      <c r="Z84" s="72"/>
      <c r="AA84" s="72"/>
      <c r="AB84" s="40"/>
      <c r="AC84" s="40"/>
      <c r="AD84" s="40"/>
      <c r="AE84" s="40"/>
      <c r="AF84" s="40"/>
      <c r="AG84" s="40"/>
    </row>
    <row r="85" spans="1:33">
      <c r="A85" s="92"/>
      <c r="B85" s="40"/>
      <c r="C85" s="40"/>
      <c r="D85" s="40"/>
      <c r="E85" s="40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77"/>
      <c r="V85" s="77"/>
      <c r="W85" s="67"/>
      <c r="X85" s="72"/>
      <c r="Y85" s="72"/>
      <c r="Z85" s="72"/>
      <c r="AA85" s="72"/>
      <c r="AB85" s="40"/>
      <c r="AC85" s="40"/>
      <c r="AD85" s="40"/>
      <c r="AE85" s="40"/>
      <c r="AF85" s="40"/>
      <c r="AG85" s="40"/>
    </row>
    <row r="86" spans="1:33">
      <c r="A86" s="92"/>
      <c r="B86" s="40"/>
      <c r="C86" s="40"/>
      <c r="D86" s="40"/>
      <c r="E86" s="40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77"/>
      <c r="V86" s="77"/>
      <c r="W86" s="67"/>
      <c r="X86" s="72"/>
      <c r="Y86" s="72"/>
      <c r="Z86" s="72"/>
      <c r="AA86" s="72"/>
      <c r="AB86" s="40"/>
      <c r="AC86" s="40"/>
      <c r="AD86" s="40"/>
      <c r="AE86" s="40"/>
      <c r="AF86" s="40"/>
      <c r="AG86" s="40"/>
    </row>
    <row r="87" spans="1:33">
      <c r="A87" s="93"/>
      <c r="B87" s="40"/>
      <c r="C87" s="40"/>
      <c r="D87" s="39"/>
      <c r="E87" s="39"/>
      <c r="F87" s="49"/>
      <c r="G87" s="49"/>
      <c r="H87" s="49"/>
      <c r="I87" s="49"/>
      <c r="J87" s="49"/>
      <c r="K87" s="49"/>
      <c r="L87" s="48"/>
      <c r="M87" s="48"/>
      <c r="N87" s="49"/>
      <c r="O87" s="49"/>
      <c r="P87" s="49"/>
      <c r="Q87" s="49"/>
      <c r="R87" s="49"/>
      <c r="S87" s="49"/>
      <c r="T87" s="49"/>
      <c r="U87" s="77"/>
      <c r="V87" s="77"/>
      <c r="W87" s="67"/>
      <c r="X87" s="72"/>
      <c r="Y87" s="72"/>
      <c r="Z87" s="72"/>
      <c r="AA87" s="72"/>
      <c r="AB87" s="40"/>
      <c r="AC87" s="40"/>
      <c r="AD87" s="40"/>
      <c r="AE87" s="40"/>
      <c r="AF87" s="40"/>
      <c r="AG87" s="40"/>
    </row>
    <row r="88" spans="1:33">
      <c r="A88" s="93"/>
      <c r="B88" s="40"/>
      <c r="C88" s="40"/>
      <c r="D88" s="39"/>
      <c r="E88" s="39"/>
      <c r="F88" s="49"/>
      <c r="G88" s="49"/>
      <c r="H88" s="49"/>
      <c r="I88" s="49"/>
      <c r="J88" s="49"/>
      <c r="K88" s="49"/>
      <c r="L88" s="48"/>
      <c r="M88" s="48"/>
      <c r="N88" s="49"/>
      <c r="O88" s="49"/>
      <c r="P88" s="49"/>
      <c r="Q88" s="49"/>
      <c r="R88" s="49"/>
      <c r="S88" s="49"/>
      <c r="T88" s="49"/>
      <c r="U88" s="77"/>
      <c r="V88" s="77"/>
      <c r="W88" s="67"/>
      <c r="X88" s="72"/>
      <c r="Y88" s="72"/>
      <c r="Z88" s="72"/>
      <c r="AA88" s="72"/>
      <c r="AB88" s="40"/>
      <c r="AC88" s="40"/>
      <c r="AD88" s="40"/>
      <c r="AE88" s="40"/>
      <c r="AF88" s="40"/>
      <c r="AG88" s="40"/>
    </row>
    <row r="89" spans="1:33">
      <c r="A89" s="93"/>
      <c r="B89" s="40"/>
      <c r="C89" s="40"/>
      <c r="D89" s="39"/>
      <c r="E89" s="39"/>
      <c r="F89" s="49"/>
      <c r="G89" s="49"/>
      <c r="H89" s="49"/>
      <c r="I89" s="49"/>
      <c r="J89" s="49"/>
      <c r="K89" s="49"/>
      <c r="L89" s="48"/>
      <c r="M89" s="48"/>
      <c r="N89" s="49"/>
      <c r="O89" s="49"/>
      <c r="P89" s="49"/>
      <c r="Q89" s="49"/>
      <c r="R89" s="49"/>
      <c r="S89" s="49"/>
      <c r="T89" s="49"/>
      <c r="U89" s="77"/>
      <c r="V89" s="77"/>
      <c r="W89" s="67"/>
      <c r="X89" s="72"/>
      <c r="Y89" s="72"/>
      <c r="Z89" s="72"/>
      <c r="AA89" s="72"/>
      <c r="AB89" s="40"/>
      <c r="AC89" s="40"/>
      <c r="AD89" s="40"/>
      <c r="AE89" s="40"/>
      <c r="AF89" s="40"/>
      <c r="AG89" s="40"/>
    </row>
    <row r="90" spans="1:33">
      <c r="A90" s="93"/>
      <c r="B90" s="40"/>
      <c r="C90" s="40"/>
      <c r="D90" s="39"/>
      <c r="E90" s="39"/>
      <c r="F90" s="49"/>
      <c r="G90" s="49"/>
      <c r="H90" s="49"/>
      <c r="I90" s="49"/>
      <c r="J90" s="49"/>
      <c r="K90" s="49"/>
      <c r="L90" s="48"/>
      <c r="M90" s="48"/>
      <c r="N90" s="49"/>
      <c r="O90" s="49"/>
      <c r="P90" s="49"/>
      <c r="Q90" s="49"/>
      <c r="R90" s="49"/>
      <c r="S90" s="49"/>
      <c r="T90" s="49"/>
      <c r="U90" s="77"/>
      <c r="V90" s="77"/>
      <c r="W90" s="67"/>
      <c r="X90" s="72"/>
      <c r="Y90" s="72"/>
      <c r="Z90" s="72"/>
      <c r="AA90" s="72"/>
      <c r="AB90" s="40"/>
      <c r="AC90" s="40"/>
      <c r="AD90" s="40"/>
      <c r="AE90" s="40"/>
      <c r="AF90" s="40"/>
      <c r="AG90" s="40"/>
    </row>
    <row r="91" spans="1:33">
      <c r="A91" s="93"/>
      <c r="B91" s="40"/>
      <c r="C91" s="40"/>
      <c r="D91" s="39"/>
      <c r="E91" s="39"/>
      <c r="F91" s="49"/>
      <c r="G91" s="49"/>
      <c r="H91" s="49"/>
      <c r="I91" s="49"/>
      <c r="J91" s="49"/>
      <c r="K91" s="49"/>
      <c r="L91" s="48"/>
      <c r="M91" s="48"/>
      <c r="N91" s="49"/>
      <c r="O91" s="49"/>
      <c r="P91" s="49"/>
      <c r="Q91" s="49"/>
      <c r="R91" s="49"/>
      <c r="S91" s="49"/>
      <c r="T91" s="49"/>
      <c r="U91" s="77"/>
      <c r="V91" s="77"/>
      <c r="W91" s="67"/>
      <c r="X91" s="72"/>
      <c r="Y91" s="72"/>
      <c r="Z91" s="72"/>
      <c r="AA91" s="72"/>
      <c r="AB91" s="40"/>
      <c r="AC91" s="40"/>
      <c r="AD91" s="40"/>
      <c r="AE91" s="40"/>
      <c r="AF91" s="40"/>
      <c r="AG91" s="40"/>
    </row>
    <row r="92" spans="1:33">
      <c r="A92" s="93"/>
      <c r="B92" s="40"/>
      <c r="C92" s="40"/>
      <c r="D92" s="39"/>
      <c r="E92" s="39"/>
      <c r="F92" s="49"/>
      <c r="G92" s="49"/>
      <c r="H92" s="49"/>
      <c r="I92" s="49"/>
      <c r="J92" s="49"/>
      <c r="K92" s="49"/>
      <c r="L92" s="48"/>
      <c r="M92" s="48"/>
      <c r="N92" s="49"/>
      <c r="O92" s="49"/>
      <c r="P92" s="49"/>
      <c r="Q92" s="49"/>
      <c r="R92" s="49"/>
      <c r="S92" s="49"/>
      <c r="T92" s="49"/>
      <c r="U92" s="77"/>
      <c r="V92" s="77"/>
      <c r="W92" s="67"/>
      <c r="X92" s="72"/>
      <c r="Y92" s="72"/>
      <c r="Z92" s="72"/>
      <c r="AA92" s="72"/>
      <c r="AB92" s="40"/>
      <c r="AC92" s="40"/>
      <c r="AD92" s="40"/>
      <c r="AE92" s="40"/>
      <c r="AF92" s="40"/>
      <c r="AG92" s="40"/>
    </row>
    <row r="93" spans="1:33">
      <c r="A93" s="93"/>
      <c r="B93" s="40"/>
      <c r="C93" s="40"/>
      <c r="D93" s="39"/>
      <c r="E93" s="39"/>
      <c r="F93" s="49"/>
      <c r="G93" s="49"/>
      <c r="H93" s="49"/>
      <c r="I93" s="49"/>
      <c r="J93" s="49"/>
      <c r="K93" s="49"/>
      <c r="L93" s="48"/>
      <c r="M93" s="48"/>
      <c r="N93" s="49"/>
      <c r="O93" s="49"/>
      <c r="P93" s="49"/>
      <c r="Q93" s="49"/>
      <c r="R93" s="49"/>
      <c r="S93" s="49"/>
      <c r="T93" s="49"/>
      <c r="U93" s="77"/>
      <c r="V93" s="77"/>
      <c r="W93" s="67"/>
      <c r="X93" s="72"/>
      <c r="Y93" s="72"/>
      <c r="Z93" s="72"/>
      <c r="AA93" s="72"/>
      <c r="AB93" s="40"/>
      <c r="AC93" s="40"/>
      <c r="AD93" s="40"/>
      <c r="AE93" s="40"/>
      <c r="AF93" s="40"/>
      <c r="AG93" s="40"/>
    </row>
    <row r="94" spans="1:33">
      <c r="A94" s="93"/>
      <c r="B94" s="40"/>
      <c r="C94" s="40"/>
      <c r="D94" s="39"/>
      <c r="E94" s="39"/>
      <c r="F94" s="49"/>
      <c r="G94" s="49"/>
      <c r="H94" s="49"/>
      <c r="I94" s="49"/>
      <c r="J94" s="49"/>
      <c r="K94" s="49"/>
      <c r="L94" s="48"/>
      <c r="M94" s="48"/>
      <c r="N94" s="49"/>
      <c r="O94" s="49"/>
      <c r="P94" s="49"/>
      <c r="Q94" s="49"/>
      <c r="R94" s="49"/>
      <c r="S94" s="49"/>
      <c r="T94" s="49"/>
      <c r="U94" s="77"/>
      <c r="V94" s="77"/>
      <c r="W94" s="67"/>
      <c r="X94" s="72"/>
      <c r="Y94" s="72"/>
      <c r="Z94" s="72"/>
      <c r="AA94" s="72"/>
      <c r="AB94" s="40"/>
      <c r="AC94" s="40"/>
      <c r="AD94" s="40"/>
      <c r="AE94" s="40"/>
      <c r="AF94" s="40"/>
      <c r="AG94" s="40"/>
    </row>
    <row r="95" spans="1:33">
      <c r="A95" s="93"/>
      <c r="B95" s="40"/>
      <c r="C95" s="40"/>
      <c r="D95" s="39"/>
      <c r="E95" s="39"/>
      <c r="F95" s="49"/>
      <c r="G95" s="49"/>
      <c r="H95" s="49"/>
      <c r="I95" s="49"/>
      <c r="J95" s="49"/>
      <c r="K95" s="49"/>
      <c r="L95" s="48"/>
      <c r="M95" s="48"/>
      <c r="N95" s="49"/>
      <c r="O95" s="49"/>
      <c r="P95" s="49"/>
      <c r="Q95" s="49"/>
      <c r="R95" s="49"/>
      <c r="S95" s="49"/>
      <c r="T95" s="49"/>
      <c r="U95" s="77"/>
      <c r="V95" s="77"/>
      <c r="W95" s="67"/>
      <c r="X95" s="72"/>
      <c r="Y95" s="72"/>
      <c r="Z95" s="72"/>
      <c r="AA95" s="72"/>
      <c r="AB95" s="40"/>
      <c r="AC95" s="40"/>
      <c r="AD95" s="40"/>
      <c r="AE95" s="40"/>
      <c r="AF95" s="40"/>
      <c r="AG95" s="40"/>
    </row>
    <row r="96" spans="1:33">
      <c r="A96" s="93"/>
      <c r="B96" s="40"/>
      <c r="C96" s="40"/>
      <c r="D96" s="39"/>
      <c r="E96" s="39"/>
      <c r="F96" s="49"/>
      <c r="G96" s="49"/>
      <c r="H96" s="49"/>
      <c r="I96" s="49"/>
      <c r="J96" s="49"/>
      <c r="K96" s="49"/>
      <c r="L96" s="48"/>
      <c r="M96" s="48"/>
      <c r="N96" s="49"/>
      <c r="O96" s="49"/>
      <c r="P96" s="49"/>
      <c r="Q96" s="49"/>
      <c r="R96" s="49"/>
      <c r="S96" s="49"/>
      <c r="T96" s="49"/>
      <c r="U96" s="77"/>
      <c r="V96" s="77"/>
      <c r="W96" s="67"/>
      <c r="X96" s="72"/>
      <c r="Y96" s="72"/>
      <c r="Z96" s="72"/>
      <c r="AA96" s="72"/>
      <c r="AB96" s="40"/>
      <c r="AC96" s="40"/>
      <c r="AD96" s="40"/>
      <c r="AE96" s="40"/>
      <c r="AF96" s="40"/>
      <c r="AG96" s="40"/>
    </row>
    <row r="97" spans="1:33">
      <c r="A97" s="93"/>
      <c r="B97" s="40"/>
      <c r="C97" s="40"/>
      <c r="D97" s="39"/>
      <c r="E97" s="39"/>
      <c r="F97" s="49"/>
      <c r="G97" s="49"/>
      <c r="H97" s="49"/>
      <c r="I97" s="49"/>
      <c r="J97" s="49"/>
      <c r="K97" s="49"/>
      <c r="L97" s="48"/>
      <c r="M97" s="48"/>
      <c r="N97" s="49"/>
      <c r="O97" s="49"/>
      <c r="P97" s="49"/>
      <c r="Q97" s="49"/>
      <c r="R97" s="49"/>
      <c r="S97" s="49"/>
      <c r="T97" s="49"/>
      <c r="U97" s="77"/>
      <c r="V97" s="77"/>
      <c r="W97" s="67"/>
      <c r="X97" s="72"/>
      <c r="Y97" s="72"/>
      <c r="Z97" s="72"/>
      <c r="AA97" s="72"/>
      <c r="AB97" s="40"/>
      <c r="AC97" s="40"/>
      <c r="AD97" s="40"/>
      <c r="AE97" s="40"/>
      <c r="AF97" s="40"/>
      <c r="AG97" s="40"/>
    </row>
    <row r="98" spans="1:33">
      <c r="A98" s="93"/>
      <c r="B98" s="40"/>
      <c r="C98" s="40"/>
      <c r="D98" s="39"/>
      <c r="E98" s="39"/>
      <c r="F98" s="49"/>
      <c r="G98" s="49"/>
      <c r="H98" s="49"/>
      <c r="I98" s="49"/>
      <c r="J98" s="49"/>
      <c r="K98" s="49"/>
      <c r="L98" s="48"/>
      <c r="M98" s="48"/>
      <c r="N98" s="49"/>
      <c r="O98" s="49"/>
      <c r="P98" s="49"/>
      <c r="Q98" s="49"/>
      <c r="R98" s="49"/>
      <c r="S98" s="49"/>
      <c r="T98" s="49"/>
      <c r="U98" s="77"/>
      <c r="V98" s="77"/>
      <c r="W98" s="67"/>
      <c r="X98" s="72"/>
      <c r="Y98" s="72"/>
      <c r="Z98" s="72"/>
      <c r="AA98" s="72"/>
      <c r="AB98" s="40"/>
      <c r="AC98" s="40"/>
      <c r="AD98" s="40"/>
      <c r="AE98" s="40"/>
      <c r="AF98" s="40"/>
      <c r="AG98" s="40"/>
    </row>
    <row r="99" spans="1:33">
      <c r="A99" s="93"/>
      <c r="B99" s="40"/>
      <c r="C99" s="40"/>
      <c r="D99" s="39"/>
      <c r="E99" s="39"/>
      <c r="F99" s="49"/>
      <c r="G99" s="49"/>
      <c r="H99" s="49"/>
      <c r="I99" s="49"/>
      <c r="J99" s="49"/>
      <c r="K99" s="49"/>
      <c r="L99" s="48"/>
      <c r="M99" s="48"/>
      <c r="N99" s="49"/>
      <c r="O99" s="49"/>
      <c r="P99" s="49"/>
      <c r="Q99" s="49"/>
      <c r="R99" s="49"/>
      <c r="S99" s="49"/>
      <c r="T99" s="49"/>
      <c r="U99" s="77"/>
      <c r="V99" s="77"/>
      <c r="W99" s="67"/>
      <c r="X99" s="72"/>
      <c r="Y99" s="72"/>
      <c r="Z99" s="72"/>
      <c r="AA99" s="72"/>
      <c r="AB99" s="40"/>
      <c r="AC99" s="40"/>
      <c r="AD99" s="40"/>
      <c r="AE99" s="40"/>
      <c r="AF99" s="40"/>
      <c r="AG99" s="40"/>
    </row>
    <row r="100" spans="1:33">
      <c r="A100" s="93"/>
      <c r="B100" s="40"/>
      <c r="C100" s="40"/>
      <c r="D100" s="39"/>
      <c r="E100" s="39"/>
      <c r="F100" s="49"/>
      <c r="G100" s="49"/>
      <c r="H100" s="49"/>
      <c r="I100" s="49"/>
      <c r="J100" s="49"/>
      <c r="K100" s="49"/>
      <c r="L100" s="48"/>
      <c r="M100" s="48"/>
      <c r="N100" s="49"/>
      <c r="O100" s="49"/>
      <c r="P100" s="49"/>
      <c r="Q100" s="49"/>
      <c r="R100" s="49"/>
      <c r="S100" s="49"/>
      <c r="T100" s="49"/>
      <c r="U100" s="77"/>
      <c r="V100" s="77"/>
      <c r="W100" s="67"/>
      <c r="X100" s="72"/>
      <c r="Y100" s="72"/>
      <c r="Z100" s="72"/>
      <c r="AA100" s="72"/>
      <c r="AB100" s="40"/>
      <c r="AC100" s="40"/>
      <c r="AD100" s="40"/>
      <c r="AE100" s="40"/>
      <c r="AF100" s="40"/>
      <c r="AG100" s="40"/>
    </row>
    <row r="101" spans="1:33">
      <c r="A101" s="93"/>
      <c r="B101" s="40"/>
      <c r="C101" s="40"/>
      <c r="D101" s="39"/>
      <c r="E101" s="39"/>
      <c r="F101" s="46"/>
      <c r="G101" s="49"/>
      <c r="H101" s="49"/>
      <c r="I101" s="49"/>
      <c r="J101" s="49"/>
      <c r="K101" s="49"/>
      <c r="L101" s="48"/>
      <c r="M101" s="48"/>
      <c r="N101" s="49"/>
      <c r="O101" s="49"/>
      <c r="P101" s="49"/>
      <c r="Q101" s="49"/>
      <c r="R101" s="49"/>
      <c r="S101" s="49"/>
      <c r="T101" s="49"/>
      <c r="U101" s="77"/>
      <c r="V101" s="77"/>
      <c r="W101" s="67"/>
      <c r="X101" s="72"/>
      <c r="Y101" s="72"/>
      <c r="Z101" s="72"/>
      <c r="AA101" s="72"/>
      <c r="AB101" s="40"/>
      <c r="AC101" s="40"/>
      <c r="AD101" s="40"/>
      <c r="AE101" s="40"/>
      <c r="AF101" s="40"/>
      <c r="AG101" s="40"/>
    </row>
  </sheetData>
  <sortState ref="A3:AF446">
    <sortCondition ref="F60:F67"/>
  </sortState>
  <mergeCells count="26">
    <mergeCell ref="K52:K55"/>
    <mergeCell ref="N52:N55"/>
    <mergeCell ref="K28:K31"/>
    <mergeCell ref="N28:N31"/>
    <mergeCell ref="K32:K35"/>
    <mergeCell ref="N32:N35"/>
    <mergeCell ref="K36:K39"/>
    <mergeCell ref="N36:N39"/>
    <mergeCell ref="K16:K19"/>
    <mergeCell ref="N16:N19"/>
    <mergeCell ref="K20:K23"/>
    <mergeCell ref="N20:N23"/>
    <mergeCell ref="K24:K27"/>
    <mergeCell ref="N24:N27"/>
    <mergeCell ref="N4:N7"/>
    <mergeCell ref="K4:K7"/>
    <mergeCell ref="K8:K11"/>
    <mergeCell ref="N8:N11"/>
    <mergeCell ref="K12:K15"/>
    <mergeCell ref="N12:N15"/>
    <mergeCell ref="K40:K43"/>
    <mergeCell ref="N40:N43"/>
    <mergeCell ref="K44:K47"/>
    <mergeCell ref="N44:N47"/>
    <mergeCell ref="K48:K51"/>
    <mergeCell ref="N48:N51"/>
  </mergeCells>
  <conditionalFormatting sqref="G4">
    <cfRule type="duplicateValues" dxfId="1097" priority="2642"/>
  </conditionalFormatting>
  <conditionalFormatting sqref="H6:H7">
    <cfRule type="duplicateValues" dxfId="1096" priority="2641"/>
  </conditionalFormatting>
  <conditionalFormatting sqref="I6:I7">
    <cfRule type="duplicateValues" dxfId="1095" priority="2640"/>
  </conditionalFormatting>
  <conditionalFormatting sqref="G4:G7">
    <cfRule type="duplicateValues" dxfId="1094" priority="2639"/>
  </conditionalFormatting>
  <conditionalFormatting sqref="H6:H7">
    <cfRule type="duplicateValues" dxfId="1093" priority="2634"/>
    <cfRule type="duplicateValues" dxfId="1092" priority="2635"/>
    <cfRule type="duplicateValues" dxfId="1091" priority="2636"/>
    <cfRule type="duplicateValues" dxfId="1090" priority="2637"/>
    <cfRule type="duplicateValues" dxfId="1089" priority="2638"/>
  </conditionalFormatting>
  <conditionalFormatting sqref="G8">
    <cfRule type="duplicateValues" dxfId="1088" priority="2633"/>
  </conditionalFormatting>
  <conditionalFormatting sqref="H8:H11">
    <cfRule type="duplicateValues" dxfId="1087" priority="2632"/>
  </conditionalFormatting>
  <conditionalFormatting sqref="I8:I11">
    <cfRule type="duplicateValues" dxfId="1086" priority="2631"/>
  </conditionalFormatting>
  <conditionalFormatting sqref="G8:G11">
    <cfRule type="duplicateValues" dxfId="1085" priority="2630"/>
  </conditionalFormatting>
  <conditionalFormatting sqref="H8:H11">
    <cfRule type="duplicateValues" dxfId="1084" priority="2625"/>
    <cfRule type="duplicateValues" dxfId="1083" priority="2626"/>
    <cfRule type="duplicateValues" dxfId="1082" priority="2627"/>
    <cfRule type="duplicateValues" dxfId="1081" priority="2628"/>
    <cfRule type="duplicateValues" dxfId="1080" priority="2629"/>
  </conditionalFormatting>
  <conditionalFormatting sqref="G4:G11">
    <cfRule type="duplicateValues" dxfId="1079" priority="2624"/>
  </conditionalFormatting>
  <conditionalFormatting sqref="A6:A7">
    <cfRule type="duplicateValues" dxfId="1078" priority="2622"/>
    <cfRule type="duplicateValues" dxfId="1077" priority="2623"/>
  </conditionalFormatting>
  <conditionalFormatting sqref="A10:A11">
    <cfRule type="duplicateValues" dxfId="1076" priority="2620"/>
    <cfRule type="duplicateValues" dxfId="1075" priority="2621"/>
  </conditionalFormatting>
  <conditionalFormatting sqref="I4:I11">
    <cfRule type="duplicateValues" dxfId="1074" priority="2619"/>
  </conditionalFormatting>
  <conditionalFormatting sqref="A4:A11">
    <cfRule type="duplicateValues" dxfId="1073" priority="2618"/>
  </conditionalFormatting>
  <conditionalFormatting sqref="H4:H11">
    <cfRule type="duplicateValues" dxfId="1072" priority="2617"/>
  </conditionalFormatting>
  <conditionalFormatting sqref="A4:A7">
    <cfRule type="duplicateValues" dxfId="1071" priority="2613"/>
  </conditionalFormatting>
  <conditionalFormatting sqref="A8:A11">
    <cfRule type="duplicateValues" dxfId="1070" priority="2610"/>
  </conditionalFormatting>
  <conditionalFormatting sqref="G12">
    <cfRule type="duplicateValues" dxfId="1069" priority="2609"/>
  </conditionalFormatting>
  <conditionalFormatting sqref="H14:H15">
    <cfRule type="duplicateValues" dxfId="1068" priority="2608"/>
  </conditionalFormatting>
  <conditionalFormatting sqref="I14:I15">
    <cfRule type="duplicateValues" dxfId="1067" priority="2607"/>
  </conditionalFormatting>
  <conditionalFormatting sqref="G12:G15">
    <cfRule type="duplicateValues" dxfId="1066" priority="2606"/>
  </conditionalFormatting>
  <conditionalFormatting sqref="H14:H15">
    <cfRule type="duplicateValues" dxfId="1065" priority="2601"/>
    <cfRule type="duplicateValues" dxfId="1064" priority="2602"/>
    <cfRule type="duplicateValues" dxfId="1063" priority="2603"/>
    <cfRule type="duplicateValues" dxfId="1062" priority="2604"/>
    <cfRule type="duplicateValues" dxfId="1061" priority="2605"/>
  </conditionalFormatting>
  <conditionalFormatting sqref="A14:A15">
    <cfRule type="duplicateValues" dxfId="1060" priority="2598"/>
    <cfRule type="duplicateValues" dxfId="1059" priority="2599"/>
  </conditionalFormatting>
  <conditionalFormatting sqref="I12:I15">
    <cfRule type="duplicateValues" dxfId="1058" priority="2597"/>
  </conditionalFormatting>
  <conditionalFormatting sqref="A12:A15">
    <cfRule type="duplicateValues" dxfId="1057" priority="2596"/>
  </conditionalFormatting>
  <conditionalFormatting sqref="H12:H15">
    <cfRule type="duplicateValues" dxfId="1056" priority="2595"/>
  </conditionalFormatting>
  <conditionalFormatting sqref="I4:I15">
    <cfRule type="duplicateValues" dxfId="1055" priority="2590"/>
  </conditionalFormatting>
  <conditionalFormatting sqref="O4:O5">
    <cfRule type="duplicateValues" dxfId="1054" priority="2499"/>
  </conditionalFormatting>
  <conditionalFormatting sqref="O5">
    <cfRule type="duplicateValues" dxfId="1053" priority="2498"/>
  </conditionalFormatting>
  <conditionalFormatting sqref="P5">
    <cfRule type="duplicateValues" dxfId="1052" priority="2496"/>
  </conditionalFormatting>
  <conditionalFormatting sqref="Q6:Q7">
    <cfRule type="duplicateValues" dxfId="1051" priority="2495"/>
  </conditionalFormatting>
  <conditionalFormatting sqref="P6:P7">
    <cfRule type="duplicateValues" dxfId="1050" priority="2494"/>
  </conditionalFormatting>
  <conditionalFormatting sqref="O8:O9">
    <cfRule type="duplicateValues" dxfId="1049" priority="2493"/>
  </conditionalFormatting>
  <conditionalFormatting sqref="O9">
    <cfRule type="duplicateValues" dxfId="1048" priority="2492"/>
  </conditionalFormatting>
  <conditionalFormatting sqref="P10:P11">
    <cfRule type="duplicateValues" dxfId="1047" priority="2490"/>
  </conditionalFormatting>
  <conditionalFormatting sqref="P9">
    <cfRule type="duplicateValues" dxfId="1046" priority="2489"/>
  </conditionalFormatting>
  <conditionalFormatting sqref="R10:R11">
    <cfRule type="duplicateValues" dxfId="1045" priority="2488"/>
  </conditionalFormatting>
  <conditionalFormatting sqref="P6:P7 R10:R11">
    <cfRule type="duplicateValues" dxfId="1044" priority="2487"/>
  </conditionalFormatting>
  <conditionalFormatting sqref="P6:P7 U5 R10:R11">
    <cfRule type="duplicateValues" dxfId="1043" priority="2486"/>
  </conditionalFormatting>
  <conditionalFormatting sqref="R6:R7">
    <cfRule type="duplicateValues" dxfId="1042" priority="2484"/>
  </conditionalFormatting>
  <conditionalFormatting sqref="R6:R7 R10:R11">
    <cfRule type="duplicateValues" dxfId="1041" priority="2483"/>
  </conditionalFormatting>
  <conditionalFormatting sqref="S8:S9 P10:P11 P6:P7">
    <cfRule type="duplicateValues" dxfId="1040" priority="2482"/>
  </conditionalFormatting>
  <conditionalFormatting sqref="V4:V5">
    <cfRule type="duplicateValues" dxfId="1039" priority="2481"/>
  </conditionalFormatting>
  <conditionalFormatting sqref="S10:S11">
    <cfRule type="duplicateValues" dxfId="1038" priority="2480"/>
  </conditionalFormatting>
  <conditionalFormatting sqref="U8:U9">
    <cfRule type="duplicateValues" dxfId="1037" priority="2479"/>
  </conditionalFormatting>
  <conditionalFormatting sqref="S6:S7">
    <cfRule type="duplicateValues" dxfId="1036" priority="2478"/>
  </conditionalFormatting>
  <conditionalFormatting sqref="S6:S7">
    <cfRule type="duplicateValues" dxfId="1035" priority="2476"/>
    <cfRule type="duplicateValues" dxfId="1034" priority="2477"/>
  </conditionalFormatting>
  <conditionalFormatting sqref="V8:V9 S10:S11 S6:S7">
    <cfRule type="duplicateValues" dxfId="1033" priority="2475"/>
  </conditionalFormatting>
  <conditionalFormatting sqref="V8:V9 U10:U11 U6:U7">
    <cfRule type="duplicateValues" dxfId="1032" priority="2473"/>
    <cfRule type="duplicateValues" dxfId="1031" priority="2474"/>
  </conditionalFormatting>
  <conditionalFormatting sqref="Y4:Y8 Y10:Y11">
    <cfRule type="duplicateValues" dxfId="1030" priority="2472"/>
  </conditionalFormatting>
  <conditionalFormatting sqref="P6:P7 U5">
    <cfRule type="duplicateValues" dxfId="1029" priority="2464"/>
  </conditionalFormatting>
  <conditionalFormatting sqref="U6:U7">
    <cfRule type="duplicateValues" dxfId="1028" priority="2454"/>
    <cfRule type="duplicateValues" dxfId="1027" priority="2455"/>
  </conditionalFormatting>
  <conditionalFormatting sqref="Y4:Y7">
    <cfRule type="duplicateValues" dxfId="1026" priority="2453"/>
  </conditionalFormatting>
  <conditionalFormatting sqref="T6:T7">
    <cfRule type="duplicateValues" dxfId="1025" priority="2452"/>
  </conditionalFormatting>
  <conditionalFormatting sqref="Q10:Q11">
    <cfRule type="duplicateValues" dxfId="1024" priority="2447"/>
  </conditionalFormatting>
  <conditionalFormatting sqref="P10:P11 U9">
    <cfRule type="duplicateValues" dxfId="1023" priority="2444"/>
  </conditionalFormatting>
  <conditionalFormatting sqref="V8:V9">
    <cfRule type="duplicateValues" dxfId="1022" priority="2440"/>
  </conditionalFormatting>
  <conditionalFormatting sqref="S10:S11">
    <cfRule type="duplicateValues" dxfId="1021" priority="2437"/>
    <cfRule type="duplicateValues" dxfId="1020" priority="2438"/>
  </conditionalFormatting>
  <conditionalFormatting sqref="U10:U11">
    <cfRule type="duplicateValues" dxfId="1019" priority="2434"/>
    <cfRule type="duplicateValues" dxfId="1018" priority="2435"/>
  </conditionalFormatting>
  <conditionalFormatting sqref="Y8 Y10:Y11">
    <cfRule type="duplicateValues" dxfId="1017" priority="2433"/>
  </conditionalFormatting>
  <conditionalFormatting sqref="T10:T11">
    <cfRule type="duplicateValues" dxfId="1016" priority="2432"/>
  </conditionalFormatting>
  <conditionalFormatting sqref="O12:O13">
    <cfRule type="duplicateValues" dxfId="1015" priority="2431"/>
  </conditionalFormatting>
  <conditionalFormatting sqref="O13">
    <cfRule type="duplicateValues" dxfId="1014" priority="2430"/>
  </conditionalFormatting>
  <conditionalFormatting sqref="O14:O15">
    <cfRule type="duplicateValues" dxfId="1013" priority="2429"/>
  </conditionalFormatting>
  <conditionalFormatting sqref="P13">
    <cfRule type="duplicateValues" dxfId="1012" priority="2428"/>
  </conditionalFormatting>
  <conditionalFormatting sqref="R14:R15">
    <cfRule type="duplicateValues" dxfId="1011" priority="2427"/>
  </conditionalFormatting>
  <conditionalFormatting sqref="Q14:Q15">
    <cfRule type="duplicateValues" dxfId="1010" priority="2426"/>
  </conditionalFormatting>
  <conditionalFormatting sqref="Q14:Q15 U13">
    <cfRule type="duplicateValues" dxfId="1009" priority="2424"/>
  </conditionalFormatting>
  <conditionalFormatting sqref="S14:S15">
    <cfRule type="duplicateValues" dxfId="1008" priority="2423"/>
  </conditionalFormatting>
  <conditionalFormatting sqref="V12:V13">
    <cfRule type="duplicateValues" dxfId="1007" priority="2420"/>
  </conditionalFormatting>
  <conditionalFormatting sqref="T14:T15">
    <cfRule type="duplicateValues" dxfId="1006" priority="2419"/>
  </conditionalFormatting>
  <conditionalFormatting sqref="T14:T15">
    <cfRule type="duplicateValues" dxfId="1005" priority="2417"/>
    <cfRule type="duplicateValues" dxfId="1004" priority="2418"/>
  </conditionalFormatting>
  <conditionalFormatting sqref="V14:V15">
    <cfRule type="duplicateValues" dxfId="1003" priority="2414"/>
    <cfRule type="duplicateValues" dxfId="1002" priority="2415"/>
  </conditionalFormatting>
  <conditionalFormatting sqref="Y12:Y15">
    <cfRule type="duplicateValues" dxfId="1001" priority="2413"/>
  </conditionalFormatting>
  <conditionalFormatting sqref="U14:U15">
    <cfRule type="duplicateValues" dxfId="1000" priority="2393"/>
  </conditionalFormatting>
  <conditionalFormatting sqref="G16">
    <cfRule type="duplicateValues" dxfId="999" priority="2392"/>
  </conditionalFormatting>
  <conditionalFormatting sqref="H18:H19">
    <cfRule type="duplicateValues" dxfId="998" priority="2391"/>
  </conditionalFormatting>
  <conditionalFormatting sqref="I18:I19">
    <cfRule type="duplicateValues" dxfId="997" priority="2390"/>
  </conditionalFormatting>
  <conditionalFormatting sqref="G16:G19">
    <cfRule type="duplicateValues" dxfId="996" priority="2389"/>
  </conditionalFormatting>
  <conditionalFormatting sqref="H18:H19">
    <cfRule type="duplicateValues" dxfId="995" priority="2384"/>
    <cfRule type="duplicateValues" dxfId="994" priority="2385"/>
    <cfRule type="duplicateValues" dxfId="993" priority="2386"/>
    <cfRule type="duplicateValues" dxfId="992" priority="2387"/>
    <cfRule type="duplicateValues" dxfId="991" priority="2388"/>
  </conditionalFormatting>
  <conditionalFormatting sqref="G20">
    <cfRule type="duplicateValues" dxfId="990" priority="2383"/>
  </conditionalFormatting>
  <conditionalFormatting sqref="H20:H23">
    <cfRule type="duplicateValues" dxfId="989" priority="2382"/>
  </conditionalFormatting>
  <conditionalFormatting sqref="I20:I23">
    <cfRule type="duplicateValues" dxfId="988" priority="2381"/>
  </conditionalFormatting>
  <conditionalFormatting sqref="G20:G23">
    <cfRule type="duplicateValues" dxfId="987" priority="2380"/>
  </conditionalFormatting>
  <conditionalFormatting sqref="H20:H23">
    <cfRule type="duplicateValues" dxfId="986" priority="2375"/>
    <cfRule type="duplicateValues" dxfId="985" priority="2376"/>
    <cfRule type="duplicateValues" dxfId="984" priority="2377"/>
    <cfRule type="duplicateValues" dxfId="983" priority="2378"/>
    <cfRule type="duplicateValues" dxfId="982" priority="2379"/>
  </conditionalFormatting>
  <conditionalFormatting sqref="G16:G23">
    <cfRule type="duplicateValues" dxfId="981" priority="2374"/>
  </conditionalFormatting>
  <conditionalFormatting sqref="A18:A19">
    <cfRule type="duplicateValues" dxfId="980" priority="2372"/>
    <cfRule type="duplicateValues" dxfId="979" priority="2373"/>
  </conditionalFormatting>
  <conditionalFormatting sqref="A22:A23">
    <cfRule type="duplicateValues" dxfId="978" priority="2370"/>
    <cfRule type="duplicateValues" dxfId="977" priority="2371"/>
  </conditionalFormatting>
  <conditionalFormatting sqref="I16:I23">
    <cfRule type="duplicateValues" dxfId="976" priority="2369"/>
  </conditionalFormatting>
  <conditionalFormatting sqref="A16:A23">
    <cfRule type="duplicateValues" dxfId="975" priority="2368"/>
  </conditionalFormatting>
  <conditionalFormatting sqref="H16:H23">
    <cfRule type="duplicateValues" dxfId="974" priority="2367"/>
  </conditionalFormatting>
  <conditionalFormatting sqref="A16:A19">
    <cfRule type="duplicateValues" dxfId="973" priority="2363"/>
  </conditionalFormatting>
  <conditionalFormatting sqref="A20:A23">
    <cfRule type="duplicateValues" dxfId="972" priority="2360"/>
  </conditionalFormatting>
  <conditionalFormatting sqref="G24">
    <cfRule type="duplicateValues" dxfId="971" priority="2359"/>
  </conditionalFormatting>
  <conditionalFormatting sqref="H26:H27">
    <cfRule type="duplicateValues" dxfId="970" priority="2358"/>
  </conditionalFormatting>
  <conditionalFormatting sqref="I26:I27">
    <cfRule type="duplicateValues" dxfId="969" priority="2357"/>
  </conditionalFormatting>
  <conditionalFormatting sqref="G24:G27">
    <cfRule type="duplicateValues" dxfId="968" priority="2356"/>
  </conditionalFormatting>
  <conditionalFormatting sqref="H26:H27">
    <cfRule type="duplicateValues" dxfId="967" priority="2351"/>
    <cfRule type="duplicateValues" dxfId="966" priority="2352"/>
    <cfRule type="duplicateValues" dxfId="965" priority="2353"/>
    <cfRule type="duplicateValues" dxfId="964" priority="2354"/>
    <cfRule type="duplicateValues" dxfId="963" priority="2355"/>
  </conditionalFormatting>
  <conditionalFormatting sqref="A26:A27">
    <cfRule type="duplicateValues" dxfId="962" priority="2348"/>
    <cfRule type="duplicateValues" dxfId="961" priority="2349"/>
  </conditionalFormatting>
  <conditionalFormatting sqref="I24:I27">
    <cfRule type="duplicateValues" dxfId="960" priority="2347"/>
  </conditionalFormatting>
  <conditionalFormatting sqref="A24:A27">
    <cfRule type="duplicateValues" dxfId="959" priority="2346"/>
  </conditionalFormatting>
  <conditionalFormatting sqref="H24:H27">
    <cfRule type="duplicateValues" dxfId="958" priority="2345"/>
  </conditionalFormatting>
  <conditionalFormatting sqref="I16:I27">
    <cfRule type="duplicateValues" dxfId="957" priority="2340"/>
  </conditionalFormatting>
  <conditionalFormatting sqref="O16:O17">
    <cfRule type="duplicateValues" dxfId="956" priority="2249"/>
  </conditionalFormatting>
  <conditionalFormatting sqref="O17">
    <cfRule type="duplicateValues" dxfId="955" priority="2248"/>
  </conditionalFormatting>
  <conditionalFormatting sqref="O18:O19">
    <cfRule type="duplicateValues" dxfId="954" priority="2247"/>
  </conditionalFormatting>
  <conditionalFormatting sqref="P17">
    <cfRule type="duplicateValues" dxfId="953" priority="2246"/>
  </conditionalFormatting>
  <conditionalFormatting sqref="R18:R19">
    <cfRule type="duplicateValues" dxfId="952" priority="2245"/>
  </conditionalFormatting>
  <conditionalFormatting sqref="Q18:Q19">
    <cfRule type="duplicateValues" dxfId="951" priority="2244"/>
  </conditionalFormatting>
  <conditionalFormatting sqref="O20:O21">
    <cfRule type="duplicateValues" dxfId="950" priority="2243"/>
  </conditionalFormatting>
  <conditionalFormatting sqref="O21">
    <cfRule type="duplicateValues" dxfId="949" priority="2242"/>
  </conditionalFormatting>
  <conditionalFormatting sqref="O22:O23">
    <cfRule type="duplicateValues" dxfId="948" priority="2241"/>
  </conditionalFormatting>
  <conditionalFormatting sqref="Q22:Q23">
    <cfRule type="duplicateValues" dxfId="947" priority="2240"/>
  </conditionalFormatting>
  <conditionalFormatting sqref="P21">
    <cfRule type="duplicateValues" dxfId="946" priority="2239"/>
  </conditionalFormatting>
  <conditionalFormatting sqref="S22:S23">
    <cfRule type="duplicateValues" dxfId="945" priority="2238"/>
  </conditionalFormatting>
  <conditionalFormatting sqref="Q18:Q19 S22:S23">
    <cfRule type="duplicateValues" dxfId="944" priority="2237"/>
  </conditionalFormatting>
  <conditionalFormatting sqref="Q18:Q19 U17 S22:S23">
    <cfRule type="duplicateValues" dxfId="943" priority="2236"/>
  </conditionalFormatting>
  <conditionalFormatting sqref="S18:S19">
    <cfRule type="duplicateValues" dxfId="942" priority="2234"/>
  </conditionalFormatting>
  <conditionalFormatting sqref="S18:S19 S22:S23">
    <cfRule type="duplicateValues" dxfId="941" priority="2233"/>
  </conditionalFormatting>
  <conditionalFormatting sqref="S20:S21 Q22:Q23 Q18:Q19">
    <cfRule type="duplicateValues" dxfId="940" priority="2232"/>
  </conditionalFormatting>
  <conditionalFormatting sqref="V16:V17">
    <cfRule type="duplicateValues" dxfId="939" priority="2231"/>
  </conditionalFormatting>
  <conditionalFormatting sqref="T22:T23">
    <cfRule type="duplicateValues" dxfId="938" priority="2230"/>
  </conditionalFormatting>
  <conditionalFormatting sqref="U20:U21">
    <cfRule type="duplicateValues" dxfId="937" priority="2229"/>
  </conditionalFormatting>
  <conditionalFormatting sqref="T18:T19">
    <cfRule type="duplicateValues" dxfId="936" priority="2228"/>
  </conditionalFormatting>
  <conditionalFormatting sqref="T18:T19">
    <cfRule type="duplicateValues" dxfId="935" priority="2226"/>
    <cfRule type="duplicateValues" dxfId="934" priority="2227"/>
  </conditionalFormatting>
  <conditionalFormatting sqref="V20:V21 T22:T23 T18:T19">
    <cfRule type="duplicateValues" dxfId="933" priority="2225"/>
  </conditionalFormatting>
  <conditionalFormatting sqref="V18:V23">
    <cfRule type="duplicateValues" dxfId="932" priority="2223"/>
    <cfRule type="duplicateValues" dxfId="931" priority="2224"/>
  </conditionalFormatting>
  <conditionalFormatting sqref="Y16:Y20 Y22:Y23">
    <cfRule type="duplicateValues" dxfId="930" priority="2222"/>
  </conditionalFormatting>
  <conditionalFormatting sqref="Q18:Q19 U17">
    <cfRule type="duplicateValues" dxfId="929" priority="2214"/>
  </conditionalFormatting>
  <conditionalFormatting sqref="V18:V19">
    <cfRule type="duplicateValues" dxfId="928" priority="2204"/>
    <cfRule type="duplicateValues" dxfId="927" priority="2205"/>
  </conditionalFormatting>
  <conditionalFormatting sqref="Y16:Y19">
    <cfRule type="duplicateValues" dxfId="926" priority="2203"/>
  </conditionalFormatting>
  <conditionalFormatting sqref="U18:U19">
    <cfRule type="duplicateValues" dxfId="925" priority="2202"/>
  </conditionalFormatting>
  <conditionalFormatting sqref="R22:R23">
    <cfRule type="duplicateValues" dxfId="924" priority="2197"/>
  </conditionalFormatting>
  <conditionalFormatting sqref="Q22:Q23 U21">
    <cfRule type="duplicateValues" dxfId="923" priority="2194"/>
  </conditionalFormatting>
  <conditionalFormatting sqref="V20:V21">
    <cfRule type="duplicateValues" dxfId="922" priority="2190"/>
  </conditionalFormatting>
  <conditionalFormatting sqref="T22:T23">
    <cfRule type="duplicateValues" dxfId="921" priority="2187"/>
    <cfRule type="duplicateValues" dxfId="920" priority="2188"/>
  </conditionalFormatting>
  <conditionalFormatting sqref="V22:V23">
    <cfRule type="duplicateValues" dxfId="919" priority="2184"/>
    <cfRule type="duplicateValues" dxfId="918" priority="2185"/>
  </conditionalFormatting>
  <conditionalFormatting sqref="Y20 Y22:Y23">
    <cfRule type="duplicateValues" dxfId="917" priority="2183"/>
  </conditionalFormatting>
  <conditionalFormatting sqref="U22:U23">
    <cfRule type="duplicateValues" dxfId="916" priority="2182"/>
  </conditionalFormatting>
  <conditionalFormatting sqref="O24:O25">
    <cfRule type="duplicateValues" dxfId="915" priority="2181"/>
  </conditionalFormatting>
  <conditionalFormatting sqref="O25">
    <cfRule type="duplicateValues" dxfId="914" priority="2180"/>
  </conditionalFormatting>
  <conditionalFormatting sqref="O26:O27">
    <cfRule type="duplicateValues" dxfId="913" priority="2179"/>
  </conditionalFormatting>
  <conditionalFormatting sqref="P25">
    <cfRule type="duplicateValues" dxfId="912" priority="2178"/>
  </conditionalFormatting>
  <conditionalFormatting sqref="R26:R27">
    <cfRule type="duplicateValues" dxfId="911" priority="2177"/>
  </conditionalFormatting>
  <conditionalFormatting sqref="Q26:Q27">
    <cfRule type="duplicateValues" dxfId="910" priority="2176"/>
  </conditionalFormatting>
  <conditionalFormatting sqref="Q26:Q27 U25">
    <cfRule type="duplicateValues" dxfId="909" priority="2174"/>
  </conditionalFormatting>
  <conditionalFormatting sqref="S26:S27">
    <cfRule type="duplicateValues" dxfId="908" priority="2173"/>
  </conditionalFormatting>
  <conditionalFormatting sqref="V24:V25">
    <cfRule type="duplicateValues" dxfId="907" priority="2170"/>
  </conditionalFormatting>
  <conditionalFormatting sqref="T26:T27">
    <cfRule type="duplicateValues" dxfId="906" priority="2169"/>
  </conditionalFormatting>
  <conditionalFormatting sqref="T26:T27">
    <cfRule type="duplicateValues" dxfId="905" priority="2167"/>
    <cfRule type="duplicateValues" dxfId="904" priority="2168"/>
  </conditionalFormatting>
  <conditionalFormatting sqref="V26:V27">
    <cfRule type="duplicateValues" dxfId="903" priority="2164"/>
    <cfRule type="duplicateValues" dxfId="902" priority="2165"/>
  </conditionalFormatting>
  <conditionalFormatting sqref="Y24:Y27">
    <cfRule type="duplicateValues" dxfId="901" priority="2163"/>
  </conditionalFormatting>
  <conditionalFormatting sqref="U26:U27">
    <cfRule type="duplicateValues" dxfId="900" priority="2143"/>
  </conditionalFormatting>
  <conditionalFormatting sqref="G28">
    <cfRule type="duplicateValues" dxfId="899" priority="2142"/>
  </conditionalFormatting>
  <conditionalFormatting sqref="H30:H31">
    <cfRule type="duplicateValues" dxfId="898" priority="2141"/>
  </conditionalFormatting>
  <conditionalFormatting sqref="I30:I31">
    <cfRule type="duplicateValues" dxfId="897" priority="2140"/>
  </conditionalFormatting>
  <conditionalFormatting sqref="G28:G31">
    <cfRule type="duplicateValues" dxfId="896" priority="2139"/>
  </conditionalFormatting>
  <conditionalFormatting sqref="H30:H31">
    <cfRule type="duplicateValues" dxfId="895" priority="2134"/>
    <cfRule type="duplicateValues" dxfId="894" priority="2135"/>
    <cfRule type="duplicateValues" dxfId="893" priority="2136"/>
    <cfRule type="duplicateValues" dxfId="892" priority="2137"/>
    <cfRule type="duplicateValues" dxfId="891" priority="2138"/>
  </conditionalFormatting>
  <conditionalFormatting sqref="G32">
    <cfRule type="duplicateValues" dxfId="890" priority="2133"/>
  </conditionalFormatting>
  <conditionalFormatting sqref="H32:H35">
    <cfRule type="duplicateValues" dxfId="889" priority="2132"/>
  </conditionalFormatting>
  <conditionalFormatting sqref="I32:I35">
    <cfRule type="duplicateValues" dxfId="888" priority="2131"/>
  </conditionalFormatting>
  <conditionalFormatting sqref="G32:G35">
    <cfRule type="duplicateValues" dxfId="887" priority="2130"/>
  </conditionalFormatting>
  <conditionalFormatting sqref="H32:H35">
    <cfRule type="duplicateValues" dxfId="886" priority="2125"/>
    <cfRule type="duplicateValues" dxfId="885" priority="2126"/>
    <cfRule type="duplicateValues" dxfId="884" priority="2127"/>
    <cfRule type="duplicateValues" dxfId="883" priority="2128"/>
    <cfRule type="duplicateValues" dxfId="882" priority="2129"/>
  </conditionalFormatting>
  <conditionalFormatting sqref="G28:G35">
    <cfRule type="duplicateValues" dxfId="881" priority="2124"/>
  </conditionalFormatting>
  <conditionalFormatting sqref="A30:A31">
    <cfRule type="duplicateValues" dxfId="880" priority="2122"/>
    <cfRule type="duplicateValues" dxfId="879" priority="2123"/>
  </conditionalFormatting>
  <conditionalFormatting sqref="A34:A35">
    <cfRule type="duplicateValues" dxfId="878" priority="2120"/>
    <cfRule type="duplicateValues" dxfId="877" priority="2121"/>
  </conditionalFormatting>
  <conditionalFormatting sqref="I28:I35">
    <cfRule type="duplicateValues" dxfId="876" priority="2119"/>
  </conditionalFormatting>
  <conditionalFormatting sqref="A28:A35">
    <cfRule type="duplicateValues" dxfId="875" priority="2118"/>
  </conditionalFormatting>
  <conditionalFormatting sqref="H28:H35">
    <cfRule type="duplicateValues" dxfId="874" priority="2117"/>
  </conditionalFormatting>
  <conditionalFormatting sqref="A28:A31">
    <cfRule type="duplicateValues" dxfId="873" priority="2113"/>
  </conditionalFormatting>
  <conditionalFormatting sqref="A32:A35">
    <cfRule type="duplicateValues" dxfId="872" priority="2110"/>
  </conditionalFormatting>
  <conditionalFormatting sqref="G36">
    <cfRule type="duplicateValues" dxfId="871" priority="2109"/>
  </conditionalFormatting>
  <conditionalFormatting sqref="H38:H39">
    <cfRule type="duplicateValues" dxfId="870" priority="2108"/>
  </conditionalFormatting>
  <conditionalFormatting sqref="I38:I39">
    <cfRule type="duplicateValues" dxfId="869" priority="2107"/>
  </conditionalFormatting>
  <conditionalFormatting sqref="G36:G39">
    <cfRule type="duplicateValues" dxfId="868" priority="2106"/>
  </conditionalFormatting>
  <conditionalFormatting sqref="H38:H39">
    <cfRule type="duplicateValues" dxfId="867" priority="2101"/>
    <cfRule type="duplicateValues" dxfId="866" priority="2102"/>
    <cfRule type="duplicateValues" dxfId="865" priority="2103"/>
    <cfRule type="duplicateValues" dxfId="864" priority="2104"/>
    <cfRule type="duplicateValues" dxfId="863" priority="2105"/>
  </conditionalFormatting>
  <conditionalFormatting sqref="A38:A39">
    <cfRule type="duplicateValues" dxfId="862" priority="2098"/>
    <cfRule type="duplicateValues" dxfId="861" priority="2099"/>
  </conditionalFormatting>
  <conditionalFormatting sqref="I36:I39">
    <cfRule type="duplicateValues" dxfId="860" priority="2097"/>
  </conditionalFormatting>
  <conditionalFormatting sqref="A36:A39">
    <cfRule type="duplicateValues" dxfId="859" priority="2096"/>
  </conditionalFormatting>
  <conditionalFormatting sqref="H36:H39">
    <cfRule type="duplicateValues" dxfId="858" priority="2095"/>
  </conditionalFormatting>
  <conditionalFormatting sqref="I28:I39">
    <cfRule type="duplicateValues" dxfId="857" priority="2090"/>
  </conditionalFormatting>
  <conditionalFormatting sqref="O28:O29">
    <cfRule type="duplicateValues" dxfId="856" priority="1999"/>
  </conditionalFormatting>
  <conditionalFormatting sqref="O29">
    <cfRule type="duplicateValues" dxfId="855" priority="1998"/>
  </conditionalFormatting>
  <conditionalFormatting sqref="O30:O31">
    <cfRule type="duplicateValues" dxfId="854" priority="1997"/>
  </conditionalFormatting>
  <conditionalFormatting sqref="P29">
    <cfRule type="duplicateValues" dxfId="853" priority="1996"/>
  </conditionalFormatting>
  <conditionalFormatting sqref="R30:R31">
    <cfRule type="duplicateValues" dxfId="852" priority="1995"/>
  </conditionalFormatting>
  <conditionalFormatting sqref="Q30:Q31">
    <cfRule type="duplicateValues" dxfId="851" priority="1994"/>
  </conditionalFormatting>
  <conditionalFormatting sqref="O32:O33">
    <cfRule type="duplicateValues" dxfId="850" priority="1993"/>
  </conditionalFormatting>
  <conditionalFormatting sqref="O33">
    <cfRule type="duplicateValues" dxfId="849" priority="1992"/>
  </conditionalFormatting>
  <conditionalFormatting sqref="O34:O35">
    <cfRule type="duplicateValues" dxfId="848" priority="1991"/>
  </conditionalFormatting>
  <conditionalFormatting sqref="Q34:Q35">
    <cfRule type="duplicateValues" dxfId="847" priority="1990"/>
  </conditionalFormatting>
  <conditionalFormatting sqref="P33">
    <cfRule type="duplicateValues" dxfId="846" priority="1989"/>
  </conditionalFormatting>
  <conditionalFormatting sqref="S34:S35">
    <cfRule type="duplicateValues" dxfId="845" priority="1988"/>
  </conditionalFormatting>
  <conditionalFormatting sqref="Q30:Q31 S34:S35">
    <cfRule type="duplicateValues" dxfId="844" priority="1987"/>
  </conditionalFormatting>
  <conditionalFormatting sqref="Q30:Q31 U29 S34:S35">
    <cfRule type="duplicateValues" dxfId="843" priority="1986"/>
  </conditionalFormatting>
  <conditionalFormatting sqref="S30:S31">
    <cfRule type="duplicateValues" dxfId="842" priority="1984"/>
  </conditionalFormatting>
  <conditionalFormatting sqref="S30:S31 S34:S35">
    <cfRule type="duplicateValues" dxfId="841" priority="1983"/>
  </conditionalFormatting>
  <conditionalFormatting sqref="S32:S33 Q34:Q35 Q30:Q31">
    <cfRule type="duplicateValues" dxfId="840" priority="1982"/>
  </conditionalFormatting>
  <conditionalFormatting sqref="V28:V29">
    <cfRule type="duplicateValues" dxfId="839" priority="1981"/>
  </conditionalFormatting>
  <conditionalFormatting sqref="T34:T35">
    <cfRule type="duplicateValues" dxfId="838" priority="1980"/>
  </conditionalFormatting>
  <conditionalFormatting sqref="U32:U33">
    <cfRule type="duplicateValues" dxfId="837" priority="1979"/>
  </conditionalFormatting>
  <conditionalFormatting sqref="T30:T31">
    <cfRule type="duplicateValues" dxfId="836" priority="1978"/>
  </conditionalFormatting>
  <conditionalFormatting sqref="T30:T31">
    <cfRule type="duplicateValues" dxfId="835" priority="1976"/>
    <cfRule type="duplicateValues" dxfId="834" priority="1977"/>
  </conditionalFormatting>
  <conditionalFormatting sqref="V32:V33 T34:T35 T30:T31">
    <cfRule type="duplicateValues" dxfId="833" priority="1975"/>
  </conditionalFormatting>
  <conditionalFormatting sqref="V30:V35">
    <cfRule type="duplicateValues" dxfId="832" priority="1973"/>
    <cfRule type="duplicateValues" dxfId="831" priority="1974"/>
  </conditionalFormatting>
  <conditionalFormatting sqref="Y28:Y32 Y34:Y35">
    <cfRule type="duplicateValues" dxfId="830" priority="1972"/>
  </conditionalFormatting>
  <conditionalFormatting sqref="Q30:Q31 U29">
    <cfRule type="duplicateValues" dxfId="829" priority="1964"/>
  </conditionalFormatting>
  <conditionalFormatting sqref="V30:V31">
    <cfRule type="duplicateValues" dxfId="828" priority="1954"/>
    <cfRule type="duplicateValues" dxfId="827" priority="1955"/>
  </conditionalFormatting>
  <conditionalFormatting sqref="Y28:Y31">
    <cfRule type="duplicateValues" dxfId="826" priority="1953"/>
  </conditionalFormatting>
  <conditionalFormatting sqref="U30:U31">
    <cfRule type="duplicateValues" dxfId="825" priority="1952"/>
  </conditionalFormatting>
  <conditionalFormatting sqref="R34:R35">
    <cfRule type="duplicateValues" dxfId="824" priority="1947"/>
  </conditionalFormatting>
  <conditionalFormatting sqref="Q34:Q35 U33">
    <cfRule type="duplicateValues" dxfId="823" priority="1944"/>
  </conditionalFormatting>
  <conditionalFormatting sqref="V32:V33">
    <cfRule type="duplicateValues" dxfId="822" priority="1940"/>
  </conditionalFormatting>
  <conditionalFormatting sqref="T34:T35">
    <cfRule type="duplicateValues" dxfId="821" priority="1937"/>
    <cfRule type="duplicateValues" dxfId="820" priority="1938"/>
  </conditionalFormatting>
  <conditionalFormatting sqref="V34:V35">
    <cfRule type="duplicateValues" dxfId="819" priority="1934"/>
    <cfRule type="duplicateValues" dxfId="818" priority="1935"/>
  </conditionalFormatting>
  <conditionalFormatting sqref="Y32 Y34:Y35">
    <cfRule type="duplicateValues" dxfId="817" priority="1933"/>
  </conditionalFormatting>
  <conditionalFormatting sqref="U34:U35">
    <cfRule type="duplicateValues" dxfId="816" priority="1932"/>
  </conditionalFormatting>
  <conditionalFormatting sqref="O36:O37">
    <cfRule type="duplicateValues" dxfId="815" priority="1931"/>
  </conditionalFormatting>
  <conditionalFormatting sqref="O37">
    <cfRule type="duplicateValues" dxfId="814" priority="1930"/>
  </conditionalFormatting>
  <conditionalFormatting sqref="O38:O39">
    <cfRule type="duplicateValues" dxfId="813" priority="1929"/>
  </conditionalFormatting>
  <conditionalFormatting sqref="P37">
    <cfRule type="duplicateValues" dxfId="812" priority="1928"/>
  </conditionalFormatting>
  <conditionalFormatting sqref="R38:R39">
    <cfRule type="duplicateValues" dxfId="811" priority="1927"/>
  </conditionalFormatting>
  <conditionalFormatting sqref="Q38:Q39">
    <cfRule type="duplicateValues" dxfId="810" priority="1926"/>
  </conditionalFormatting>
  <conditionalFormatting sqref="Q38:Q39 U37">
    <cfRule type="duplicateValues" dxfId="809" priority="1924"/>
  </conditionalFormatting>
  <conditionalFormatting sqref="S38:S39">
    <cfRule type="duplicateValues" dxfId="808" priority="1923"/>
  </conditionalFormatting>
  <conditionalFormatting sqref="V36:V37">
    <cfRule type="duplicateValues" dxfId="807" priority="1920"/>
  </conditionalFormatting>
  <conditionalFormatting sqref="T38:T39">
    <cfRule type="duplicateValues" dxfId="806" priority="1919"/>
  </conditionalFormatting>
  <conditionalFormatting sqref="T38:T39">
    <cfRule type="duplicateValues" dxfId="805" priority="1917"/>
    <cfRule type="duplicateValues" dxfId="804" priority="1918"/>
  </conditionalFormatting>
  <conditionalFormatting sqref="V38:V39">
    <cfRule type="duplicateValues" dxfId="803" priority="1914"/>
    <cfRule type="duplicateValues" dxfId="802" priority="1915"/>
  </conditionalFormatting>
  <conditionalFormatting sqref="Y36:Y39">
    <cfRule type="duplicateValues" dxfId="801" priority="1913"/>
  </conditionalFormatting>
  <conditionalFormatting sqref="U38:U39">
    <cfRule type="duplicateValues" dxfId="800" priority="1893"/>
  </conditionalFormatting>
  <conditionalFormatting sqref="G40">
    <cfRule type="duplicateValues" dxfId="799" priority="1892"/>
  </conditionalFormatting>
  <conditionalFormatting sqref="H42:H43">
    <cfRule type="duplicateValues" dxfId="798" priority="1891"/>
  </conditionalFormatting>
  <conditionalFormatting sqref="I42:I43">
    <cfRule type="duplicateValues" dxfId="797" priority="1890"/>
  </conditionalFormatting>
  <conditionalFormatting sqref="G40:G43">
    <cfRule type="duplicateValues" dxfId="796" priority="1889"/>
  </conditionalFormatting>
  <conditionalFormatting sqref="H42:H43">
    <cfRule type="duplicateValues" dxfId="795" priority="1884"/>
    <cfRule type="duplicateValues" dxfId="794" priority="1885"/>
    <cfRule type="duplicateValues" dxfId="793" priority="1886"/>
    <cfRule type="duplicateValues" dxfId="792" priority="1887"/>
    <cfRule type="duplicateValues" dxfId="791" priority="1888"/>
  </conditionalFormatting>
  <conditionalFormatting sqref="G44">
    <cfRule type="duplicateValues" dxfId="790" priority="1883"/>
  </conditionalFormatting>
  <conditionalFormatting sqref="H44:H47">
    <cfRule type="duplicateValues" dxfId="789" priority="1882"/>
  </conditionalFormatting>
  <conditionalFormatting sqref="I44:I47">
    <cfRule type="duplicateValues" dxfId="788" priority="1881"/>
  </conditionalFormatting>
  <conditionalFormatting sqref="G44:G47">
    <cfRule type="duplicateValues" dxfId="787" priority="1880"/>
  </conditionalFormatting>
  <conditionalFormatting sqref="H44:H47">
    <cfRule type="duplicateValues" dxfId="786" priority="1875"/>
    <cfRule type="duplicateValues" dxfId="785" priority="1876"/>
    <cfRule type="duplicateValues" dxfId="784" priority="1877"/>
    <cfRule type="duplicateValues" dxfId="783" priority="1878"/>
    <cfRule type="duplicateValues" dxfId="782" priority="1879"/>
  </conditionalFormatting>
  <conditionalFormatting sqref="G40:G47">
    <cfRule type="duplicateValues" dxfId="781" priority="1874"/>
  </conditionalFormatting>
  <conditionalFormatting sqref="A42:A43">
    <cfRule type="duplicateValues" dxfId="780" priority="1872"/>
    <cfRule type="duplicateValues" dxfId="779" priority="1873"/>
  </conditionalFormatting>
  <conditionalFormatting sqref="A46:A47">
    <cfRule type="duplicateValues" dxfId="778" priority="1870"/>
    <cfRule type="duplicateValues" dxfId="777" priority="1871"/>
  </conditionalFormatting>
  <conditionalFormatting sqref="I40:I47">
    <cfRule type="duplicateValues" dxfId="776" priority="1869"/>
  </conditionalFormatting>
  <conditionalFormatting sqref="A40:A47">
    <cfRule type="duplicateValues" dxfId="775" priority="1868"/>
  </conditionalFormatting>
  <conditionalFormatting sqref="H40:H47">
    <cfRule type="duplicateValues" dxfId="774" priority="1867"/>
  </conditionalFormatting>
  <conditionalFormatting sqref="A40:A43">
    <cfRule type="duplicateValues" dxfId="773" priority="1863"/>
  </conditionalFormatting>
  <conditionalFormatting sqref="A44:A47">
    <cfRule type="duplicateValues" dxfId="772" priority="1860"/>
  </conditionalFormatting>
  <conditionalFormatting sqref="G48">
    <cfRule type="duplicateValues" dxfId="771" priority="1859"/>
  </conditionalFormatting>
  <conditionalFormatting sqref="H50:H51">
    <cfRule type="duplicateValues" dxfId="770" priority="1858"/>
  </conditionalFormatting>
  <conditionalFormatting sqref="I50:I51">
    <cfRule type="duplicateValues" dxfId="769" priority="1857"/>
  </conditionalFormatting>
  <conditionalFormatting sqref="G48:G51">
    <cfRule type="duplicateValues" dxfId="768" priority="1856"/>
  </conditionalFormatting>
  <conditionalFormatting sqref="H50:H51">
    <cfRule type="duplicateValues" dxfId="767" priority="1851"/>
    <cfRule type="duplicateValues" dxfId="766" priority="1852"/>
    <cfRule type="duplicateValues" dxfId="765" priority="1853"/>
    <cfRule type="duplicateValues" dxfId="764" priority="1854"/>
    <cfRule type="duplicateValues" dxfId="763" priority="1855"/>
  </conditionalFormatting>
  <conditionalFormatting sqref="A50:A51">
    <cfRule type="duplicateValues" dxfId="762" priority="1848"/>
    <cfRule type="duplicateValues" dxfId="761" priority="1849"/>
  </conditionalFormatting>
  <conditionalFormatting sqref="I48:I51">
    <cfRule type="duplicateValues" dxfId="760" priority="1847"/>
  </conditionalFormatting>
  <conditionalFormatting sqref="A48:A51">
    <cfRule type="duplicateValues" dxfId="759" priority="1846"/>
  </conditionalFormatting>
  <conditionalFormatting sqref="H48:H51">
    <cfRule type="duplicateValues" dxfId="758" priority="1845"/>
  </conditionalFormatting>
  <conditionalFormatting sqref="I40:I51">
    <cfRule type="duplicateValues" dxfId="757" priority="1840"/>
  </conditionalFormatting>
  <conditionalFormatting sqref="O40:O41">
    <cfRule type="duplicateValues" dxfId="756" priority="1749"/>
  </conditionalFormatting>
  <conditionalFormatting sqref="O41">
    <cfRule type="duplicateValues" dxfId="755" priority="1748"/>
  </conditionalFormatting>
  <conditionalFormatting sqref="O42:O43">
    <cfRule type="duplicateValues" dxfId="754" priority="1747"/>
  </conditionalFormatting>
  <conditionalFormatting sqref="P41">
    <cfRule type="duplicateValues" dxfId="753" priority="1746"/>
  </conditionalFormatting>
  <conditionalFormatting sqref="R42:R43">
    <cfRule type="duplicateValues" dxfId="752" priority="1745"/>
  </conditionalFormatting>
  <conditionalFormatting sqref="Q42:Q43">
    <cfRule type="duplicateValues" dxfId="751" priority="1744"/>
  </conditionalFormatting>
  <conditionalFormatting sqref="O44:O45">
    <cfRule type="duplicateValues" dxfId="750" priority="1743"/>
  </conditionalFormatting>
  <conditionalFormatting sqref="O45">
    <cfRule type="duplicateValues" dxfId="749" priority="1742"/>
  </conditionalFormatting>
  <conditionalFormatting sqref="O46:O47">
    <cfRule type="duplicateValues" dxfId="748" priority="1741"/>
  </conditionalFormatting>
  <conditionalFormatting sqref="Q46:Q47">
    <cfRule type="duplicateValues" dxfId="747" priority="1740"/>
  </conditionalFormatting>
  <conditionalFormatting sqref="P45">
    <cfRule type="duplicateValues" dxfId="746" priority="1739"/>
  </conditionalFormatting>
  <conditionalFormatting sqref="S46:S47">
    <cfRule type="duplicateValues" dxfId="745" priority="1738"/>
  </conditionalFormatting>
  <conditionalFormatting sqref="Q42:Q43 S46:S47">
    <cfRule type="duplicateValues" dxfId="744" priority="1737"/>
  </conditionalFormatting>
  <conditionalFormatting sqref="Q42:Q43 U41 S46:S47">
    <cfRule type="duplicateValues" dxfId="743" priority="1736"/>
  </conditionalFormatting>
  <conditionalFormatting sqref="S42:S43">
    <cfRule type="duplicateValues" dxfId="742" priority="1734"/>
  </conditionalFormatting>
  <conditionalFormatting sqref="S42:S43 S46:S47">
    <cfRule type="duplicateValues" dxfId="741" priority="1733"/>
  </conditionalFormatting>
  <conditionalFormatting sqref="S44:S45 Q46:Q47 Q42:Q43">
    <cfRule type="duplicateValues" dxfId="740" priority="1732"/>
  </conditionalFormatting>
  <conditionalFormatting sqref="V40:V41">
    <cfRule type="duplicateValues" dxfId="739" priority="1731"/>
  </conditionalFormatting>
  <conditionalFormatting sqref="T46:T47">
    <cfRule type="duplicateValues" dxfId="738" priority="1730"/>
  </conditionalFormatting>
  <conditionalFormatting sqref="U44:U45">
    <cfRule type="duplicateValues" dxfId="737" priority="1729"/>
  </conditionalFormatting>
  <conditionalFormatting sqref="T42:T43">
    <cfRule type="duplicateValues" dxfId="736" priority="1728"/>
  </conditionalFormatting>
  <conditionalFormatting sqref="T42:T43">
    <cfRule type="duplicateValues" dxfId="735" priority="1726"/>
    <cfRule type="duplicateValues" dxfId="734" priority="1727"/>
  </conditionalFormatting>
  <conditionalFormatting sqref="V44:V45 T46:T47 T42:T43">
    <cfRule type="duplicateValues" dxfId="733" priority="1725"/>
  </conditionalFormatting>
  <conditionalFormatting sqref="V42:V47">
    <cfRule type="duplicateValues" dxfId="732" priority="1723"/>
    <cfRule type="duplicateValues" dxfId="731" priority="1724"/>
  </conditionalFormatting>
  <conditionalFormatting sqref="Y40:Y44 Y46:Y47">
    <cfRule type="duplicateValues" dxfId="730" priority="1722"/>
  </conditionalFormatting>
  <conditionalFormatting sqref="Q42:Q43 U41">
    <cfRule type="duplicateValues" dxfId="729" priority="1714"/>
  </conditionalFormatting>
  <conditionalFormatting sqref="V42:V43">
    <cfRule type="duplicateValues" dxfId="728" priority="1704"/>
    <cfRule type="duplicateValues" dxfId="727" priority="1705"/>
  </conditionalFormatting>
  <conditionalFormatting sqref="Y40:Y43">
    <cfRule type="duplicateValues" dxfId="726" priority="1703"/>
  </conditionalFormatting>
  <conditionalFormatting sqref="U42:U43">
    <cfRule type="duplicateValues" dxfId="725" priority="1702"/>
  </conditionalFormatting>
  <conditionalFormatting sqref="R46:R47">
    <cfRule type="duplicateValues" dxfId="724" priority="1697"/>
  </conditionalFormatting>
  <conditionalFormatting sqref="Q46:Q47 U45">
    <cfRule type="duplicateValues" dxfId="723" priority="1694"/>
  </conditionalFormatting>
  <conditionalFormatting sqref="V44:V45">
    <cfRule type="duplicateValues" dxfId="722" priority="1690"/>
  </conditionalFormatting>
  <conditionalFormatting sqref="T46:T47">
    <cfRule type="duplicateValues" dxfId="721" priority="1687"/>
    <cfRule type="duplicateValues" dxfId="720" priority="1688"/>
  </conditionalFormatting>
  <conditionalFormatting sqref="V46:V47">
    <cfRule type="duplicateValues" dxfId="719" priority="1684"/>
    <cfRule type="duplicateValues" dxfId="718" priority="1685"/>
  </conditionalFormatting>
  <conditionalFormatting sqref="Y44 Y46:Y47">
    <cfRule type="duplicateValues" dxfId="717" priority="1683"/>
  </conditionalFormatting>
  <conditionalFormatting sqref="U46:U47">
    <cfRule type="duplicateValues" dxfId="716" priority="1682"/>
  </conditionalFormatting>
  <conditionalFormatting sqref="O48:O49">
    <cfRule type="duplicateValues" dxfId="715" priority="1681"/>
  </conditionalFormatting>
  <conditionalFormatting sqref="O49">
    <cfRule type="duplicateValues" dxfId="714" priority="1680"/>
  </conditionalFormatting>
  <conditionalFormatting sqref="O50:O51">
    <cfRule type="duplicateValues" dxfId="713" priority="1679"/>
  </conditionalFormatting>
  <conditionalFormatting sqref="P49">
    <cfRule type="duplicateValues" dxfId="712" priority="1678"/>
  </conditionalFormatting>
  <conditionalFormatting sqref="R50:R51">
    <cfRule type="duplicateValues" dxfId="711" priority="1677"/>
  </conditionalFormatting>
  <conditionalFormatting sqref="Q50:Q51">
    <cfRule type="duplicateValues" dxfId="710" priority="1676"/>
  </conditionalFormatting>
  <conditionalFormatting sqref="Q50:Q51 U49">
    <cfRule type="duplicateValues" dxfId="709" priority="1674"/>
  </conditionalFormatting>
  <conditionalFormatting sqref="S50:S51">
    <cfRule type="duplicateValues" dxfId="708" priority="1673"/>
  </conditionalFormatting>
  <conditionalFormatting sqref="V48:V49">
    <cfRule type="duplicateValues" dxfId="707" priority="1670"/>
  </conditionalFormatting>
  <conditionalFormatting sqref="T50:T51">
    <cfRule type="duplicateValues" dxfId="706" priority="1669"/>
  </conditionalFormatting>
  <conditionalFormatting sqref="T50:T51">
    <cfRule type="duplicateValues" dxfId="705" priority="1667"/>
    <cfRule type="duplicateValues" dxfId="704" priority="1668"/>
  </conditionalFormatting>
  <conditionalFormatting sqref="V50:V51">
    <cfRule type="duplicateValues" dxfId="703" priority="1664"/>
    <cfRule type="duplicateValues" dxfId="702" priority="1665"/>
  </conditionalFormatting>
  <conditionalFormatting sqref="Y48:Y51">
    <cfRule type="duplicateValues" dxfId="701" priority="1663"/>
  </conditionalFormatting>
  <conditionalFormatting sqref="U50:U51">
    <cfRule type="duplicateValues" dxfId="700" priority="1643"/>
  </conditionalFormatting>
  <conditionalFormatting sqref="H16:H19">
    <cfRule type="duplicateValues" dxfId="699" priority="1599"/>
  </conditionalFormatting>
  <conditionalFormatting sqref="I16:I19">
    <cfRule type="duplicateValues" dxfId="698" priority="1598"/>
  </conditionalFormatting>
  <conditionalFormatting sqref="H16:H19">
    <cfRule type="duplicateValues" dxfId="697" priority="1592"/>
    <cfRule type="duplicateValues" dxfId="696" priority="1593"/>
    <cfRule type="duplicateValues" dxfId="695" priority="1594"/>
    <cfRule type="duplicateValues" dxfId="694" priority="1595"/>
    <cfRule type="duplicateValues" dxfId="693" priority="1596"/>
  </conditionalFormatting>
  <conditionalFormatting sqref="G12:G19">
    <cfRule type="duplicateValues" dxfId="692" priority="1591"/>
  </conditionalFormatting>
  <conditionalFormatting sqref="I12:I19">
    <cfRule type="duplicateValues" dxfId="691" priority="1586"/>
  </conditionalFormatting>
  <conditionalFormatting sqref="A12:A19">
    <cfRule type="duplicateValues" dxfId="690" priority="1585"/>
  </conditionalFormatting>
  <conditionalFormatting sqref="H12:H19">
    <cfRule type="duplicateValues" dxfId="689" priority="1584"/>
  </conditionalFormatting>
  <conditionalFormatting sqref="I4:I19">
    <cfRule type="duplicateValues" dxfId="688" priority="1576"/>
  </conditionalFormatting>
  <conditionalFormatting sqref="H22:H23">
    <cfRule type="duplicateValues" dxfId="687" priority="1574"/>
  </conditionalFormatting>
  <conditionalFormatting sqref="I22:I23">
    <cfRule type="duplicateValues" dxfId="686" priority="1573"/>
  </conditionalFormatting>
  <conditionalFormatting sqref="H22:H23">
    <cfRule type="duplicateValues" dxfId="685" priority="1567"/>
    <cfRule type="duplicateValues" dxfId="684" priority="1568"/>
    <cfRule type="duplicateValues" dxfId="683" priority="1569"/>
    <cfRule type="duplicateValues" dxfId="682" priority="1570"/>
    <cfRule type="duplicateValues" dxfId="681" priority="1571"/>
  </conditionalFormatting>
  <conditionalFormatting sqref="H24:H27">
    <cfRule type="duplicateValues" dxfId="680" priority="1558"/>
    <cfRule type="duplicateValues" dxfId="679" priority="1559"/>
    <cfRule type="duplicateValues" dxfId="678" priority="1560"/>
    <cfRule type="duplicateValues" dxfId="677" priority="1561"/>
    <cfRule type="duplicateValues" dxfId="676" priority="1562"/>
  </conditionalFormatting>
  <conditionalFormatting sqref="G20:G27">
    <cfRule type="duplicateValues" dxfId="675" priority="1557"/>
  </conditionalFormatting>
  <conditionalFormatting sqref="I20:I27">
    <cfRule type="duplicateValues" dxfId="674" priority="1552"/>
  </conditionalFormatting>
  <conditionalFormatting sqref="A20:A27">
    <cfRule type="duplicateValues" dxfId="673" priority="1551"/>
  </conditionalFormatting>
  <conditionalFormatting sqref="H20:H27">
    <cfRule type="duplicateValues" dxfId="672" priority="1550"/>
  </conditionalFormatting>
  <conditionalFormatting sqref="I20:I35">
    <cfRule type="duplicateValues" dxfId="671" priority="1509"/>
  </conditionalFormatting>
  <conditionalFormatting sqref="H40:H43">
    <cfRule type="duplicateValues" dxfId="670" priority="1498"/>
  </conditionalFormatting>
  <conditionalFormatting sqref="I40:I43">
    <cfRule type="duplicateValues" dxfId="669" priority="1497"/>
  </conditionalFormatting>
  <conditionalFormatting sqref="H40:H43">
    <cfRule type="duplicateValues" dxfId="668" priority="1491"/>
    <cfRule type="duplicateValues" dxfId="667" priority="1492"/>
    <cfRule type="duplicateValues" dxfId="666" priority="1493"/>
    <cfRule type="duplicateValues" dxfId="665" priority="1494"/>
    <cfRule type="duplicateValues" dxfId="664" priority="1495"/>
  </conditionalFormatting>
  <conditionalFormatting sqref="G36:G43">
    <cfRule type="duplicateValues" dxfId="663" priority="1490"/>
  </conditionalFormatting>
  <conditionalFormatting sqref="I36:I43">
    <cfRule type="duplicateValues" dxfId="662" priority="1485"/>
  </conditionalFormatting>
  <conditionalFormatting sqref="A36:A43">
    <cfRule type="duplicateValues" dxfId="661" priority="1484"/>
  </conditionalFormatting>
  <conditionalFormatting sqref="H36:H43">
    <cfRule type="duplicateValues" dxfId="660" priority="1483"/>
  </conditionalFormatting>
  <conditionalFormatting sqref="H46:H47">
    <cfRule type="duplicateValues" dxfId="659" priority="1474"/>
  </conditionalFormatting>
  <conditionalFormatting sqref="I46:I47">
    <cfRule type="duplicateValues" dxfId="658" priority="1473"/>
  </conditionalFormatting>
  <conditionalFormatting sqref="H46:H47">
    <cfRule type="duplicateValues" dxfId="657" priority="1467"/>
    <cfRule type="duplicateValues" dxfId="656" priority="1468"/>
    <cfRule type="duplicateValues" dxfId="655" priority="1469"/>
    <cfRule type="duplicateValues" dxfId="654" priority="1470"/>
    <cfRule type="duplicateValues" dxfId="653" priority="1471"/>
  </conditionalFormatting>
  <conditionalFormatting sqref="H48:H51">
    <cfRule type="duplicateValues" dxfId="652" priority="1458"/>
    <cfRule type="duplicateValues" dxfId="651" priority="1459"/>
    <cfRule type="duplicateValues" dxfId="650" priority="1460"/>
    <cfRule type="duplicateValues" dxfId="649" priority="1461"/>
    <cfRule type="duplicateValues" dxfId="648" priority="1462"/>
  </conditionalFormatting>
  <conditionalFormatting sqref="G44:G51">
    <cfRule type="duplicateValues" dxfId="647" priority="1457"/>
  </conditionalFormatting>
  <conditionalFormatting sqref="I44:I51">
    <cfRule type="duplicateValues" dxfId="646" priority="1452"/>
  </conditionalFormatting>
  <conditionalFormatting sqref="A44:A51">
    <cfRule type="duplicateValues" dxfId="645" priority="1451"/>
  </conditionalFormatting>
  <conditionalFormatting sqref="H44:H51">
    <cfRule type="duplicateValues" dxfId="644" priority="1450"/>
  </conditionalFormatting>
  <conditionalFormatting sqref="I36:I51">
    <cfRule type="duplicateValues" dxfId="643" priority="1442"/>
  </conditionalFormatting>
  <conditionalFormatting sqref="F4:F51">
    <cfRule type="duplicateValues" dxfId="642" priority="1440"/>
    <cfRule type="duplicateValues" dxfId="641" priority="1441"/>
  </conditionalFormatting>
  <conditionalFormatting sqref="Y4:Y11">
    <cfRule type="duplicateValues" dxfId="640" priority="1412"/>
  </conditionalFormatting>
  <conditionalFormatting sqref="Y8:Y11">
    <cfRule type="duplicateValues" dxfId="639" priority="1373"/>
  </conditionalFormatting>
  <conditionalFormatting sqref="Q14:Q15 S18:S19">
    <cfRule type="duplicateValues" dxfId="638" priority="1359"/>
  </conditionalFormatting>
  <conditionalFormatting sqref="Q14:Q15 U13 S18:S19">
    <cfRule type="duplicateValues" dxfId="637" priority="1358"/>
  </conditionalFormatting>
  <conditionalFormatting sqref="S14:S15 S18:S19">
    <cfRule type="duplicateValues" dxfId="636" priority="1355"/>
  </conditionalFormatting>
  <conditionalFormatting sqref="S16:S17 Q18:Q19 Q14:Q15">
    <cfRule type="duplicateValues" dxfId="635" priority="1354"/>
  </conditionalFormatting>
  <conditionalFormatting sqref="U16:U17">
    <cfRule type="duplicateValues" dxfId="634" priority="1351"/>
  </conditionalFormatting>
  <conditionalFormatting sqref="V16:V17 T18:T19 T14:T15">
    <cfRule type="duplicateValues" dxfId="633" priority="1347"/>
  </conditionalFormatting>
  <conditionalFormatting sqref="V14:V19">
    <cfRule type="duplicateValues" dxfId="632" priority="1345"/>
    <cfRule type="duplicateValues" dxfId="631" priority="1346"/>
  </conditionalFormatting>
  <conditionalFormatting sqref="Y12:Y19">
    <cfRule type="duplicateValues" dxfId="630" priority="1344"/>
  </conditionalFormatting>
  <conditionalFormatting sqref="Q22:Q23 S26:S27">
    <cfRule type="duplicateValues" dxfId="629" priority="1291"/>
  </conditionalFormatting>
  <conditionalFormatting sqref="Q22:Q23 U21 S26:S27">
    <cfRule type="duplicateValues" dxfId="628" priority="1290"/>
  </conditionalFormatting>
  <conditionalFormatting sqref="S22:S23 S26:S27">
    <cfRule type="duplicateValues" dxfId="627" priority="1287"/>
  </conditionalFormatting>
  <conditionalFormatting sqref="S24:S25 Q26:Q27 Q22:Q23">
    <cfRule type="duplicateValues" dxfId="626" priority="1286"/>
  </conditionalFormatting>
  <conditionalFormatting sqref="U24:U25">
    <cfRule type="duplicateValues" dxfId="625" priority="1283"/>
  </conditionalFormatting>
  <conditionalFormatting sqref="V24:V25 T26:T27 T22:T23">
    <cfRule type="duplicateValues" dxfId="624" priority="1279"/>
  </conditionalFormatting>
  <conditionalFormatting sqref="V22:V27">
    <cfRule type="duplicateValues" dxfId="623" priority="1277"/>
    <cfRule type="duplicateValues" dxfId="622" priority="1278"/>
  </conditionalFormatting>
  <conditionalFormatting sqref="Y20:Y27">
    <cfRule type="duplicateValues" dxfId="621" priority="1276"/>
  </conditionalFormatting>
  <conditionalFormatting sqref="Y20:Y23">
    <cfRule type="duplicateValues" dxfId="620" priority="1257"/>
  </conditionalFormatting>
  <conditionalFormatting sqref="Y28:Y35">
    <cfRule type="duplicateValues" dxfId="619" priority="1208"/>
  </conditionalFormatting>
  <conditionalFormatting sqref="Y32:Y35">
    <cfRule type="duplicateValues" dxfId="618" priority="1169"/>
  </conditionalFormatting>
  <conditionalFormatting sqref="Q38:Q39 S42:S43">
    <cfRule type="duplicateValues" dxfId="617" priority="1155"/>
  </conditionalFormatting>
  <conditionalFormatting sqref="Q38:Q39 U37 S42:S43">
    <cfRule type="duplicateValues" dxfId="616" priority="1154"/>
  </conditionalFormatting>
  <conditionalFormatting sqref="S38:S39 S42:S43">
    <cfRule type="duplicateValues" dxfId="615" priority="1151"/>
  </conditionalFormatting>
  <conditionalFormatting sqref="S40:S41 Q42:Q43 Q38:Q39">
    <cfRule type="duplicateValues" dxfId="614" priority="1150"/>
  </conditionalFormatting>
  <conditionalFormatting sqref="U40:U41">
    <cfRule type="duplicateValues" dxfId="613" priority="1147"/>
  </conditionalFormatting>
  <conditionalFormatting sqref="V40:V41 T42:T43 T38:T39">
    <cfRule type="duplicateValues" dxfId="612" priority="1143"/>
  </conditionalFormatting>
  <conditionalFormatting sqref="V38:V43">
    <cfRule type="duplicateValues" dxfId="611" priority="1141"/>
    <cfRule type="duplicateValues" dxfId="610" priority="1142"/>
  </conditionalFormatting>
  <conditionalFormatting sqref="Y36:Y43">
    <cfRule type="duplicateValues" dxfId="609" priority="1140"/>
  </conditionalFormatting>
  <conditionalFormatting sqref="Q46:Q47 S50:S51">
    <cfRule type="duplicateValues" dxfId="608" priority="1087"/>
  </conditionalFormatting>
  <conditionalFormatting sqref="Q46:Q47 U45 S50:S51">
    <cfRule type="duplicateValues" dxfId="607" priority="1086"/>
  </conditionalFormatting>
  <conditionalFormatting sqref="S46:S47 S50:S51">
    <cfRule type="duplicateValues" dxfId="606" priority="1083"/>
  </conditionalFormatting>
  <conditionalFormatting sqref="S48:S49 Q50:Q51 Q46:Q47">
    <cfRule type="duplicateValues" dxfId="605" priority="1082"/>
  </conditionalFormatting>
  <conditionalFormatting sqref="U48:U49">
    <cfRule type="duplicateValues" dxfId="604" priority="1079"/>
  </conditionalFormatting>
  <conditionalFormatting sqref="V48:V49 T50:T51 T46:T47">
    <cfRule type="duplicateValues" dxfId="603" priority="1075"/>
  </conditionalFormatting>
  <conditionalFormatting sqref="V46:V51">
    <cfRule type="duplicateValues" dxfId="602" priority="1073"/>
    <cfRule type="duplicateValues" dxfId="601" priority="1074"/>
  </conditionalFormatting>
  <conditionalFormatting sqref="Y44:Y51">
    <cfRule type="duplicateValues" dxfId="600" priority="1072"/>
  </conditionalFormatting>
  <conditionalFormatting sqref="Y44:Y47">
    <cfRule type="duplicateValues" dxfId="599" priority="1053"/>
  </conditionalFormatting>
  <conditionalFormatting sqref="F4:F51">
    <cfRule type="duplicateValues" dxfId="598" priority="830"/>
  </conditionalFormatting>
  <conditionalFormatting sqref="L4:L5">
    <cfRule type="duplicateValues" dxfId="597" priority="829"/>
  </conditionalFormatting>
  <conditionalFormatting sqref="M4:M5">
    <cfRule type="duplicateValues" dxfId="596" priority="828"/>
  </conditionalFormatting>
  <conditionalFormatting sqref="M6">
    <cfRule type="duplicateValues" dxfId="595" priority="827"/>
  </conditionalFormatting>
  <conditionalFormatting sqref="L4:L5">
    <cfRule type="duplicateValues" dxfId="594" priority="822"/>
    <cfRule type="duplicateValues" dxfId="593" priority="823"/>
    <cfRule type="duplicateValues" dxfId="592" priority="824"/>
    <cfRule type="duplicateValues" dxfId="591" priority="825"/>
    <cfRule type="duplicateValues" dxfId="590" priority="826"/>
  </conditionalFormatting>
  <conditionalFormatting sqref="L6:L7">
    <cfRule type="duplicateValues" dxfId="589" priority="820"/>
    <cfRule type="duplicateValues" dxfId="588" priority="821"/>
  </conditionalFormatting>
  <conditionalFormatting sqref="M10">
    <cfRule type="duplicateValues" dxfId="587" priority="819"/>
  </conditionalFormatting>
  <conditionalFormatting sqref="L8">
    <cfRule type="duplicateValues" dxfId="586" priority="817"/>
    <cfRule type="duplicateValues" dxfId="585" priority="818"/>
  </conditionalFormatting>
  <conditionalFormatting sqref="L8:L11">
    <cfRule type="duplicateValues" dxfId="584" priority="815"/>
    <cfRule type="duplicateValues" dxfId="583" priority="816"/>
  </conditionalFormatting>
  <conditionalFormatting sqref="L4:L11">
    <cfRule type="duplicateValues" dxfId="582" priority="814"/>
  </conditionalFormatting>
  <conditionalFormatting sqref="L4:L11">
    <cfRule type="duplicateValues" dxfId="581" priority="811"/>
    <cfRule type="duplicateValues" dxfId="580" priority="812"/>
    <cfRule type="duplicateValues" dxfId="579" priority="813"/>
  </conditionalFormatting>
  <conditionalFormatting sqref="L4:L7">
    <cfRule type="duplicateValues" dxfId="578" priority="797"/>
  </conditionalFormatting>
  <conditionalFormatting sqref="L4:L7">
    <cfRule type="duplicateValues" dxfId="577" priority="794"/>
    <cfRule type="duplicateValues" dxfId="576" priority="795"/>
    <cfRule type="duplicateValues" dxfId="575" priority="796"/>
  </conditionalFormatting>
  <conditionalFormatting sqref="L8:L9">
    <cfRule type="duplicateValues" dxfId="574" priority="790"/>
  </conditionalFormatting>
  <conditionalFormatting sqref="M8:M9">
    <cfRule type="duplicateValues" dxfId="573" priority="789"/>
  </conditionalFormatting>
  <conditionalFormatting sqref="L8:L9">
    <cfRule type="duplicateValues" dxfId="572" priority="783"/>
    <cfRule type="duplicateValues" dxfId="571" priority="784"/>
    <cfRule type="duplicateValues" dxfId="570" priority="785"/>
    <cfRule type="duplicateValues" dxfId="569" priority="786"/>
    <cfRule type="duplicateValues" dxfId="568" priority="787"/>
  </conditionalFormatting>
  <conditionalFormatting sqref="L10:L11">
    <cfRule type="duplicateValues" dxfId="567" priority="781"/>
    <cfRule type="duplicateValues" dxfId="566" priority="782"/>
  </conditionalFormatting>
  <conditionalFormatting sqref="L8:L11">
    <cfRule type="duplicateValues" dxfId="565" priority="780"/>
  </conditionalFormatting>
  <conditionalFormatting sqref="L8:L11">
    <cfRule type="duplicateValues" dxfId="564" priority="777"/>
    <cfRule type="duplicateValues" dxfId="563" priority="778"/>
    <cfRule type="duplicateValues" dxfId="562" priority="779"/>
  </conditionalFormatting>
  <conditionalFormatting sqref="L12:L13">
    <cfRule type="duplicateValues" dxfId="561" priority="773"/>
  </conditionalFormatting>
  <conditionalFormatting sqref="M12:M13">
    <cfRule type="duplicateValues" dxfId="560" priority="772"/>
  </conditionalFormatting>
  <conditionalFormatting sqref="M14">
    <cfRule type="duplicateValues" dxfId="559" priority="771"/>
  </conditionalFormatting>
  <conditionalFormatting sqref="L12:L13">
    <cfRule type="duplicateValues" dxfId="558" priority="766"/>
    <cfRule type="duplicateValues" dxfId="557" priority="767"/>
    <cfRule type="duplicateValues" dxfId="556" priority="768"/>
    <cfRule type="duplicateValues" dxfId="555" priority="769"/>
    <cfRule type="duplicateValues" dxfId="554" priority="770"/>
  </conditionalFormatting>
  <conditionalFormatting sqref="L14:L15">
    <cfRule type="duplicateValues" dxfId="553" priority="764"/>
    <cfRule type="duplicateValues" dxfId="552" priority="765"/>
  </conditionalFormatting>
  <conditionalFormatting sqref="M18">
    <cfRule type="duplicateValues" dxfId="551" priority="763"/>
  </conditionalFormatting>
  <conditionalFormatting sqref="L16">
    <cfRule type="duplicateValues" dxfId="550" priority="761"/>
    <cfRule type="duplicateValues" dxfId="549" priority="762"/>
  </conditionalFormatting>
  <conditionalFormatting sqref="L16:L19">
    <cfRule type="duplicateValues" dxfId="548" priority="759"/>
    <cfRule type="duplicateValues" dxfId="547" priority="760"/>
  </conditionalFormatting>
  <conditionalFormatting sqref="L12:L19">
    <cfRule type="duplicateValues" dxfId="546" priority="758"/>
  </conditionalFormatting>
  <conditionalFormatting sqref="L12:L19">
    <cfRule type="duplicateValues" dxfId="545" priority="755"/>
    <cfRule type="duplicateValues" dxfId="544" priority="756"/>
    <cfRule type="duplicateValues" dxfId="543" priority="757"/>
  </conditionalFormatting>
  <conditionalFormatting sqref="L12:L15">
    <cfRule type="duplicateValues" dxfId="542" priority="741"/>
  </conditionalFormatting>
  <conditionalFormatting sqref="L12:L15">
    <cfRule type="duplicateValues" dxfId="541" priority="738"/>
    <cfRule type="duplicateValues" dxfId="540" priority="739"/>
    <cfRule type="duplicateValues" dxfId="539" priority="740"/>
  </conditionalFormatting>
  <conditionalFormatting sqref="L16:L17">
    <cfRule type="duplicateValues" dxfId="538" priority="734"/>
  </conditionalFormatting>
  <conditionalFormatting sqref="M16:M17">
    <cfRule type="duplicateValues" dxfId="537" priority="733"/>
  </conditionalFormatting>
  <conditionalFormatting sqref="L16:L17">
    <cfRule type="duplicateValues" dxfId="536" priority="727"/>
    <cfRule type="duplicateValues" dxfId="535" priority="728"/>
    <cfRule type="duplicateValues" dxfId="534" priority="729"/>
    <cfRule type="duplicateValues" dxfId="533" priority="730"/>
    <cfRule type="duplicateValues" dxfId="532" priority="731"/>
  </conditionalFormatting>
  <conditionalFormatting sqref="L18:L19">
    <cfRule type="duplicateValues" dxfId="531" priority="725"/>
    <cfRule type="duplicateValues" dxfId="530" priority="726"/>
  </conditionalFormatting>
  <conditionalFormatting sqref="L16:L19">
    <cfRule type="duplicateValues" dxfId="529" priority="724"/>
  </conditionalFormatting>
  <conditionalFormatting sqref="L16:L19">
    <cfRule type="duplicateValues" dxfId="528" priority="721"/>
    <cfRule type="duplicateValues" dxfId="527" priority="722"/>
    <cfRule type="duplicateValues" dxfId="526" priority="723"/>
  </conditionalFormatting>
  <conditionalFormatting sqref="L20:L21">
    <cfRule type="duplicateValues" dxfId="525" priority="717"/>
  </conditionalFormatting>
  <conditionalFormatting sqref="M20:M21">
    <cfRule type="duplicateValues" dxfId="524" priority="716"/>
  </conditionalFormatting>
  <conditionalFormatting sqref="M22">
    <cfRule type="duplicateValues" dxfId="523" priority="715"/>
  </conditionalFormatting>
  <conditionalFormatting sqref="L20:L21">
    <cfRule type="duplicateValues" dxfId="522" priority="710"/>
    <cfRule type="duplicateValues" dxfId="521" priority="711"/>
    <cfRule type="duplicateValues" dxfId="520" priority="712"/>
    <cfRule type="duplicateValues" dxfId="519" priority="713"/>
    <cfRule type="duplicateValues" dxfId="518" priority="714"/>
  </conditionalFormatting>
  <conditionalFormatting sqref="L22:L23">
    <cfRule type="duplicateValues" dxfId="517" priority="708"/>
    <cfRule type="duplicateValues" dxfId="516" priority="709"/>
  </conditionalFormatting>
  <conditionalFormatting sqref="M26">
    <cfRule type="duplicateValues" dxfId="515" priority="707"/>
  </conditionalFormatting>
  <conditionalFormatting sqref="L24">
    <cfRule type="duplicateValues" dxfId="514" priority="705"/>
    <cfRule type="duplicateValues" dxfId="513" priority="706"/>
  </conditionalFormatting>
  <conditionalFormatting sqref="L24:L27">
    <cfRule type="duplicateValues" dxfId="512" priority="703"/>
    <cfRule type="duplicateValues" dxfId="511" priority="704"/>
  </conditionalFormatting>
  <conditionalFormatting sqref="L20:L27">
    <cfRule type="duplicateValues" dxfId="510" priority="702"/>
  </conditionalFormatting>
  <conditionalFormatting sqref="L20:L27">
    <cfRule type="duplicateValues" dxfId="509" priority="699"/>
    <cfRule type="duplicateValues" dxfId="508" priority="700"/>
    <cfRule type="duplicateValues" dxfId="507" priority="701"/>
  </conditionalFormatting>
  <conditionalFormatting sqref="L20:L23">
    <cfRule type="duplicateValues" dxfId="506" priority="685"/>
  </conditionalFormatting>
  <conditionalFormatting sqref="L20:L23">
    <cfRule type="duplicateValues" dxfId="505" priority="682"/>
    <cfRule type="duplicateValues" dxfId="504" priority="683"/>
    <cfRule type="duplicateValues" dxfId="503" priority="684"/>
  </conditionalFormatting>
  <conditionalFormatting sqref="L24:L25">
    <cfRule type="duplicateValues" dxfId="502" priority="678"/>
  </conditionalFormatting>
  <conditionalFormatting sqref="M24:M25">
    <cfRule type="duplicateValues" dxfId="501" priority="677"/>
  </conditionalFormatting>
  <conditionalFormatting sqref="L24:L25">
    <cfRule type="duplicateValues" dxfId="500" priority="671"/>
    <cfRule type="duplicateValues" dxfId="499" priority="672"/>
    <cfRule type="duplicateValues" dxfId="498" priority="673"/>
    <cfRule type="duplicateValues" dxfId="497" priority="674"/>
    <cfRule type="duplicateValues" dxfId="496" priority="675"/>
  </conditionalFormatting>
  <conditionalFormatting sqref="L26:L27">
    <cfRule type="duplicateValues" dxfId="495" priority="669"/>
    <cfRule type="duplicateValues" dxfId="494" priority="670"/>
  </conditionalFormatting>
  <conditionalFormatting sqref="L24:L27">
    <cfRule type="duplicateValues" dxfId="493" priority="668"/>
  </conditionalFormatting>
  <conditionalFormatting sqref="L24:L27">
    <cfRule type="duplicateValues" dxfId="492" priority="665"/>
    <cfRule type="duplicateValues" dxfId="491" priority="666"/>
    <cfRule type="duplicateValues" dxfId="490" priority="667"/>
  </conditionalFormatting>
  <conditionalFormatting sqref="L28:L29">
    <cfRule type="duplicateValues" dxfId="489" priority="661"/>
  </conditionalFormatting>
  <conditionalFormatting sqref="M28:M29">
    <cfRule type="duplicateValues" dxfId="488" priority="660"/>
  </conditionalFormatting>
  <conditionalFormatting sqref="M30">
    <cfRule type="duplicateValues" dxfId="487" priority="659"/>
  </conditionalFormatting>
  <conditionalFormatting sqref="L28:L29">
    <cfRule type="duplicateValues" dxfId="486" priority="654"/>
    <cfRule type="duplicateValues" dxfId="485" priority="655"/>
    <cfRule type="duplicateValues" dxfId="484" priority="656"/>
    <cfRule type="duplicateValues" dxfId="483" priority="657"/>
    <cfRule type="duplicateValues" dxfId="482" priority="658"/>
  </conditionalFormatting>
  <conditionalFormatting sqref="L30:L31">
    <cfRule type="duplicateValues" dxfId="481" priority="652"/>
    <cfRule type="duplicateValues" dxfId="480" priority="653"/>
  </conditionalFormatting>
  <conditionalFormatting sqref="M34">
    <cfRule type="duplicateValues" dxfId="479" priority="651"/>
  </conditionalFormatting>
  <conditionalFormatting sqref="L32">
    <cfRule type="duplicateValues" dxfId="478" priority="649"/>
    <cfRule type="duplicateValues" dxfId="477" priority="650"/>
  </conditionalFormatting>
  <conditionalFormatting sqref="L32:L35">
    <cfRule type="duplicateValues" dxfId="476" priority="647"/>
    <cfRule type="duplicateValues" dxfId="475" priority="648"/>
  </conditionalFormatting>
  <conditionalFormatting sqref="L28:L35">
    <cfRule type="duplicateValues" dxfId="474" priority="646"/>
  </conditionalFormatting>
  <conditionalFormatting sqref="L28:L35">
    <cfRule type="duplicateValues" dxfId="473" priority="643"/>
    <cfRule type="duplicateValues" dxfId="472" priority="644"/>
    <cfRule type="duplicateValues" dxfId="471" priority="645"/>
  </conditionalFormatting>
  <conditionalFormatting sqref="L28:L31">
    <cfRule type="duplicateValues" dxfId="470" priority="629"/>
  </conditionalFormatting>
  <conditionalFormatting sqref="L28:L31">
    <cfRule type="duplicateValues" dxfId="469" priority="626"/>
    <cfRule type="duplicateValues" dxfId="468" priority="627"/>
    <cfRule type="duplicateValues" dxfId="467" priority="628"/>
  </conditionalFormatting>
  <conditionalFormatting sqref="L32:L33">
    <cfRule type="duplicateValues" dxfId="466" priority="622"/>
  </conditionalFormatting>
  <conditionalFormatting sqref="M32:M33">
    <cfRule type="duplicateValues" dxfId="465" priority="621"/>
  </conditionalFormatting>
  <conditionalFormatting sqref="L32:L33">
    <cfRule type="duplicateValues" dxfId="464" priority="615"/>
    <cfRule type="duplicateValues" dxfId="463" priority="616"/>
    <cfRule type="duplicateValues" dxfId="462" priority="617"/>
    <cfRule type="duplicateValues" dxfId="461" priority="618"/>
    <cfRule type="duplicateValues" dxfId="460" priority="619"/>
  </conditionalFormatting>
  <conditionalFormatting sqref="L34:L35">
    <cfRule type="duplicateValues" dxfId="459" priority="613"/>
    <cfRule type="duplicateValues" dxfId="458" priority="614"/>
  </conditionalFormatting>
  <conditionalFormatting sqref="L32:L35">
    <cfRule type="duplicateValues" dxfId="457" priority="612"/>
  </conditionalFormatting>
  <conditionalFormatting sqref="L32:L35">
    <cfRule type="duplicateValues" dxfId="456" priority="609"/>
    <cfRule type="duplicateValues" dxfId="455" priority="610"/>
    <cfRule type="duplicateValues" dxfId="454" priority="611"/>
  </conditionalFormatting>
  <conditionalFormatting sqref="L36:L37">
    <cfRule type="duplicateValues" dxfId="453" priority="605"/>
  </conditionalFormatting>
  <conditionalFormatting sqref="M36:M37">
    <cfRule type="duplicateValues" dxfId="452" priority="604"/>
  </conditionalFormatting>
  <conditionalFormatting sqref="M38">
    <cfRule type="duplicateValues" dxfId="451" priority="603"/>
  </conditionalFormatting>
  <conditionalFormatting sqref="L36:L37">
    <cfRule type="duplicateValues" dxfId="450" priority="598"/>
    <cfRule type="duplicateValues" dxfId="449" priority="599"/>
    <cfRule type="duplicateValues" dxfId="448" priority="600"/>
    <cfRule type="duplicateValues" dxfId="447" priority="601"/>
    <cfRule type="duplicateValues" dxfId="446" priority="602"/>
  </conditionalFormatting>
  <conditionalFormatting sqref="L38:L39">
    <cfRule type="duplicateValues" dxfId="445" priority="596"/>
    <cfRule type="duplicateValues" dxfId="444" priority="597"/>
  </conditionalFormatting>
  <conditionalFormatting sqref="M42">
    <cfRule type="duplicateValues" dxfId="443" priority="595"/>
  </conditionalFormatting>
  <conditionalFormatting sqref="L40">
    <cfRule type="duplicateValues" dxfId="442" priority="593"/>
    <cfRule type="duplicateValues" dxfId="441" priority="594"/>
  </conditionalFormatting>
  <conditionalFormatting sqref="L40 L42:L43">
    <cfRule type="duplicateValues" dxfId="440" priority="591"/>
    <cfRule type="duplicateValues" dxfId="439" priority="592"/>
  </conditionalFormatting>
  <conditionalFormatting sqref="L36:L40 L42:L43">
    <cfRule type="duplicateValues" dxfId="438" priority="590"/>
  </conditionalFormatting>
  <conditionalFormatting sqref="L36:L40 L42:L43">
    <cfRule type="duplicateValues" dxfId="437" priority="587"/>
    <cfRule type="duplicateValues" dxfId="436" priority="588"/>
    <cfRule type="duplicateValues" dxfId="435" priority="589"/>
  </conditionalFormatting>
  <conditionalFormatting sqref="L36:L39">
    <cfRule type="duplicateValues" dxfId="434" priority="573"/>
  </conditionalFormatting>
  <conditionalFormatting sqref="L36:L39">
    <cfRule type="duplicateValues" dxfId="433" priority="570"/>
    <cfRule type="duplicateValues" dxfId="432" priority="571"/>
    <cfRule type="duplicateValues" dxfId="431" priority="572"/>
  </conditionalFormatting>
  <conditionalFormatting sqref="L40">
    <cfRule type="duplicateValues" dxfId="430" priority="566"/>
  </conditionalFormatting>
  <conditionalFormatting sqref="M41">
    <cfRule type="duplicateValues" dxfId="429" priority="565"/>
  </conditionalFormatting>
  <conditionalFormatting sqref="L40">
    <cfRule type="duplicateValues" dxfId="428" priority="559"/>
    <cfRule type="duplicateValues" dxfId="427" priority="560"/>
    <cfRule type="duplicateValues" dxfId="426" priority="561"/>
    <cfRule type="duplicateValues" dxfId="425" priority="562"/>
    <cfRule type="duplicateValues" dxfId="424" priority="563"/>
  </conditionalFormatting>
  <conditionalFormatting sqref="L42:L43">
    <cfRule type="duplicateValues" dxfId="423" priority="557"/>
    <cfRule type="duplicateValues" dxfId="422" priority="558"/>
  </conditionalFormatting>
  <conditionalFormatting sqref="L40 L42:L43">
    <cfRule type="duplicateValues" dxfId="421" priority="556"/>
  </conditionalFormatting>
  <conditionalFormatting sqref="L40 L42:L43">
    <cfRule type="duplicateValues" dxfId="420" priority="553"/>
    <cfRule type="duplicateValues" dxfId="419" priority="554"/>
    <cfRule type="duplicateValues" dxfId="418" priority="555"/>
  </conditionalFormatting>
  <conditionalFormatting sqref="L44:L45">
    <cfRule type="duplicateValues" dxfId="417" priority="549"/>
  </conditionalFormatting>
  <conditionalFormatting sqref="M44:M45">
    <cfRule type="duplicateValues" dxfId="416" priority="548"/>
  </conditionalFormatting>
  <conditionalFormatting sqref="M46">
    <cfRule type="duplicateValues" dxfId="415" priority="547"/>
  </conditionalFormatting>
  <conditionalFormatting sqref="L44:L45">
    <cfRule type="duplicateValues" dxfId="414" priority="542"/>
    <cfRule type="duplicateValues" dxfId="413" priority="543"/>
    <cfRule type="duplicateValues" dxfId="412" priority="544"/>
    <cfRule type="duplicateValues" dxfId="411" priority="545"/>
    <cfRule type="duplicateValues" dxfId="410" priority="546"/>
  </conditionalFormatting>
  <conditionalFormatting sqref="L46:L47">
    <cfRule type="duplicateValues" dxfId="409" priority="540"/>
    <cfRule type="duplicateValues" dxfId="408" priority="541"/>
  </conditionalFormatting>
  <conditionalFormatting sqref="M50">
    <cfRule type="duplicateValues" dxfId="407" priority="539"/>
  </conditionalFormatting>
  <conditionalFormatting sqref="L48">
    <cfRule type="duplicateValues" dxfId="406" priority="537"/>
    <cfRule type="duplicateValues" dxfId="405" priority="538"/>
  </conditionalFormatting>
  <conditionalFormatting sqref="L48:L51">
    <cfRule type="duplicateValues" dxfId="404" priority="535"/>
    <cfRule type="duplicateValues" dxfId="403" priority="536"/>
  </conditionalFormatting>
  <conditionalFormatting sqref="L44:L51">
    <cfRule type="duplicateValues" dxfId="402" priority="534"/>
  </conditionalFormatting>
  <conditionalFormatting sqref="L44:L51">
    <cfRule type="duplicateValues" dxfId="401" priority="531"/>
    <cfRule type="duplicateValues" dxfId="400" priority="532"/>
    <cfRule type="duplicateValues" dxfId="399" priority="533"/>
  </conditionalFormatting>
  <conditionalFormatting sqref="L44:L47">
    <cfRule type="duplicateValues" dxfId="398" priority="517"/>
  </conditionalFormatting>
  <conditionalFormatting sqref="L44:L47">
    <cfRule type="duplicateValues" dxfId="397" priority="514"/>
    <cfRule type="duplicateValues" dxfId="396" priority="515"/>
    <cfRule type="duplicateValues" dxfId="395" priority="516"/>
  </conditionalFormatting>
  <conditionalFormatting sqref="L48:L49">
    <cfRule type="duplicateValues" dxfId="394" priority="510"/>
  </conditionalFormatting>
  <conditionalFormatting sqref="M48:M49">
    <cfRule type="duplicateValues" dxfId="393" priority="509"/>
  </conditionalFormatting>
  <conditionalFormatting sqref="L48:L49">
    <cfRule type="duplicateValues" dxfId="392" priority="503"/>
    <cfRule type="duplicateValues" dxfId="391" priority="504"/>
    <cfRule type="duplicateValues" dxfId="390" priority="505"/>
    <cfRule type="duplicateValues" dxfId="389" priority="506"/>
    <cfRule type="duplicateValues" dxfId="388" priority="507"/>
  </conditionalFormatting>
  <conditionalFormatting sqref="L50:L51">
    <cfRule type="duplicateValues" dxfId="387" priority="501"/>
    <cfRule type="duplicateValues" dxfId="386" priority="502"/>
  </conditionalFormatting>
  <conditionalFormatting sqref="L48:L51">
    <cfRule type="duplicateValues" dxfId="385" priority="500"/>
  </conditionalFormatting>
  <conditionalFormatting sqref="L48:L51">
    <cfRule type="duplicateValues" dxfId="384" priority="497"/>
    <cfRule type="duplicateValues" dxfId="383" priority="498"/>
    <cfRule type="duplicateValues" dxfId="382" priority="499"/>
  </conditionalFormatting>
  <conditionalFormatting sqref="L4:L40 L42:L51">
    <cfRule type="duplicateValues" dxfId="381" priority="493"/>
  </conditionalFormatting>
  <conditionalFormatting sqref="U8:U9 U12:U51 T10:T11 T6:T7">
    <cfRule type="duplicateValues" dxfId="380" priority="84"/>
  </conditionalFormatting>
  <conditionalFormatting sqref="V8:V9 V12:V51 U10:U11 U6:U7">
    <cfRule type="duplicateValues" dxfId="379" priority="83"/>
  </conditionalFormatting>
  <conditionalFormatting sqref="X4:X50">
    <cfRule type="duplicateValues" dxfId="378" priority="82"/>
  </conditionalFormatting>
  <conditionalFormatting sqref="Y4:Y49">
    <cfRule type="duplicateValues" dxfId="377" priority="81"/>
  </conditionalFormatting>
  <conditionalFormatting sqref="G52">
    <cfRule type="duplicateValues" dxfId="79" priority="80"/>
  </conditionalFormatting>
  <conditionalFormatting sqref="H54:H55">
    <cfRule type="duplicateValues" dxfId="78" priority="79"/>
  </conditionalFormatting>
  <conditionalFormatting sqref="I54:I55">
    <cfRule type="duplicateValues" dxfId="77" priority="78"/>
  </conditionalFormatting>
  <conditionalFormatting sqref="G52:G55">
    <cfRule type="duplicateValues" dxfId="76" priority="77"/>
  </conditionalFormatting>
  <conditionalFormatting sqref="H54:H55">
    <cfRule type="duplicateValues" dxfId="75" priority="72"/>
    <cfRule type="duplicateValues" dxfId="74" priority="73"/>
    <cfRule type="duplicateValues" dxfId="73" priority="74"/>
    <cfRule type="duplicateValues" dxfId="72" priority="75"/>
    <cfRule type="duplicateValues" dxfId="71" priority="76"/>
  </conditionalFormatting>
  <conditionalFormatting sqref="A54:A55">
    <cfRule type="duplicateValues" dxfId="70" priority="70"/>
    <cfRule type="duplicateValues" dxfId="69" priority="71"/>
  </conditionalFormatting>
  <conditionalFormatting sqref="I52:I55">
    <cfRule type="duplicateValues" dxfId="68" priority="69"/>
  </conditionalFormatting>
  <conditionalFormatting sqref="A52:A55">
    <cfRule type="duplicateValues" dxfId="67" priority="68"/>
  </conditionalFormatting>
  <conditionalFormatting sqref="H52:H55">
    <cfRule type="duplicateValues" dxfId="66" priority="67"/>
  </conditionalFormatting>
  <conditionalFormatting sqref="I52:I55">
    <cfRule type="duplicateValues" dxfId="65" priority="66"/>
  </conditionalFormatting>
  <conditionalFormatting sqref="O52:O53">
    <cfRule type="duplicateValues" dxfId="64" priority="65"/>
  </conditionalFormatting>
  <conditionalFormatting sqref="O53">
    <cfRule type="duplicateValues" dxfId="63" priority="64"/>
  </conditionalFormatting>
  <conditionalFormatting sqref="O54:O55">
    <cfRule type="duplicateValues" dxfId="62" priority="63"/>
  </conditionalFormatting>
  <conditionalFormatting sqref="P53">
    <cfRule type="duplicateValues" dxfId="61" priority="62"/>
  </conditionalFormatting>
  <conditionalFormatting sqref="R54:R55">
    <cfRule type="duplicateValues" dxfId="60" priority="61"/>
  </conditionalFormatting>
  <conditionalFormatting sqref="Q54:Q55">
    <cfRule type="duplicateValues" dxfId="59" priority="60"/>
  </conditionalFormatting>
  <conditionalFormatting sqref="Q54:Q55 U53">
    <cfRule type="duplicateValues" dxfId="58" priority="59"/>
  </conditionalFormatting>
  <conditionalFormatting sqref="S54:S55">
    <cfRule type="duplicateValues" dxfId="57" priority="58"/>
  </conditionalFormatting>
  <conditionalFormatting sqref="V52:V53">
    <cfRule type="duplicateValues" dxfId="56" priority="57"/>
  </conditionalFormatting>
  <conditionalFormatting sqref="T54:T55">
    <cfRule type="duplicateValues" dxfId="55" priority="56"/>
  </conditionalFormatting>
  <conditionalFormatting sqref="T54:T55">
    <cfRule type="duplicateValues" dxfId="54" priority="54"/>
    <cfRule type="duplicateValues" dxfId="53" priority="55"/>
  </conditionalFormatting>
  <conditionalFormatting sqref="V54:V55">
    <cfRule type="duplicateValues" dxfId="52" priority="52"/>
    <cfRule type="duplicateValues" dxfId="51" priority="53"/>
  </conditionalFormatting>
  <conditionalFormatting sqref="Y52:Y55">
    <cfRule type="duplicateValues" dxfId="50" priority="51"/>
  </conditionalFormatting>
  <conditionalFormatting sqref="U54:U55">
    <cfRule type="duplicateValues" dxfId="49" priority="50"/>
  </conditionalFormatting>
  <conditionalFormatting sqref="H52:H55">
    <cfRule type="duplicateValues" dxfId="48" priority="45"/>
    <cfRule type="duplicateValues" dxfId="47" priority="46"/>
    <cfRule type="duplicateValues" dxfId="46" priority="47"/>
    <cfRule type="duplicateValues" dxfId="45" priority="48"/>
    <cfRule type="duplicateValues" dxfId="44" priority="49"/>
  </conditionalFormatting>
  <conditionalFormatting sqref="G52:G55">
    <cfRule type="duplicateValues" dxfId="43" priority="44"/>
  </conditionalFormatting>
  <conditionalFormatting sqref="I52:I55">
    <cfRule type="duplicateValues" dxfId="42" priority="43"/>
  </conditionalFormatting>
  <conditionalFormatting sqref="A52:A55">
    <cfRule type="duplicateValues" dxfId="41" priority="42"/>
  </conditionalFormatting>
  <conditionalFormatting sqref="H52:H55">
    <cfRule type="duplicateValues" dxfId="40" priority="41"/>
  </conditionalFormatting>
  <conditionalFormatting sqref="I52:I55">
    <cfRule type="duplicateValues" dxfId="39" priority="40"/>
  </conditionalFormatting>
  <conditionalFormatting sqref="F52:F55">
    <cfRule type="duplicateValues" dxfId="38" priority="38"/>
    <cfRule type="duplicateValues" dxfId="37" priority="39"/>
  </conditionalFormatting>
  <conditionalFormatting sqref="S54:S55">
    <cfRule type="duplicateValues" dxfId="36" priority="37"/>
  </conditionalFormatting>
  <conditionalFormatting sqref="S54:S55">
    <cfRule type="duplicateValues" dxfId="35" priority="36"/>
  </conditionalFormatting>
  <conditionalFormatting sqref="S54:S55">
    <cfRule type="duplicateValues" dxfId="34" priority="35"/>
  </conditionalFormatting>
  <conditionalFormatting sqref="S52:S53 Q54:Q55">
    <cfRule type="duplicateValues" dxfId="33" priority="34"/>
  </conditionalFormatting>
  <conditionalFormatting sqref="U52:U53">
    <cfRule type="duplicateValues" dxfId="32" priority="33"/>
  </conditionalFormatting>
  <conditionalFormatting sqref="V52:V53 T54:T55">
    <cfRule type="duplicateValues" dxfId="31" priority="32"/>
  </conditionalFormatting>
  <conditionalFormatting sqref="V52:V55">
    <cfRule type="duplicateValues" dxfId="30" priority="30"/>
    <cfRule type="duplicateValues" dxfId="29" priority="31"/>
  </conditionalFormatting>
  <conditionalFormatting sqref="Y52:Y55">
    <cfRule type="duplicateValues" dxfId="28" priority="29"/>
  </conditionalFormatting>
  <conditionalFormatting sqref="F52:F55">
    <cfRule type="duplicateValues" dxfId="27" priority="28"/>
  </conditionalFormatting>
  <conditionalFormatting sqref="M54">
    <cfRule type="duplicateValues" dxfId="26" priority="27"/>
  </conditionalFormatting>
  <conditionalFormatting sqref="L52">
    <cfRule type="duplicateValues" dxfId="25" priority="25"/>
    <cfRule type="duplicateValues" dxfId="24" priority="26"/>
  </conditionalFormatting>
  <conditionalFormatting sqref="L52:L55">
    <cfRule type="duplicateValues" dxfId="23" priority="23"/>
    <cfRule type="duplicateValues" dxfId="22" priority="24"/>
  </conditionalFormatting>
  <conditionalFormatting sqref="L52:L55">
    <cfRule type="duplicateValues" dxfId="21" priority="22"/>
  </conditionalFormatting>
  <conditionalFormatting sqref="L52:L55">
    <cfRule type="duplicateValues" dxfId="20" priority="19"/>
    <cfRule type="duplicateValues" dxfId="19" priority="20"/>
    <cfRule type="duplicateValues" dxfId="18" priority="21"/>
  </conditionalFormatting>
  <conditionalFormatting sqref="L52:L53">
    <cfRule type="duplicateValues" dxfId="17" priority="18"/>
  </conditionalFormatting>
  <conditionalFormatting sqref="M52:M53">
    <cfRule type="duplicateValues" dxfId="16" priority="17"/>
  </conditionalFormatting>
  <conditionalFormatting sqref="L52:L53">
    <cfRule type="duplicateValues" dxfId="15" priority="12"/>
    <cfRule type="duplicateValues" dxfId="14" priority="13"/>
    <cfRule type="duplicateValues" dxfId="13" priority="14"/>
    <cfRule type="duplicateValues" dxfId="12" priority="15"/>
    <cfRule type="duplicateValues" dxfId="11" priority="16"/>
  </conditionalFormatting>
  <conditionalFormatting sqref="L54:L55">
    <cfRule type="duplicateValues" dxfId="10" priority="10"/>
    <cfRule type="duplicateValues" dxfId="9" priority="11"/>
  </conditionalFormatting>
  <conditionalFormatting sqref="L52:L55">
    <cfRule type="duplicateValues" dxfId="8" priority="9"/>
  </conditionalFormatting>
  <conditionalFormatting sqref="L52:L55">
    <cfRule type="duplicateValues" dxfId="7" priority="6"/>
    <cfRule type="duplicateValues" dxfId="6" priority="7"/>
    <cfRule type="duplicateValues" dxfId="5" priority="8"/>
  </conditionalFormatting>
  <conditionalFormatting sqref="L52:L55">
    <cfRule type="duplicateValues" dxfId="4" priority="5"/>
  </conditionalFormatting>
  <conditionalFormatting sqref="U52:U55">
    <cfRule type="duplicateValues" dxfId="3" priority="4"/>
  </conditionalFormatting>
  <conditionalFormatting sqref="V52:V55">
    <cfRule type="duplicateValues" dxfId="2" priority="3"/>
  </conditionalFormatting>
  <conditionalFormatting sqref="X52:X54">
    <cfRule type="duplicateValues" dxfId="1" priority="2"/>
  </conditionalFormatting>
  <conditionalFormatting sqref="Y52:Y53">
    <cfRule type="duplicateValues" dxfId="0" priority="1"/>
  </conditionalFormatting>
  <pageMargins left="0.23" right="0.23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B1:AC183"/>
  <sheetViews>
    <sheetView zoomScale="80" zoomScaleNormal="80" workbookViewId="0">
      <selection activeCell="M3" sqref="M3:M6"/>
    </sheetView>
  </sheetViews>
  <sheetFormatPr defaultRowHeight="15"/>
  <cols>
    <col min="3" max="3" width="11.7109375" customWidth="1"/>
    <col min="4" max="4" width="14.28515625" customWidth="1"/>
    <col min="5" max="5" width="11.28515625" customWidth="1"/>
    <col min="8" max="8" width="11.42578125" bestFit="1" customWidth="1"/>
    <col min="9" max="9" width="12.140625" bestFit="1" customWidth="1"/>
    <col min="10" max="10" width="18" bestFit="1" customWidth="1"/>
    <col min="13" max="13" width="12.140625" customWidth="1"/>
  </cols>
  <sheetData>
    <row r="1" spans="2:29">
      <c r="H1" s="5" t="s">
        <v>6</v>
      </c>
      <c r="I1" s="5" t="s">
        <v>7</v>
      </c>
      <c r="J1" s="5" t="s">
        <v>8</v>
      </c>
      <c r="L1" s="4" t="s">
        <v>13</v>
      </c>
      <c r="M1">
        <v>100</v>
      </c>
    </row>
    <row r="2" spans="2:29">
      <c r="B2" s="24" t="s">
        <v>48</v>
      </c>
      <c r="C2" s="23" t="s">
        <v>49</v>
      </c>
      <c r="D2" t="s">
        <v>50</v>
      </c>
      <c r="E2" t="s">
        <v>51</v>
      </c>
      <c r="F2" s="16" t="s">
        <v>11</v>
      </c>
      <c r="H2" t="s">
        <v>0</v>
      </c>
      <c r="I2" t="s">
        <v>0</v>
      </c>
      <c r="J2" t="s">
        <v>10</v>
      </c>
      <c r="L2" s="23" t="s">
        <v>58</v>
      </c>
      <c r="M2" s="29">
        <f>AC148</f>
        <v>4.073776223776223E-2</v>
      </c>
    </row>
    <row r="3" spans="2:29">
      <c r="B3" s="8" t="s">
        <v>52</v>
      </c>
      <c r="C3" t="s">
        <v>53</v>
      </c>
      <c r="D3" t="s">
        <v>0</v>
      </c>
      <c r="E3" t="s">
        <v>1</v>
      </c>
      <c r="F3" s="16" t="s">
        <v>0</v>
      </c>
      <c r="L3" s="23" t="s">
        <v>19</v>
      </c>
      <c r="M3" s="24">
        <f>SUM(J4:J147)</f>
        <v>7.7626906618957117E-2</v>
      </c>
      <c r="AB3">
        <f>MAX(AB4:AB148)</f>
        <v>2.903</v>
      </c>
    </row>
    <row r="4" spans="2:29">
      <c r="B4" s="9">
        <v>0.28000000000000003</v>
      </c>
      <c r="C4" s="2">
        <v>27.97</v>
      </c>
      <c r="D4">
        <v>3.5960000000000001</v>
      </c>
      <c r="E4" s="2">
        <v>86.78</v>
      </c>
      <c r="F4" s="23">
        <f t="shared" ref="F4:F67" si="0">IF(C4=MEDIAN($M$1-1,$M$1+1,C4),IF(D4&lt;=AVERAGE($AB$3,AVERAGEIF($B$4:$B$200,"&gt;20",$D$4:$D$200)),D4,0),0)</f>
        <v>0</v>
      </c>
      <c r="H4" s="6">
        <f>IF(MATCH(F4,$F$4:$F$200,0)&gt;=MATCH(MAX($F$4:$F$200),$F$4:$F$200,0),$M$4+($M$5-$M$4)*(1-EXP(-B4/$M$6)),0)</f>
        <v>0</v>
      </c>
      <c r="I4" s="6">
        <f>IF(H4&gt;0,D4-H4,0)</f>
        <v>0</v>
      </c>
      <c r="J4" s="6">
        <f t="shared" ref="J4:J12" si="1">I4^2</f>
        <v>0</v>
      </c>
      <c r="L4" t="s">
        <v>3</v>
      </c>
      <c r="M4" s="8">
        <v>5.1799421936728249</v>
      </c>
      <c r="AB4">
        <f t="array" ref="AB4">MAX(IF($C$4:$C$200=MEDIAN($M$1-1,$M$1+1,C4),$D$4:$D$200,0))</f>
        <v>0</v>
      </c>
      <c r="AC4">
        <f>ABS(D4-D5)</f>
        <v>1.599</v>
      </c>
    </row>
    <row r="5" spans="2:29">
      <c r="B5" s="8">
        <v>0.55200000000000005</v>
      </c>
      <c r="C5" s="2">
        <v>27.97</v>
      </c>
      <c r="D5">
        <v>1.9970000000000001</v>
      </c>
      <c r="E5" s="2">
        <v>86.78</v>
      </c>
      <c r="F5" s="23">
        <f t="shared" si="0"/>
        <v>0</v>
      </c>
      <c r="H5" s="6">
        <f t="shared" ref="H5:H35" si="2">IF(MATCH(F5,$F$4:$F$200,0)&gt;=MATCH(MAX($F$4:$F$200),$F$4:$F$200,0),$M$4+($M$5-$M$4)*(1-EXP(-B5/$M$6)),0)</f>
        <v>0</v>
      </c>
      <c r="I5" s="6">
        <f t="shared" ref="I5:I35" si="3">IF(H5&gt;0,D5-H5,0)</f>
        <v>0</v>
      </c>
      <c r="J5" s="6">
        <f t="shared" si="1"/>
        <v>0</v>
      </c>
      <c r="L5" t="s">
        <v>4</v>
      </c>
      <c r="M5" s="9">
        <v>0.30732436820643333</v>
      </c>
      <c r="AB5">
        <f t="array" ref="AB5">MAX(IF($C$4:$C$200=MEDIAN($M$1-1,$M$1+1,C5),$D$4:$D$200,0))</f>
        <v>0</v>
      </c>
      <c r="AC5" s="23">
        <f t="shared" ref="AC5:AC68" si="4">ABS(D5-D6)</f>
        <v>0.70799999999999996</v>
      </c>
    </row>
    <row r="6" spans="2:29">
      <c r="B6" s="2">
        <v>0.76</v>
      </c>
      <c r="C6" s="2">
        <v>110</v>
      </c>
      <c r="D6">
        <v>2.7050000000000001</v>
      </c>
      <c r="E6" s="2">
        <v>197.1</v>
      </c>
      <c r="F6" s="23">
        <f t="shared" si="0"/>
        <v>0</v>
      </c>
      <c r="H6" s="6">
        <f t="shared" si="2"/>
        <v>0</v>
      </c>
      <c r="I6" s="6">
        <f t="shared" si="3"/>
        <v>0</v>
      </c>
      <c r="J6" s="6">
        <f t="shared" si="1"/>
        <v>0</v>
      </c>
      <c r="L6" t="s">
        <v>9</v>
      </c>
      <c r="M6" s="8">
        <v>2.7989570981133713</v>
      </c>
      <c r="AB6">
        <f t="array" ref="AB6">MAX(IF($C$4:$C$200=MEDIAN($M$1-1,$M$1+1,C6),$D$4:$D$200,0))</f>
        <v>0</v>
      </c>
      <c r="AC6" s="23">
        <f t="shared" si="4"/>
        <v>0.19799999999999995</v>
      </c>
    </row>
    <row r="7" spans="2:29">
      <c r="B7" s="2">
        <v>0.94</v>
      </c>
      <c r="C7" s="2">
        <v>110</v>
      </c>
      <c r="D7">
        <v>2.903</v>
      </c>
      <c r="E7" s="2">
        <v>197.1</v>
      </c>
      <c r="F7" s="23">
        <f t="shared" si="0"/>
        <v>0</v>
      </c>
      <c r="H7" s="6">
        <f t="shared" si="2"/>
        <v>0</v>
      </c>
      <c r="I7" s="6">
        <f t="shared" si="3"/>
        <v>0</v>
      </c>
      <c r="J7" s="6">
        <f t="shared" si="1"/>
        <v>0</v>
      </c>
      <c r="L7" s="23"/>
      <c r="M7" s="5"/>
      <c r="AB7">
        <f t="array" ref="AB7">MAX(IF($C$4:$C$200=MEDIAN($M$1-1,$M$1+1,C7),$D$4:$D$200,0))</f>
        <v>0</v>
      </c>
      <c r="AC7" s="23">
        <f t="shared" si="4"/>
        <v>0</v>
      </c>
    </row>
    <row r="8" spans="2:29">
      <c r="B8" s="2">
        <v>1.1879999999999999</v>
      </c>
      <c r="C8" s="2">
        <v>99.71</v>
      </c>
      <c r="D8">
        <v>2.903</v>
      </c>
      <c r="E8" s="2">
        <v>218.4</v>
      </c>
      <c r="F8" s="23">
        <f t="shared" si="0"/>
        <v>0</v>
      </c>
      <c r="H8" s="6">
        <f t="shared" si="2"/>
        <v>0</v>
      </c>
      <c r="I8" s="6">
        <f t="shared" si="3"/>
        <v>0</v>
      </c>
      <c r="J8" s="6">
        <f t="shared" si="1"/>
        <v>0</v>
      </c>
      <c r="AB8">
        <f t="array" ref="AB8">MAX(IF($C$4:$C$200=MEDIAN($M$1-1,$M$1+1,C8),$D$4:$D$200,0))</f>
        <v>2.903</v>
      </c>
      <c r="AC8" s="23">
        <f t="shared" si="4"/>
        <v>6.0000000000002274E-3</v>
      </c>
    </row>
    <row r="9" spans="2:29">
      <c r="B9" s="2">
        <v>1.48</v>
      </c>
      <c r="C9" s="2">
        <v>99.71</v>
      </c>
      <c r="D9">
        <v>2.8969999999999998</v>
      </c>
      <c r="E9" s="2">
        <v>218.4</v>
      </c>
      <c r="F9" s="23">
        <f t="shared" si="0"/>
        <v>0</v>
      </c>
      <c r="H9" s="6">
        <f t="shared" si="2"/>
        <v>0</v>
      </c>
      <c r="I9" s="6">
        <f t="shared" si="3"/>
        <v>0</v>
      </c>
      <c r="J9" s="6">
        <f t="shared" si="1"/>
        <v>0</v>
      </c>
      <c r="AB9">
        <f t="array" ref="AB9">MAX(IF($C$4:$C$200=MEDIAN($M$1-1,$M$1+1,C9),$D$4:$D$200,0))</f>
        <v>2.903</v>
      </c>
      <c r="AC9" s="23">
        <f t="shared" si="4"/>
        <v>0.15299999999999958</v>
      </c>
    </row>
    <row r="10" spans="2:29">
      <c r="B10" s="2">
        <v>1.768</v>
      </c>
      <c r="C10" s="2">
        <v>99.7</v>
      </c>
      <c r="D10">
        <v>2.7440000000000002</v>
      </c>
      <c r="E10" s="2">
        <v>249.2</v>
      </c>
      <c r="F10" s="23">
        <f t="shared" si="0"/>
        <v>0</v>
      </c>
      <c r="H10" s="6">
        <f t="shared" si="2"/>
        <v>0</v>
      </c>
      <c r="I10" s="6">
        <f t="shared" si="3"/>
        <v>0</v>
      </c>
      <c r="J10" s="6">
        <f t="shared" si="1"/>
        <v>0</v>
      </c>
      <c r="AB10">
        <f t="array" ref="AB10">MAX(IF($C$4:$C$200=MEDIAN($M$1-1,$M$1+1,C10),$D$4:$D$200,0))</f>
        <v>2.7440000000000002</v>
      </c>
      <c r="AC10" s="23">
        <f t="shared" si="4"/>
        <v>0.12800000000000011</v>
      </c>
    </row>
    <row r="11" spans="2:29">
      <c r="B11" s="2">
        <v>1.944</v>
      </c>
      <c r="C11" s="2">
        <v>99.7</v>
      </c>
      <c r="D11">
        <v>2.6160000000000001</v>
      </c>
      <c r="E11" s="2">
        <v>249.2</v>
      </c>
      <c r="F11" s="23">
        <f t="shared" si="0"/>
        <v>0</v>
      </c>
      <c r="H11" s="6">
        <f t="shared" si="2"/>
        <v>0</v>
      </c>
      <c r="I11" s="6">
        <f t="shared" si="3"/>
        <v>0</v>
      </c>
      <c r="J11" s="6">
        <f t="shared" si="1"/>
        <v>0</v>
      </c>
      <c r="AB11">
        <f t="array" ref="AB11">MAX(IF($C$4:$C$200=MEDIAN($M$1-1,$M$1+1,C11),$D$4:$D$200,0))</f>
        <v>2.7440000000000002</v>
      </c>
      <c r="AC11" s="23">
        <f t="shared" si="4"/>
        <v>0</v>
      </c>
    </row>
    <row r="12" spans="2:29" ht="15.75">
      <c r="B12" s="2">
        <v>2.1040000000000001</v>
      </c>
      <c r="C12" s="2">
        <v>99.76</v>
      </c>
      <c r="D12">
        <v>2.6160000000000001</v>
      </c>
      <c r="E12" s="2">
        <v>273.89999999999998</v>
      </c>
      <c r="F12" s="23">
        <f t="shared" si="0"/>
        <v>0</v>
      </c>
      <c r="H12" s="6">
        <f t="shared" si="2"/>
        <v>0</v>
      </c>
      <c r="I12" s="6">
        <f t="shared" si="3"/>
        <v>0</v>
      </c>
      <c r="J12" s="6">
        <f t="shared" si="1"/>
        <v>0</v>
      </c>
      <c r="L12" s="7"/>
      <c r="AB12">
        <f t="array" ref="AB12">MAX(IF($C$4:$C$200=MEDIAN($M$1-1,$M$1+1,C12),$D$4:$D$200,0))</f>
        <v>2.6160000000000001</v>
      </c>
      <c r="AC12" s="23">
        <f t="shared" si="4"/>
        <v>0.16700000000000026</v>
      </c>
    </row>
    <row r="13" spans="2:29" ht="15.75">
      <c r="B13">
        <v>2.3919999999999999</v>
      </c>
      <c r="C13" s="2">
        <v>99.76</v>
      </c>
      <c r="D13">
        <v>2.4489999999999998</v>
      </c>
      <c r="E13" s="2">
        <v>273.89999999999998</v>
      </c>
      <c r="F13" s="23">
        <f t="shared" si="0"/>
        <v>0</v>
      </c>
      <c r="H13" s="6">
        <f t="shared" si="2"/>
        <v>0</v>
      </c>
      <c r="I13" s="6">
        <f t="shared" si="3"/>
        <v>0</v>
      </c>
      <c r="J13" s="6">
        <f t="shared" ref="J13:J76" si="5">I13^2</f>
        <v>0</v>
      </c>
      <c r="L13" s="7"/>
      <c r="AB13">
        <f t="array" ref="AB13">MAX(IF($C$4:$C$200=MEDIAN($M$1-1,$M$1+1,C13),$D$4:$D$200,0))</f>
        <v>2.6160000000000001</v>
      </c>
      <c r="AC13" s="23">
        <f t="shared" si="4"/>
        <v>0.16100000000000003</v>
      </c>
    </row>
    <row r="14" spans="2:29">
      <c r="B14">
        <v>2.6360000000000001</v>
      </c>
      <c r="C14" s="2">
        <v>99.74</v>
      </c>
      <c r="D14">
        <v>2.2879999999999998</v>
      </c>
      <c r="E14" s="2">
        <v>288.2</v>
      </c>
      <c r="F14" s="23">
        <f t="shared" si="0"/>
        <v>0</v>
      </c>
      <c r="H14" s="6">
        <f t="shared" si="2"/>
        <v>0</v>
      </c>
      <c r="I14" s="6">
        <f t="shared" si="3"/>
        <v>0</v>
      </c>
      <c r="J14" s="6">
        <f t="shared" si="5"/>
        <v>0</v>
      </c>
      <c r="AB14">
        <f t="array" ref="AB14">MAX(IF($C$4:$C$200=MEDIAN($M$1-1,$M$1+1,C14),$D$4:$D$200,0))</f>
        <v>2.2879999999999998</v>
      </c>
      <c r="AC14" s="23">
        <f t="shared" si="4"/>
        <v>0.121</v>
      </c>
    </row>
    <row r="15" spans="2:29">
      <c r="B15">
        <v>2.8239999999999998</v>
      </c>
      <c r="C15" s="2">
        <v>99.74</v>
      </c>
      <c r="D15">
        <v>2.1669999999999998</v>
      </c>
      <c r="E15" s="2">
        <v>288.2</v>
      </c>
      <c r="F15" s="23">
        <f t="shared" si="0"/>
        <v>0</v>
      </c>
      <c r="H15" s="6">
        <f t="shared" si="2"/>
        <v>0</v>
      </c>
      <c r="I15" s="6">
        <f t="shared" si="3"/>
        <v>0</v>
      </c>
      <c r="J15" s="6">
        <f t="shared" si="5"/>
        <v>0</v>
      </c>
      <c r="AB15">
        <f t="array" ref="AB15">MAX(IF($C$4:$C$200=MEDIAN($M$1-1,$M$1+1,C15),$D$4:$D$200,0))</f>
        <v>2.2879999999999998</v>
      </c>
      <c r="AC15" s="23">
        <f t="shared" si="4"/>
        <v>0.18599999999999972</v>
      </c>
    </row>
    <row r="16" spans="2:29">
      <c r="B16">
        <v>2.988</v>
      </c>
      <c r="C16" s="2">
        <v>99.74</v>
      </c>
      <c r="D16">
        <v>1.9810000000000001</v>
      </c>
      <c r="E16" s="2">
        <v>288.2</v>
      </c>
      <c r="F16" s="23">
        <f t="shared" si="0"/>
        <v>0</v>
      </c>
      <c r="H16" s="6">
        <f t="shared" si="2"/>
        <v>0</v>
      </c>
      <c r="I16" s="6">
        <f t="shared" si="3"/>
        <v>0</v>
      </c>
      <c r="J16" s="6">
        <f t="shared" si="5"/>
        <v>0</v>
      </c>
      <c r="AB16">
        <f t="array" ref="AB16">MAX(IF($C$4:$C$200=MEDIAN($M$1-1,$M$1+1,C16),$D$4:$D$200,0))</f>
        <v>2.2879999999999998</v>
      </c>
      <c r="AC16" s="23">
        <f t="shared" si="4"/>
        <v>1.9000000000000128E-2</v>
      </c>
    </row>
    <row r="17" spans="2:29">
      <c r="B17">
        <v>3.1920000000000002</v>
      </c>
      <c r="C17" s="2">
        <v>99.75</v>
      </c>
      <c r="D17">
        <v>1.962</v>
      </c>
      <c r="E17" s="2">
        <v>297.3</v>
      </c>
      <c r="F17" s="23">
        <f t="shared" si="0"/>
        <v>0</v>
      </c>
      <c r="H17" s="6">
        <f>IF(MATCH(F17,$F$4:$F$200,0)&gt;=MATCH(MAX($F$4:$F$200),$F$4:$F$200,0),$M$4+($M$5-$M$4)*(1-EXP(-B17/$M$6)),0)</f>
        <v>0</v>
      </c>
      <c r="I17" s="6">
        <f t="shared" si="3"/>
        <v>0</v>
      </c>
      <c r="J17" s="6">
        <f t="shared" si="5"/>
        <v>0</v>
      </c>
      <c r="AB17">
        <f t="array" ref="AB17">MAX(IF($C$4:$C$200=MEDIAN($M$1-1,$M$1+1,C17),$D$4:$D$200,0))</f>
        <v>1.962</v>
      </c>
      <c r="AC17" s="23">
        <f t="shared" si="4"/>
        <v>0.18799999999999994</v>
      </c>
    </row>
    <row r="18" spans="2:29">
      <c r="B18">
        <v>3.48</v>
      </c>
      <c r="C18" s="2">
        <v>99.84</v>
      </c>
      <c r="D18">
        <v>1.774</v>
      </c>
      <c r="E18" s="2">
        <v>297.3</v>
      </c>
      <c r="F18" s="23">
        <f t="shared" si="0"/>
        <v>0</v>
      </c>
      <c r="H18" s="6">
        <f t="shared" si="2"/>
        <v>0</v>
      </c>
      <c r="I18" s="6">
        <f t="shared" si="3"/>
        <v>0</v>
      </c>
      <c r="J18" s="6">
        <f t="shared" si="5"/>
        <v>0</v>
      </c>
      <c r="AB18">
        <f t="array" ref="AB18">MAX(IF($C$4:$C$200=MEDIAN($M$1-1,$M$1+1,C18),$D$4:$D$200,0))</f>
        <v>1.774</v>
      </c>
      <c r="AC18" s="23">
        <f t="shared" si="4"/>
        <v>0.18399999999999994</v>
      </c>
    </row>
    <row r="19" spans="2:29">
      <c r="B19">
        <v>3.7360000000000002</v>
      </c>
      <c r="C19" s="2">
        <v>99.84</v>
      </c>
      <c r="D19">
        <v>1.59</v>
      </c>
      <c r="E19" s="2">
        <v>302.89999999999998</v>
      </c>
      <c r="F19" s="23">
        <f t="shared" si="0"/>
        <v>1.59</v>
      </c>
      <c r="H19" s="6">
        <f t="shared" si="2"/>
        <v>1.5898720288912749</v>
      </c>
      <c r="I19" s="6">
        <f t="shared" si="3"/>
        <v>1.2797110872520001E-4</v>
      </c>
      <c r="J19" s="6">
        <f t="shared" si="5"/>
        <v>1.6376604668356963E-8</v>
      </c>
      <c r="AB19">
        <f t="array" ref="AB19">MAX(IF($C$4:$C$200=MEDIAN($M$1-1,$M$1+1,C19),$D$4:$D$200,0))</f>
        <v>1.774</v>
      </c>
      <c r="AC19" s="23">
        <f t="shared" si="4"/>
        <v>0</v>
      </c>
    </row>
    <row r="20" spans="2:29">
      <c r="B20">
        <v>3.8959999999999999</v>
      </c>
      <c r="C20" s="2">
        <v>99.84</v>
      </c>
      <c r="D20">
        <v>1.59</v>
      </c>
      <c r="E20" s="2">
        <v>302.89999999999998</v>
      </c>
      <c r="F20" s="23">
        <f t="shared" si="0"/>
        <v>1.59</v>
      </c>
      <c r="H20" s="6">
        <f t="shared" si="2"/>
        <v>1.5186124343847638</v>
      </c>
      <c r="I20" s="6">
        <f t="shared" si="3"/>
        <v>7.1387565615236293E-2</v>
      </c>
      <c r="J20" s="6">
        <f t="shared" si="5"/>
        <v>5.0961845244696666E-3</v>
      </c>
      <c r="AB20">
        <f t="array" ref="AB20">MAX(IF($C$4:$C$200=MEDIAN($M$1-1,$M$1+1,C20),$D$4:$D$200,0))</f>
        <v>1.774</v>
      </c>
      <c r="AC20" s="23">
        <f t="shared" si="4"/>
        <v>0.10400000000000009</v>
      </c>
    </row>
    <row r="21" spans="2:29">
      <c r="B21">
        <v>4.0759999999999996</v>
      </c>
      <c r="C21" s="2">
        <v>99.84</v>
      </c>
      <c r="D21">
        <v>1.486</v>
      </c>
      <c r="E21" s="2">
        <v>306.2</v>
      </c>
      <c r="F21" s="23">
        <f t="shared" si="0"/>
        <v>1.486</v>
      </c>
      <c r="H21" s="6">
        <f t="shared" si="2"/>
        <v>1.4431668423209363</v>
      </c>
      <c r="I21" s="6">
        <f t="shared" si="3"/>
        <v>4.2833157679063705E-2</v>
      </c>
      <c r="J21" s="6">
        <f t="shared" si="5"/>
        <v>1.8346793967595339E-3</v>
      </c>
      <c r="AB21">
        <f t="array" ref="AB21">MAX(IF($C$4:$C$200=MEDIAN($M$1-1,$M$1+1,C21),$D$4:$D$200,0))</f>
        <v>1.774</v>
      </c>
      <c r="AC21" s="23">
        <f t="shared" si="4"/>
        <v>0.14900000000000002</v>
      </c>
    </row>
    <row r="22" spans="2:29">
      <c r="B22">
        <v>4.38</v>
      </c>
      <c r="C22" s="2">
        <v>99.84</v>
      </c>
      <c r="D22">
        <v>1.337</v>
      </c>
      <c r="E22" s="2">
        <v>306.2</v>
      </c>
      <c r="F22" s="23">
        <f t="shared" si="0"/>
        <v>1.337</v>
      </c>
      <c r="H22" s="6">
        <f t="shared" si="2"/>
        <v>1.3262642557034932</v>
      </c>
      <c r="I22" s="6">
        <f t="shared" si="3"/>
        <v>1.0735744296506811E-2</v>
      </c>
      <c r="J22" s="6">
        <f t="shared" si="5"/>
        <v>1.1525620559997851E-4</v>
      </c>
      <c r="AB22">
        <f t="array" ref="AB22">MAX(IF($C$4:$C$200=MEDIAN($M$1-1,$M$1+1,C22),$D$4:$D$200,0))</f>
        <v>1.774</v>
      </c>
      <c r="AC22" s="23">
        <f t="shared" si="4"/>
        <v>0.18399999999999994</v>
      </c>
    </row>
    <row r="23" spans="2:29">
      <c r="B23">
        <v>4.6479999999999997</v>
      </c>
      <c r="C23" s="2">
        <v>99.94</v>
      </c>
      <c r="D23">
        <v>1.153</v>
      </c>
      <c r="E23" s="2">
        <v>307.8</v>
      </c>
      <c r="F23" s="23">
        <f t="shared" si="0"/>
        <v>1.153</v>
      </c>
      <c r="H23" s="6">
        <f t="shared" si="2"/>
        <v>1.2332260840414873</v>
      </c>
      <c r="I23" s="6">
        <f t="shared" si="3"/>
        <v>-8.0226084041487233E-2</v>
      </c>
      <c r="J23" s="6">
        <f t="shared" si="5"/>
        <v>6.4362245606317727E-3</v>
      </c>
      <c r="AB23">
        <f t="array" ref="AB23">MAX(IF($C$4:$C$200=MEDIAN($M$1-1,$M$1+1,C23),$D$4:$D$200,0))</f>
        <v>1.153</v>
      </c>
      <c r="AC23" s="23">
        <f t="shared" si="4"/>
        <v>0</v>
      </c>
    </row>
    <row r="24" spans="2:29">
      <c r="B24">
        <v>4.8559999999999999</v>
      </c>
      <c r="C24" s="2">
        <v>99.94</v>
      </c>
      <c r="D24">
        <v>1.153</v>
      </c>
      <c r="E24" s="2">
        <v>307.8</v>
      </c>
      <c r="F24" s="23">
        <f t="shared" si="0"/>
        <v>1.153</v>
      </c>
      <c r="H24" s="6">
        <f t="shared" si="2"/>
        <v>1.1669136511387999</v>
      </c>
      <c r="I24" s="6">
        <f t="shared" si="3"/>
        <v>-1.3913651138799832E-2</v>
      </c>
      <c r="J24" s="6">
        <f t="shared" si="5"/>
        <v>1.9358968801222586E-4</v>
      </c>
      <c r="AB24">
        <f t="array" ref="AB24">MAX(IF($C$4:$C$200=MEDIAN($M$1-1,$M$1+1,C24),$D$4:$D$200,0))</f>
        <v>1.153</v>
      </c>
      <c r="AC24" s="23">
        <f t="shared" si="4"/>
        <v>8.2999999999999963E-2</v>
      </c>
    </row>
    <row r="25" spans="2:29">
      <c r="B25">
        <v>5.016</v>
      </c>
      <c r="C25" s="2">
        <v>99.9</v>
      </c>
      <c r="D25">
        <v>1.07</v>
      </c>
      <c r="E25" s="2">
        <v>308.3</v>
      </c>
      <c r="F25" s="23">
        <f t="shared" si="0"/>
        <v>1.07</v>
      </c>
      <c r="H25" s="6">
        <f t="shared" si="2"/>
        <v>1.1191540351638309</v>
      </c>
      <c r="I25" s="6">
        <f t="shared" si="3"/>
        <v>-4.9154035163830878E-2</v>
      </c>
      <c r="J25" s="6">
        <f t="shared" si="5"/>
        <v>2.4161191728871226E-3</v>
      </c>
      <c r="AB25">
        <f t="array" ref="AB25">MAX(IF($C$4:$C$200=MEDIAN($M$1-1,$M$1+1,C25),$D$4:$D$200,0))</f>
        <v>1.07</v>
      </c>
      <c r="AC25" s="23">
        <f t="shared" si="4"/>
        <v>7.5600000000000112E-2</v>
      </c>
    </row>
    <row r="26" spans="2:29">
      <c r="B26">
        <v>5.2839999999999998</v>
      </c>
      <c r="C26" s="2">
        <v>99.9</v>
      </c>
      <c r="D26">
        <v>0.99439999999999995</v>
      </c>
      <c r="E26" s="2">
        <v>308.3</v>
      </c>
      <c r="F26" s="23">
        <f t="shared" si="0"/>
        <v>0.99439999999999995</v>
      </c>
      <c r="H26" s="6">
        <f t="shared" si="2"/>
        <v>1.0450268478375726</v>
      </c>
      <c r="I26" s="6">
        <f t="shared" si="3"/>
        <v>-5.0626847837572653E-2</v>
      </c>
      <c r="J26" s="6">
        <f t="shared" si="5"/>
        <v>2.5630777219687348E-3</v>
      </c>
      <c r="AB26">
        <f t="array" ref="AB26">MAX(IF($C$4:$C$200=MEDIAN($M$1-1,$M$1+1,C26),$D$4:$D$200,0))</f>
        <v>1.07</v>
      </c>
      <c r="AC26" s="23">
        <f t="shared" si="4"/>
        <v>3.2499999999999973E-2</v>
      </c>
    </row>
    <row r="27" spans="2:29">
      <c r="B27">
        <v>5.5919999999999996</v>
      </c>
      <c r="C27" s="2">
        <v>99.9</v>
      </c>
      <c r="D27">
        <v>0.96189999999999998</v>
      </c>
      <c r="E27" s="2">
        <v>309.3</v>
      </c>
      <c r="F27" s="23">
        <f t="shared" si="0"/>
        <v>0.96189999999999998</v>
      </c>
      <c r="H27" s="6">
        <f t="shared" si="2"/>
        <v>0.96815634546644613</v>
      </c>
      <c r="I27" s="6">
        <f t="shared" si="3"/>
        <v>-6.256345466446156E-3</v>
      </c>
      <c r="J27" s="6">
        <f t="shared" si="5"/>
        <v>3.9141858595521371E-5</v>
      </c>
      <c r="AB27">
        <f t="array" ref="AB27">MAX(IF($C$4:$C$200=MEDIAN($M$1-1,$M$1+1,C27),$D$4:$D$200,0))</f>
        <v>1.07</v>
      </c>
      <c r="AC27" s="23">
        <f t="shared" si="4"/>
        <v>5.2799999999999958E-2</v>
      </c>
    </row>
    <row r="28" spans="2:29">
      <c r="B28">
        <v>5.7880000000000003</v>
      </c>
      <c r="C28" s="2">
        <v>99.9</v>
      </c>
      <c r="D28">
        <v>0.90910000000000002</v>
      </c>
      <c r="E28" s="2">
        <v>309.3</v>
      </c>
      <c r="F28" s="23">
        <f t="shared" si="0"/>
        <v>0.90910000000000002</v>
      </c>
      <c r="H28" s="6">
        <f t="shared" si="2"/>
        <v>0.92346394927640407</v>
      </c>
      <c r="I28" s="6">
        <f t="shared" si="3"/>
        <v>-1.4363949276404053E-2</v>
      </c>
      <c r="J28" s="6">
        <f t="shared" si="5"/>
        <v>2.0632303881510853E-4</v>
      </c>
      <c r="AB28">
        <f t="array" ref="AB28">MAX(IF($C$4:$C$200=MEDIAN($M$1-1,$M$1+1,C28),$D$4:$D$200,0))</f>
        <v>1.07</v>
      </c>
      <c r="AC28" s="23">
        <f t="shared" si="4"/>
        <v>4.4000000000000039E-2</v>
      </c>
    </row>
    <row r="29" spans="2:29">
      <c r="B29">
        <v>5.96</v>
      </c>
      <c r="C29" s="2">
        <v>99.94</v>
      </c>
      <c r="D29">
        <v>0.86509999999999998</v>
      </c>
      <c r="E29" s="2">
        <v>312.39999999999998</v>
      </c>
      <c r="F29" s="23">
        <f t="shared" si="0"/>
        <v>0.86509999999999998</v>
      </c>
      <c r="H29" s="6">
        <f t="shared" si="2"/>
        <v>0.88674116249323376</v>
      </c>
      <c r="I29" s="6">
        <f t="shared" si="3"/>
        <v>-2.1641162493233779E-2</v>
      </c>
      <c r="J29" s="6">
        <f t="shared" si="5"/>
        <v>4.6833991405854849E-4</v>
      </c>
      <c r="AB29">
        <f t="array" ref="AB29">MAX(IF($C$4:$C$200=MEDIAN($M$1-1,$M$1+1,C29),$D$4:$D$200,0))</f>
        <v>1.153</v>
      </c>
      <c r="AC29" s="23">
        <f t="shared" si="4"/>
        <v>0</v>
      </c>
    </row>
    <row r="30" spans="2:29">
      <c r="B30">
        <v>6.1239999999999997</v>
      </c>
      <c r="C30" s="2">
        <v>99.94</v>
      </c>
      <c r="D30">
        <v>0.86509999999999998</v>
      </c>
      <c r="E30" s="2">
        <v>312.39999999999998</v>
      </c>
      <c r="F30" s="23">
        <f t="shared" si="0"/>
        <v>0.86509999999999998</v>
      </c>
      <c r="H30" s="6">
        <f t="shared" si="2"/>
        <v>0.85376672120568653</v>
      </c>
      <c r="I30" s="6">
        <f t="shared" si="3"/>
        <v>1.1333278794313451E-2</v>
      </c>
      <c r="J30" s="6">
        <f t="shared" si="5"/>
        <v>1.2844320822963493E-4</v>
      </c>
      <c r="AB30">
        <f t="array" ref="AB30">MAX(IF($C$4:$C$200=MEDIAN($M$1-1,$M$1+1,C30),$D$4:$D$200,0))</f>
        <v>1.153</v>
      </c>
      <c r="AC30" s="23">
        <f t="shared" si="4"/>
        <v>8.77E-2</v>
      </c>
    </row>
    <row r="31" spans="2:29">
      <c r="B31">
        <v>6.44</v>
      </c>
      <c r="C31" s="2">
        <v>99.9</v>
      </c>
      <c r="D31">
        <v>0.77739999999999998</v>
      </c>
      <c r="E31" s="2">
        <v>313.3</v>
      </c>
      <c r="F31" s="23">
        <f t="shared" si="0"/>
        <v>0.77739999999999998</v>
      </c>
      <c r="H31" s="6">
        <f t="shared" si="2"/>
        <v>0.79542891796318216</v>
      </c>
      <c r="I31" s="6">
        <f t="shared" si="3"/>
        <v>-1.8028917963182178E-2</v>
      </c>
      <c r="J31" s="6">
        <f t="shared" si="5"/>
        <v>3.2504188292315303E-4</v>
      </c>
      <c r="Q31" s="3"/>
      <c r="AB31">
        <f t="array" ref="AB31">MAX(IF($C$4:$C$200=MEDIAN($M$1-1,$M$1+1,C31),$D$4:$D$200,0))</f>
        <v>1.07</v>
      </c>
      <c r="AC31" s="23">
        <f t="shared" si="4"/>
        <v>4.9699999999999966E-2</v>
      </c>
    </row>
    <row r="32" spans="2:29">
      <c r="B32">
        <v>6.7</v>
      </c>
      <c r="C32" s="2">
        <v>99.9</v>
      </c>
      <c r="D32">
        <v>0.72770000000000001</v>
      </c>
      <c r="E32" s="2">
        <v>313.3</v>
      </c>
      <c r="F32" s="23">
        <f t="shared" si="0"/>
        <v>0.72770000000000001</v>
      </c>
      <c r="H32" s="6">
        <f t="shared" si="2"/>
        <v>0.75213021269408031</v>
      </c>
      <c r="I32" s="6">
        <f t="shared" si="3"/>
        <v>-2.44302126940803E-2</v>
      </c>
      <c r="J32" s="6">
        <f t="shared" si="5"/>
        <v>5.9683529227800224E-4</v>
      </c>
      <c r="AB32">
        <f t="array" ref="AB32">MAX(IF($C$4:$C$200=MEDIAN($M$1-1,$M$1+1,C32),$D$4:$D$200,0))</f>
        <v>1.07</v>
      </c>
      <c r="AC32" s="23">
        <f t="shared" si="4"/>
        <v>3.8499999999999979E-2</v>
      </c>
    </row>
    <row r="33" spans="2:29">
      <c r="B33">
        <v>6.9039999999999999</v>
      </c>
      <c r="C33" s="2">
        <v>99.86</v>
      </c>
      <c r="D33">
        <v>0.68920000000000003</v>
      </c>
      <c r="E33" s="2">
        <v>311</v>
      </c>
      <c r="F33" s="23">
        <f t="shared" si="0"/>
        <v>0.68920000000000003</v>
      </c>
      <c r="H33" s="6">
        <f t="shared" si="2"/>
        <v>0.7208640984799386</v>
      </c>
      <c r="I33" s="6">
        <f t="shared" si="3"/>
        <v>-3.1664098479938563E-2</v>
      </c>
      <c r="J33" s="6">
        <f t="shared" si="5"/>
        <v>1.0026151325472476E-3</v>
      </c>
      <c r="AB33">
        <f t="array" ref="AB33">MAX(IF($C$4:$C$200=MEDIAN($M$1-1,$M$1+1,C33),$D$4:$D$200,0))</f>
        <v>0.68920000000000003</v>
      </c>
      <c r="AC33" s="23">
        <f t="shared" si="4"/>
        <v>0</v>
      </c>
    </row>
    <row r="34" spans="2:29">
      <c r="B34">
        <v>7.0640000000000001</v>
      </c>
      <c r="C34" s="2">
        <v>99.86</v>
      </c>
      <c r="D34">
        <v>0.68920000000000003</v>
      </c>
      <c r="E34" s="2">
        <v>311</v>
      </c>
      <c r="F34" s="23">
        <f t="shared" si="0"/>
        <v>0.68920000000000003</v>
      </c>
      <c r="H34" s="6">
        <f t="shared" si="2"/>
        <v>0.69788742915609792</v>
      </c>
      <c r="I34" s="6">
        <f t="shared" si="3"/>
        <v>-8.6874291560978811E-3</v>
      </c>
      <c r="J34" s="6">
        <f t="shared" si="5"/>
        <v>7.5471425342219544E-5</v>
      </c>
      <c r="AB34">
        <f t="array" ref="AB34">MAX(IF($C$4:$C$200=MEDIAN($M$1-1,$M$1+1,C34),$D$4:$D$200,0))</f>
        <v>0.68920000000000003</v>
      </c>
      <c r="AC34" s="23">
        <f t="shared" si="4"/>
        <v>1.1199999999999988E-2</v>
      </c>
    </row>
    <row r="35" spans="2:29">
      <c r="B35">
        <v>7.3639999999999999</v>
      </c>
      <c r="C35" s="2">
        <v>99.95</v>
      </c>
      <c r="D35">
        <v>0.67800000000000005</v>
      </c>
      <c r="E35" s="2">
        <v>308.89999999999998</v>
      </c>
      <c r="F35" s="23">
        <f t="shared" si="0"/>
        <v>0.67800000000000005</v>
      </c>
      <c r="H35" s="6">
        <f t="shared" si="2"/>
        <v>0.65819116845696168</v>
      </c>
      <c r="I35" s="6">
        <f t="shared" si="3"/>
        <v>1.9808831543038363E-2</v>
      </c>
      <c r="J35" s="6">
        <f t="shared" si="5"/>
        <v>3.9238980710047162E-4</v>
      </c>
      <c r="AB35">
        <f t="array" ref="AB35">MAX(IF($C$4:$C$200=MEDIAN($M$1-1,$M$1+1,C35),$D$4:$D$200,0))</f>
        <v>0.67800000000000005</v>
      </c>
      <c r="AC35" s="23">
        <f t="shared" si="4"/>
        <v>1.9600000000000062E-2</v>
      </c>
    </row>
    <row r="36" spans="2:29">
      <c r="B36">
        <v>7.6559999999999997</v>
      </c>
      <c r="C36" s="2">
        <v>99.95</v>
      </c>
      <c r="D36">
        <v>0.65839999999999999</v>
      </c>
      <c r="E36" s="2">
        <v>308.89999999999998</v>
      </c>
      <c r="F36" s="23">
        <f t="shared" si="0"/>
        <v>0.65839999999999999</v>
      </c>
      <c r="H36" s="6">
        <f t="shared" ref="H36:H67" si="6">IF(MATCH(F36,$F$4:$F$200,0)&gt;=MATCH(MAX($F$4:$F$200),$F$4:$F$200,0),$M$4+($M$5-$M$4)*(1-EXP(-B36/$M$6)),0)</f>
        <v>0.62343178849520342</v>
      </c>
      <c r="I36" s="6">
        <f t="shared" ref="I36:I67" si="7">IF(H36&gt;0,D36-H36,0)</f>
        <v>3.4968211504796565E-2</v>
      </c>
      <c r="J36" s="6">
        <f t="shared" si="5"/>
        <v>1.2227758158441869E-3</v>
      </c>
      <c r="AB36">
        <f t="array" ref="AB36">MAX(IF($C$4:$C$200=MEDIAN($M$1-1,$M$1+1,C36),$D$4:$D$200,0))</f>
        <v>0.67800000000000005</v>
      </c>
      <c r="AC36" s="23">
        <f t="shared" si="4"/>
        <v>0</v>
      </c>
    </row>
    <row r="37" spans="2:29">
      <c r="B37">
        <v>7.82</v>
      </c>
      <c r="C37" s="2">
        <v>99.94</v>
      </c>
      <c r="D37" s="23">
        <v>0.65839999999999999</v>
      </c>
      <c r="E37" s="2">
        <v>310.60000000000002</v>
      </c>
      <c r="F37" s="23">
        <f t="shared" si="0"/>
        <v>0.65839999999999999</v>
      </c>
      <c r="H37" s="6">
        <f t="shared" si="6"/>
        <v>0.60544220712019214</v>
      </c>
      <c r="I37" s="6">
        <f t="shared" si="7"/>
        <v>5.2957792879807841E-2</v>
      </c>
      <c r="J37" s="6">
        <f t="shared" si="5"/>
        <v>2.8045278267006262E-3</v>
      </c>
      <c r="AB37">
        <f t="array" ref="AB37">MAX(IF($C$4:$C$200=MEDIAN($M$1-1,$M$1+1,C37),$D$4:$D$200,0))</f>
        <v>1.153</v>
      </c>
      <c r="AC37" s="23">
        <f t="shared" si="4"/>
        <v>1.4900000000000024E-2</v>
      </c>
    </row>
    <row r="38" spans="2:29">
      <c r="B38">
        <v>8.0039999999999996</v>
      </c>
      <c r="C38" s="2">
        <v>99.94</v>
      </c>
      <c r="D38" s="23">
        <v>0.64349999999999996</v>
      </c>
      <c r="E38" s="2">
        <v>310.60000000000002</v>
      </c>
      <c r="F38" s="23">
        <f t="shared" si="0"/>
        <v>0.64349999999999996</v>
      </c>
      <c r="H38" s="6">
        <f t="shared" si="6"/>
        <v>0.58647459099046362</v>
      </c>
      <c r="I38" s="6">
        <f t="shared" si="7"/>
        <v>5.7025409009536343E-2</v>
      </c>
      <c r="J38" s="6">
        <f t="shared" si="5"/>
        <v>3.2518972727049087E-3</v>
      </c>
      <c r="AB38">
        <f t="array" ref="AB38">MAX(IF($C$4:$C$200=MEDIAN($M$1-1,$M$1+1,C38),$D$4:$D$200,0))</f>
        <v>1.153</v>
      </c>
      <c r="AC38" s="23">
        <f t="shared" si="4"/>
        <v>4.599999999999993E-2</v>
      </c>
    </row>
    <row r="39" spans="2:29">
      <c r="B39">
        <v>8.1999999999999993</v>
      </c>
      <c r="C39" s="2">
        <v>99.94</v>
      </c>
      <c r="D39">
        <v>0.59750000000000003</v>
      </c>
      <c r="E39" s="2">
        <v>310.60000000000002</v>
      </c>
      <c r="F39" s="23">
        <f t="shared" si="0"/>
        <v>0.59750000000000003</v>
      </c>
      <c r="H39" s="6">
        <f t="shared" si="6"/>
        <v>0.56759552220669995</v>
      </c>
      <c r="I39" s="6">
        <f t="shared" si="7"/>
        <v>2.9904477793300077E-2</v>
      </c>
      <c r="J39" s="6">
        <f t="shared" si="5"/>
        <v>8.9427779208997745E-4</v>
      </c>
      <c r="AB39">
        <f t="array" ref="AB39">MAX(IF($C$4:$C$200=MEDIAN($M$1-1,$M$1+1,C39),$D$4:$D$200,0))</f>
        <v>1.153</v>
      </c>
      <c r="AC39" s="23">
        <f t="shared" si="4"/>
        <v>3.1900000000000039E-2</v>
      </c>
    </row>
    <row r="40" spans="2:29">
      <c r="B40">
        <v>8.4879999999999995</v>
      </c>
      <c r="C40" s="2">
        <v>99.96</v>
      </c>
      <c r="D40">
        <v>0.56559999999999999</v>
      </c>
      <c r="E40" s="2">
        <v>314.89999999999998</v>
      </c>
      <c r="F40" s="23">
        <f t="shared" si="0"/>
        <v>0.56559999999999999</v>
      </c>
      <c r="H40" s="6">
        <f t="shared" si="6"/>
        <v>0.54214654184160516</v>
      </c>
      <c r="I40" s="6">
        <f t="shared" si="7"/>
        <v>2.3453458158394835E-2</v>
      </c>
      <c r="J40" s="6">
        <f t="shared" si="5"/>
        <v>5.5006469958757728E-4</v>
      </c>
      <c r="AB40">
        <f t="array" ref="AB40">MAX(IF($C$4:$C$200=MEDIAN($M$1-1,$M$1+1,C40),$D$4:$D$200,0))</f>
        <v>0.56559999999999999</v>
      </c>
      <c r="AC40" s="23">
        <f t="shared" si="4"/>
        <v>2.6200000000000001E-2</v>
      </c>
    </row>
    <row r="41" spans="2:29">
      <c r="B41">
        <v>8.7439999999999998</v>
      </c>
      <c r="C41" s="2">
        <v>99.96</v>
      </c>
      <c r="D41">
        <v>0.53939999999999999</v>
      </c>
      <c r="E41" s="2">
        <v>314.89999999999998</v>
      </c>
      <c r="F41" s="23">
        <f t="shared" si="0"/>
        <v>0.53939999999999999</v>
      </c>
      <c r="H41" s="6">
        <f t="shared" si="6"/>
        <v>0.52162200646733758</v>
      </c>
      <c r="I41" s="6">
        <f t="shared" si="7"/>
        <v>1.7777993532662406E-2</v>
      </c>
      <c r="J41" s="6">
        <f t="shared" si="5"/>
        <v>3.1605705404738632E-4</v>
      </c>
      <c r="AB41">
        <f t="array" ref="AB41">MAX(IF($C$4:$C$200=MEDIAN($M$1-1,$M$1+1,C41),$D$4:$D$200,0))</f>
        <v>0.56559999999999999</v>
      </c>
      <c r="AC41" s="23">
        <f t="shared" si="4"/>
        <v>2.6399999999999979E-2</v>
      </c>
    </row>
    <row r="42" spans="2:29">
      <c r="B42">
        <v>8.92</v>
      </c>
      <c r="C42" s="2">
        <v>99.97</v>
      </c>
      <c r="D42">
        <v>0.51300000000000001</v>
      </c>
      <c r="E42" s="2">
        <v>315.39999999999998</v>
      </c>
      <c r="F42" s="23">
        <f t="shared" si="0"/>
        <v>0.51300000000000001</v>
      </c>
      <c r="H42" s="6">
        <f t="shared" si="6"/>
        <v>0.50856177070130393</v>
      </c>
      <c r="I42" s="6">
        <f t="shared" si="7"/>
        <v>4.4382292986960836E-3</v>
      </c>
      <c r="J42" s="6">
        <f t="shared" si="5"/>
        <v>1.9697879307804332E-5</v>
      </c>
      <c r="AB42">
        <f t="array" ref="AB42">MAX(IF($C$4:$C$200=MEDIAN($M$1-1,$M$1+1,C42),$D$4:$D$200,0))</f>
        <v>0.51300000000000001</v>
      </c>
      <c r="AC42" s="23">
        <f t="shared" si="4"/>
        <v>0</v>
      </c>
    </row>
    <row r="43" spans="2:29">
      <c r="B43">
        <v>9.0640000000000001</v>
      </c>
      <c r="C43" s="2">
        <v>99.97</v>
      </c>
      <c r="D43">
        <v>0.51300000000000001</v>
      </c>
      <c r="E43" s="2">
        <v>315.39999999999998</v>
      </c>
      <c r="F43" s="23">
        <f t="shared" si="0"/>
        <v>0.51300000000000001</v>
      </c>
      <c r="H43" s="6">
        <f>IF(MATCH(F43,$F$4:$F$200,0)&gt;=MATCH(MAX($F$4:$F$200),$F$4:$F$200,0),$M$4+($M$5-$M$4)*(1-EXP(-B43/$M$6)),0)</f>
        <v>0.49847037779906866</v>
      </c>
      <c r="I43" s="6">
        <f t="shared" si="7"/>
        <v>1.4529622200931347E-2</v>
      </c>
      <c r="J43" s="6">
        <f t="shared" si="5"/>
        <v>2.1110992130179707E-4</v>
      </c>
      <c r="AB43">
        <f t="array" ref="AB43">MAX(IF($C$4:$C$200=MEDIAN($M$1-1,$M$1+1,C43),$D$4:$D$200,0))</f>
        <v>0.51300000000000001</v>
      </c>
      <c r="AC43" s="23">
        <f t="shared" si="4"/>
        <v>5.8000000000000274E-3</v>
      </c>
    </row>
    <row r="44" spans="2:29">
      <c r="B44">
        <v>9.3520000000000003</v>
      </c>
      <c r="C44" s="2">
        <v>99.99</v>
      </c>
      <c r="D44">
        <v>0.50719999999999998</v>
      </c>
      <c r="E44" s="2">
        <v>314.89999999999998</v>
      </c>
      <c r="F44" s="23">
        <f t="shared" si="0"/>
        <v>0.50719999999999998</v>
      </c>
      <c r="H44" s="6">
        <f t="shared" si="6"/>
        <v>0.47978036559362724</v>
      </c>
      <c r="I44" s="6">
        <f t="shared" si="7"/>
        <v>2.7419634406372739E-2</v>
      </c>
      <c r="J44" s="6">
        <f t="shared" si="5"/>
        <v>7.5183635097913972E-4</v>
      </c>
      <c r="AB44">
        <f t="array" ref="AB44">MAX(IF($C$4:$C$200=MEDIAN($M$1-1,$M$1+1,C44),$D$4:$D$200,0))</f>
        <v>0.50719999999999998</v>
      </c>
      <c r="AC44" s="23">
        <f t="shared" si="4"/>
        <v>3.6099999999999965E-2</v>
      </c>
    </row>
    <row r="45" spans="2:29">
      <c r="B45">
        <v>9.6280000000000001</v>
      </c>
      <c r="C45" s="2">
        <v>99.99</v>
      </c>
      <c r="D45">
        <v>0.47110000000000002</v>
      </c>
      <c r="E45" s="2">
        <v>314.89999999999998</v>
      </c>
      <c r="F45" s="23">
        <f t="shared" si="0"/>
        <v>0.47110000000000002</v>
      </c>
      <c r="H45" s="6">
        <f t="shared" si="6"/>
        <v>0.46358634851719227</v>
      </c>
      <c r="I45" s="6">
        <f t="shared" si="7"/>
        <v>7.5136514828077483E-3</v>
      </c>
      <c r="J45" s="6">
        <f t="shared" si="5"/>
        <v>5.6454958605099073E-5</v>
      </c>
      <c r="AB45">
        <f t="array" ref="AB45">MAX(IF($C$4:$C$200=MEDIAN($M$1-1,$M$1+1,C45),$D$4:$D$200,0))</f>
        <v>0.50719999999999998</v>
      </c>
      <c r="AC45" s="23">
        <f t="shared" si="4"/>
        <v>1.3300000000000034E-2</v>
      </c>
    </row>
    <row r="46" spans="2:29">
      <c r="B46">
        <v>9.9719999999999995</v>
      </c>
      <c r="C46" s="2">
        <v>99.91</v>
      </c>
      <c r="D46">
        <v>0.45779999999999998</v>
      </c>
      <c r="E46" s="2">
        <v>315.89999999999998</v>
      </c>
      <c r="F46" s="23">
        <f t="shared" si="0"/>
        <v>0.45779999999999998</v>
      </c>
      <c r="H46" s="6">
        <f t="shared" si="6"/>
        <v>0.44551457410449746</v>
      </c>
      <c r="I46" s="6">
        <f t="shared" si="7"/>
        <v>1.2285425895502522E-2</v>
      </c>
      <c r="J46" s="6">
        <f t="shared" si="5"/>
        <v>1.5093168943388393E-4</v>
      </c>
      <c r="S46" s="22"/>
      <c r="V46" s="16"/>
      <c r="AB46">
        <f t="array" ref="AB46">MAX(IF($C$4:$C$200=MEDIAN($M$1-1,$M$1+1,C46),$D$4:$D$200,0))</f>
        <v>0.45779999999999998</v>
      </c>
      <c r="AC46" s="23">
        <f t="shared" si="4"/>
        <v>1.7799999999999983E-2</v>
      </c>
    </row>
    <row r="47" spans="2:29">
      <c r="B47">
        <v>10.151999999999999</v>
      </c>
      <c r="C47" s="2">
        <v>99.91</v>
      </c>
      <c r="D47">
        <v>0.44</v>
      </c>
      <c r="E47" s="2">
        <v>315.89999999999998</v>
      </c>
      <c r="F47" s="23">
        <f t="shared" si="0"/>
        <v>0.44</v>
      </c>
      <c r="H47" s="6">
        <f t="shared" si="6"/>
        <v>0.43690733839194262</v>
      </c>
      <c r="I47" s="6">
        <f t="shared" si="7"/>
        <v>3.0926616080573788E-3</v>
      </c>
      <c r="J47" s="6">
        <f t="shared" si="5"/>
        <v>9.5645558219520528E-6</v>
      </c>
      <c r="S47" s="19"/>
      <c r="T47" s="20"/>
      <c r="U47" s="19"/>
      <c r="AB47">
        <f t="array" ref="AB47">MAX(IF($C$4:$C$200=MEDIAN($M$1-1,$M$1+1,C47),$D$4:$D$200,0))</f>
        <v>0.45779999999999998</v>
      </c>
      <c r="AC47" s="23">
        <f t="shared" si="4"/>
        <v>2.2399999999999975E-2</v>
      </c>
    </row>
    <row r="48" spans="2:29">
      <c r="B48">
        <v>10.44</v>
      </c>
      <c r="C48" s="2">
        <v>99.92</v>
      </c>
      <c r="D48">
        <v>0.41760000000000003</v>
      </c>
      <c r="E48" s="2">
        <v>317.7</v>
      </c>
      <c r="F48" s="23">
        <f t="shared" si="0"/>
        <v>0.41760000000000003</v>
      </c>
      <c r="H48" s="6">
        <f t="shared" si="6"/>
        <v>0.42423688139655003</v>
      </c>
      <c r="I48" s="6">
        <f t="shared" si="7"/>
        <v>-6.6368813965499984E-3</v>
      </c>
      <c r="J48" s="6">
        <f t="shared" si="5"/>
        <v>4.404819467187146E-5</v>
      </c>
      <c r="AB48">
        <f t="array" ref="AB48">MAX(IF($C$4:$C$200=MEDIAN($M$1-1,$M$1+1,C48),$D$4:$D$200,0))</f>
        <v>0.41760000000000003</v>
      </c>
      <c r="AC48" s="23">
        <f t="shared" si="4"/>
        <v>4.6000000000000485E-3</v>
      </c>
    </row>
    <row r="49" spans="2:29">
      <c r="B49">
        <v>10.708</v>
      </c>
      <c r="C49" s="2">
        <v>99.92</v>
      </c>
      <c r="D49">
        <v>0.41299999999999998</v>
      </c>
      <c r="E49" s="2">
        <v>316.2</v>
      </c>
      <c r="F49" s="23">
        <f t="shared" si="0"/>
        <v>0.41299999999999998</v>
      </c>
      <c r="H49" s="6">
        <f t="shared" si="6"/>
        <v>0.41356174088523101</v>
      </c>
      <c r="I49" s="6">
        <f t="shared" si="7"/>
        <v>-5.6174088523103238E-4</v>
      </c>
      <c r="J49" s="6">
        <f t="shared" si="5"/>
        <v>3.1555282214014389E-7</v>
      </c>
      <c r="AB49">
        <f t="array" ref="AB49">MAX(IF($C$4:$C$200=MEDIAN($M$1-1,$M$1+1,C49),$D$4:$D$200,0))</f>
        <v>0.41760000000000003</v>
      </c>
      <c r="AC49" s="23">
        <f t="shared" si="4"/>
        <v>1.8600000000000005E-2</v>
      </c>
    </row>
    <row r="50" spans="2:29">
      <c r="B50">
        <v>10.884</v>
      </c>
      <c r="C50" s="2">
        <v>99.92</v>
      </c>
      <c r="D50">
        <v>0.39439999999999997</v>
      </c>
      <c r="E50" s="2">
        <v>316.2</v>
      </c>
      <c r="F50" s="23">
        <f t="shared" si="0"/>
        <v>0.39439999999999997</v>
      </c>
      <c r="H50" s="6">
        <f t="shared" si="6"/>
        <v>0.40708717053714416</v>
      </c>
      <c r="I50" s="6">
        <f t="shared" si="7"/>
        <v>-1.2687170537144188E-2</v>
      </c>
      <c r="J50" s="6">
        <f t="shared" si="5"/>
        <v>1.6096429623857955E-4</v>
      </c>
      <c r="AB50">
        <f t="array" ref="AB50">MAX(IF($C$4:$C$200=MEDIAN($M$1-1,$M$1+1,C50),$D$4:$D$200,0))</f>
        <v>0.41760000000000003</v>
      </c>
      <c r="AC50" s="23">
        <f t="shared" si="4"/>
        <v>0</v>
      </c>
    </row>
    <row r="51" spans="2:29">
      <c r="B51">
        <v>11.06</v>
      </c>
      <c r="C51" s="2">
        <v>99.92</v>
      </c>
      <c r="D51">
        <v>0.39439999999999997</v>
      </c>
      <c r="E51" s="2">
        <v>316.2</v>
      </c>
      <c r="F51" s="23">
        <f t="shared" si="0"/>
        <v>0.39439999999999997</v>
      </c>
      <c r="H51" s="6">
        <f t="shared" si="6"/>
        <v>0.40100718883649122</v>
      </c>
      <c r="I51" s="6">
        <f t="shared" si="7"/>
        <v>-6.6071888364912512E-3</v>
      </c>
      <c r="J51" s="6">
        <f t="shared" si="5"/>
        <v>4.3654944321054613E-5</v>
      </c>
      <c r="AB51">
        <f t="array" ref="AB51">MAX(IF($C$4:$C$200=MEDIAN($M$1-1,$M$1+1,C51),$D$4:$D$200,0))</f>
        <v>0.41760000000000003</v>
      </c>
      <c r="AC51" s="23">
        <f t="shared" si="4"/>
        <v>2.3000000000000242E-3</v>
      </c>
    </row>
    <row r="52" spans="2:29">
      <c r="B52">
        <v>11.368</v>
      </c>
      <c r="C52" s="2">
        <v>99.87</v>
      </c>
      <c r="D52">
        <v>0.3967</v>
      </c>
      <c r="E52" s="2">
        <v>315.7</v>
      </c>
      <c r="F52" s="23">
        <f t="shared" si="0"/>
        <v>0.3967</v>
      </c>
      <c r="H52" s="6">
        <f t="shared" si="6"/>
        <v>0.39124519713358019</v>
      </c>
      <c r="I52" s="6">
        <f t="shared" si="7"/>
        <v>5.4548028664198056E-3</v>
      </c>
      <c r="J52" s="6">
        <f t="shared" si="5"/>
        <v>2.9754874311501727E-5</v>
      </c>
      <c r="AB52">
        <f t="array" ref="AB52">MAX(IF($C$4:$C$200=MEDIAN($M$1-1,$M$1+1,C52),$D$4:$D$200,0))</f>
        <v>0.3967</v>
      </c>
      <c r="AC52" s="23">
        <f t="shared" si="4"/>
        <v>1.9199999999999995E-2</v>
      </c>
    </row>
    <row r="53" spans="2:29">
      <c r="B53">
        <v>11.624000000000001</v>
      </c>
      <c r="C53" s="2">
        <v>99.87</v>
      </c>
      <c r="D53">
        <v>0.3775</v>
      </c>
      <c r="E53" s="2">
        <v>315.7</v>
      </c>
      <c r="F53" s="23">
        <f t="shared" si="0"/>
        <v>0.3775</v>
      </c>
      <c r="H53" s="6">
        <f t="shared" si="6"/>
        <v>0.38391013164428323</v>
      </c>
      <c r="I53" s="6">
        <f t="shared" si="7"/>
        <v>-6.4101316442832235E-3</v>
      </c>
      <c r="J53" s="6">
        <f t="shared" si="5"/>
        <v>4.1089787697041144E-5</v>
      </c>
      <c r="AB53">
        <f t="array" ref="AB53">MAX(IF($C$4:$C$200=MEDIAN($M$1-1,$M$1+1,C53),$D$4:$D$200,0))</f>
        <v>0.3967</v>
      </c>
      <c r="AC53" s="23">
        <f t="shared" si="4"/>
        <v>0</v>
      </c>
    </row>
    <row r="54" spans="2:29">
      <c r="B54">
        <v>11.816000000000001</v>
      </c>
      <c r="C54" s="2">
        <v>99.86</v>
      </c>
      <c r="D54">
        <v>0.3775</v>
      </c>
      <c r="E54" s="2">
        <v>315.10000000000002</v>
      </c>
      <c r="F54" s="23">
        <f t="shared" si="0"/>
        <v>0.3775</v>
      </c>
      <c r="H54" s="6">
        <f t="shared" si="6"/>
        <v>0.37883271812992447</v>
      </c>
      <c r="I54" s="6">
        <f t="shared" si="7"/>
        <v>-1.3327181299244706E-3</v>
      </c>
      <c r="J54" s="6">
        <f t="shared" si="5"/>
        <v>1.776137613829378E-6</v>
      </c>
      <c r="AB54">
        <f t="array" ref="AB54">MAX(IF($C$4:$C$200=MEDIAN($M$1-1,$M$1+1,C54),$D$4:$D$200,0))</f>
        <v>0.68920000000000003</v>
      </c>
      <c r="AC54" s="23">
        <f t="shared" si="4"/>
        <v>5.3000000000000269E-3</v>
      </c>
    </row>
    <row r="55" spans="2:29">
      <c r="B55">
        <v>11.972</v>
      </c>
      <c r="C55" s="2">
        <v>99.86</v>
      </c>
      <c r="D55">
        <v>0.37219999999999998</v>
      </c>
      <c r="E55" s="2">
        <v>315.10000000000002</v>
      </c>
      <c r="F55" s="23">
        <f t="shared" si="0"/>
        <v>0.37219999999999998</v>
      </c>
      <c r="H55" s="6">
        <f t="shared" si="6"/>
        <v>0.374956228623474</v>
      </c>
      <c r="I55" s="6">
        <f t="shared" si="7"/>
        <v>-2.7562286234740219E-3</v>
      </c>
      <c r="J55" s="6">
        <f t="shared" si="5"/>
        <v>7.5967962248575011E-6</v>
      </c>
      <c r="AB55">
        <f t="array" ref="AB55">MAX(IF($C$4:$C$200=MEDIAN($M$1-1,$M$1+1,C55),$D$4:$D$200,0))</f>
        <v>0.68920000000000003</v>
      </c>
      <c r="AC55" s="23">
        <f t="shared" si="4"/>
        <v>8.0000000000002292E-4</v>
      </c>
    </row>
    <row r="56" spans="2:29">
      <c r="B56">
        <v>12.228</v>
      </c>
      <c r="C56" s="2">
        <v>99.92</v>
      </c>
      <c r="D56">
        <v>0.373</v>
      </c>
      <c r="E56" s="2">
        <v>314.5</v>
      </c>
      <c r="F56" s="23">
        <f t="shared" si="0"/>
        <v>0.373</v>
      </c>
      <c r="H56" s="6">
        <f t="shared" si="6"/>
        <v>0.36904489371813476</v>
      </c>
      <c r="I56" s="6">
        <f t="shared" si="7"/>
        <v>3.9551062818652394E-3</v>
      </c>
      <c r="J56" s="6">
        <f t="shared" si="5"/>
        <v>1.5642865700849877E-5</v>
      </c>
      <c r="AB56">
        <f t="array" ref="AB56">MAX(IF($C$4:$C$200=MEDIAN($M$1-1,$M$1+1,C56),$D$4:$D$200,0))</f>
        <v>0.41760000000000003</v>
      </c>
      <c r="AC56" s="23">
        <f t="shared" si="4"/>
        <v>9.000000000000119E-4</v>
      </c>
    </row>
    <row r="57" spans="2:29">
      <c r="B57">
        <v>12.548</v>
      </c>
      <c r="C57" s="2">
        <v>99.92</v>
      </c>
      <c r="D57">
        <v>0.37390000000000001</v>
      </c>
      <c r="E57" s="2">
        <v>314.5</v>
      </c>
      <c r="F57" s="23">
        <f t="shared" si="0"/>
        <v>0.37390000000000001</v>
      </c>
      <c r="H57" s="6">
        <f t="shared" si="6"/>
        <v>0.36237692154889611</v>
      </c>
      <c r="I57" s="6">
        <f t="shared" si="7"/>
        <v>1.1523078451103896E-2</v>
      </c>
      <c r="J57" s="6">
        <f t="shared" si="5"/>
        <v>1.3278133699029496E-4</v>
      </c>
      <c r="AB57">
        <f t="array" ref="AB57">MAX(IF($C$4:$C$200=MEDIAN($M$1-1,$M$1+1,C57),$D$4:$D$200,0))</f>
        <v>0.41760000000000003</v>
      </c>
      <c r="AC57" s="23">
        <f t="shared" si="4"/>
        <v>1.9900000000000029E-2</v>
      </c>
    </row>
    <row r="58" spans="2:29">
      <c r="B58">
        <v>12.776</v>
      </c>
      <c r="C58" s="2">
        <v>99.87</v>
      </c>
      <c r="D58">
        <v>0.35399999999999998</v>
      </c>
      <c r="E58" s="2">
        <v>309.39999999999998</v>
      </c>
      <c r="F58" s="23">
        <f t="shared" si="0"/>
        <v>0.35399999999999998</v>
      </c>
      <c r="H58" s="6">
        <f t="shared" si="6"/>
        <v>0.3580701923837859</v>
      </c>
      <c r="I58" s="6">
        <f t="shared" si="7"/>
        <v>-4.07019238378592E-3</v>
      </c>
      <c r="J58" s="6">
        <f t="shared" si="5"/>
        <v>1.6566466041028909E-5</v>
      </c>
      <c r="AB58">
        <f t="array" ref="AB58">MAX(IF($C$4:$C$200=MEDIAN($M$1-1,$M$1+1,C58),$D$4:$D$200,0))</f>
        <v>0.3967</v>
      </c>
      <c r="AC58" s="23">
        <f t="shared" si="4"/>
        <v>8.0999999999999961E-3</v>
      </c>
    </row>
    <row r="59" spans="2:29">
      <c r="B59">
        <v>12.936</v>
      </c>
      <c r="C59" s="2">
        <v>99.87</v>
      </c>
      <c r="D59">
        <v>0.34589999999999999</v>
      </c>
      <c r="E59" s="2">
        <v>309.39999999999998</v>
      </c>
      <c r="F59" s="23">
        <f t="shared" si="0"/>
        <v>0.34589999999999999</v>
      </c>
      <c r="H59" s="6">
        <f t="shared" si="6"/>
        <v>0.35525070507378143</v>
      </c>
      <c r="I59" s="6">
        <f t="shared" si="7"/>
        <v>-9.3507050737814401E-3</v>
      </c>
      <c r="J59" s="6">
        <f t="shared" si="5"/>
        <v>8.7435685376841969E-5</v>
      </c>
      <c r="AB59">
        <f t="array" ref="AB59">MAX(IF($C$4:$C$200=MEDIAN($M$1-1,$M$1+1,C59),$D$4:$D$200,0))</f>
        <v>0.3967</v>
      </c>
      <c r="AC59" s="23">
        <f t="shared" si="4"/>
        <v>1.7199999999999993E-2</v>
      </c>
    </row>
    <row r="60" spans="2:29">
      <c r="B60">
        <v>13.108000000000001</v>
      </c>
      <c r="C60" s="2">
        <v>99.86</v>
      </c>
      <c r="D60">
        <v>0.32869999999999999</v>
      </c>
      <c r="E60" s="2">
        <v>304.8</v>
      </c>
      <c r="F60" s="23">
        <f t="shared" si="0"/>
        <v>0.32869999999999999</v>
      </c>
      <c r="H60" s="6">
        <f t="shared" si="6"/>
        <v>0.35239422789855812</v>
      </c>
      <c r="I60" s="6">
        <f t="shared" si="7"/>
        <v>-2.3694227898558129E-2</v>
      </c>
      <c r="J60" s="6">
        <f t="shared" si="5"/>
        <v>5.6141643570881041E-4</v>
      </c>
      <c r="AB60">
        <f t="array" ref="AB60">MAX(IF($C$4:$C$200=MEDIAN($M$1-1,$M$1+1,C60),$D$4:$D$200,0))</f>
        <v>0.68920000000000003</v>
      </c>
      <c r="AC60" s="23">
        <f t="shared" si="4"/>
        <v>1.9000000000000128E-3</v>
      </c>
    </row>
    <row r="61" spans="2:29">
      <c r="B61">
        <v>13.412000000000001</v>
      </c>
      <c r="C61" s="2">
        <v>99.86</v>
      </c>
      <c r="D61">
        <v>0.3306</v>
      </c>
      <c r="E61" s="2">
        <v>304.8</v>
      </c>
      <c r="F61" s="23">
        <f t="shared" si="0"/>
        <v>0.3306</v>
      </c>
      <c r="H61" s="6">
        <f t="shared" si="6"/>
        <v>0.3477555713096665</v>
      </c>
      <c r="I61" s="6">
        <f t="shared" si="7"/>
        <v>-1.7155571309666495E-2</v>
      </c>
      <c r="J61" s="6">
        <f t="shared" si="5"/>
        <v>2.9431362696105218E-4</v>
      </c>
      <c r="AB61">
        <f t="array" ref="AB61">MAX(IF($C$4:$C$200=MEDIAN($M$1-1,$M$1+1,C61),$D$4:$D$200,0))</f>
        <v>0.68920000000000003</v>
      </c>
      <c r="AC61" s="23">
        <f t="shared" si="4"/>
        <v>4.0000000000000036E-3</v>
      </c>
    </row>
    <row r="62" spans="2:29">
      <c r="B62">
        <v>13.7</v>
      </c>
      <c r="C62" s="2">
        <v>99.9</v>
      </c>
      <c r="D62" s="2">
        <v>0.33460000000000001</v>
      </c>
      <c r="E62" s="2">
        <v>301.3</v>
      </c>
      <c r="F62" s="23">
        <f t="shared" si="0"/>
        <v>0.33460000000000001</v>
      </c>
      <c r="H62" s="6">
        <f t="shared" si="6"/>
        <v>0.34380226001067271</v>
      </c>
      <c r="I62" s="6">
        <f t="shared" si="7"/>
        <v>-9.2022600106727026E-3</v>
      </c>
      <c r="J62" s="6">
        <f t="shared" si="5"/>
        <v>8.4681589304025972E-5</v>
      </c>
      <c r="AB62">
        <f t="array" ref="AB62">MAX(IF($C$4:$C$200=MEDIAN($M$1-1,$M$1+1,C62),$D$4:$D$200,0))</f>
        <v>1.07</v>
      </c>
      <c r="AC62" s="23">
        <f t="shared" si="4"/>
        <v>5.8000000000000274E-3</v>
      </c>
    </row>
    <row r="63" spans="2:29">
      <c r="B63">
        <v>13.907999999999999</v>
      </c>
      <c r="C63" s="2">
        <v>99.9</v>
      </c>
      <c r="D63" s="2">
        <v>0.32879999999999998</v>
      </c>
      <c r="E63" s="2">
        <v>301.3</v>
      </c>
      <c r="F63" s="23">
        <f t="shared" si="0"/>
        <v>0.32879999999999998</v>
      </c>
      <c r="H63" s="6">
        <f t="shared" si="6"/>
        <v>0.34118973892843396</v>
      </c>
      <c r="I63" s="6">
        <f t="shared" si="7"/>
        <v>-1.238973892843398E-2</v>
      </c>
      <c r="J63" s="6">
        <f t="shared" si="5"/>
        <v>1.5350563071475239E-4</v>
      </c>
      <c r="AB63">
        <f t="array" ref="AB63">MAX(IF($C$4:$C$200=MEDIAN($M$1-1,$M$1+1,C63),$D$4:$D$200,0))</f>
        <v>1.07</v>
      </c>
      <c r="AC63" s="23">
        <f t="shared" si="4"/>
        <v>1.8600000000000005E-2</v>
      </c>
    </row>
    <row r="64" spans="2:29">
      <c r="B64">
        <v>14.092000000000001</v>
      </c>
      <c r="C64" s="2">
        <v>99.9</v>
      </c>
      <c r="D64" s="2">
        <v>0.31019999999999998</v>
      </c>
      <c r="E64" s="2">
        <v>297.2</v>
      </c>
      <c r="F64" s="23">
        <f t="shared" si="0"/>
        <v>0.31019999999999998</v>
      </c>
      <c r="H64" s="6">
        <f t="shared" si="6"/>
        <v>0.33903506963965047</v>
      </c>
      <c r="I64" s="6">
        <f t="shared" si="7"/>
        <v>-2.883506963965049E-2</v>
      </c>
      <c r="J64" s="6">
        <f t="shared" si="5"/>
        <v>8.3146124112349349E-4</v>
      </c>
      <c r="AB64">
        <f t="array" ref="AB64">MAX(IF($C$4:$C$200=MEDIAN($M$1-1,$M$1+1,C64),$D$4:$D$200,0))</f>
        <v>1.07</v>
      </c>
      <c r="AC64" s="23">
        <f t="shared" si="4"/>
        <v>3.5000000000000031E-3</v>
      </c>
    </row>
    <row r="65" spans="2:29">
      <c r="B65">
        <v>14.42</v>
      </c>
      <c r="C65" s="2">
        <v>99.9</v>
      </c>
      <c r="D65" s="2">
        <v>0.30669999999999997</v>
      </c>
      <c r="E65" s="2">
        <v>297.2</v>
      </c>
      <c r="F65" s="23">
        <f t="shared" si="0"/>
        <v>0.30669999999999997</v>
      </c>
      <c r="H65" s="6">
        <f t="shared" si="6"/>
        <v>0.33552847796792662</v>
      </c>
      <c r="I65" s="6">
        <f t="shared" si="7"/>
        <v>-2.8828477967926647E-2</v>
      </c>
      <c r="J65" s="6">
        <f t="shared" si="5"/>
        <v>8.3108114194723208E-4</v>
      </c>
      <c r="AB65">
        <f t="array" ref="AB65">MAX(IF($C$4:$C$200=MEDIAN($M$1-1,$M$1+1,C65),$D$4:$D$200,0))</f>
        <v>1.07</v>
      </c>
      <c r="AC65" s="23">
        <f t="shared" si="4"/>
        <v>6.5000000000000058E-3</v>
      </c>
    </row>
    <row r="66" spans="2:29">
      <c r="B66">
        <v>14.708</v>
      </c>
      <c r="C66" s="2">
        <v>99.95</v>
      </c>
      <c r="D66" s="2">
        <v>0.31319999999999998</v>
      </c>
      <c r="E66" s="2">
        <v>296.5</v>
      </c>
      <c r="F66" s="23">
        <f t="shared" si="0"/>
        <v>0.31319999999999998</v>
      </c>
      <c r="H66" s="6">
        <f t="shared" si="6"/>
        <v>0.33277071620868615</v>
      </c>
      <c r="I66" s="6">
        <f t="shared" si="7"/>
        <v>-1.9570716208686167E-2</v>
      </c>
      <c r="J66" s="6">
        <f t="shared" si="5"/>
        <v>3.8301293292093149E-4</v>
      </c>
      <c r="AB66">
        <f t="array" ref="AB66">MAX(IF($C$4:$C$200=MEDIAN($M$1-1,$M$1+1,C66),$D$4:$D$200,0))</f>
        <v>0.67800000000000005</v>
      </c>
      <c r="AC66" s="23">
        <f t="shared" si="4"/>
        <v>3.9999999999995595E-4</v>
      </c>
    </row>
    <row r="67" spans="2:29">
      <c r="B67">
        <v>14.916</v>
      </c>
      <c r="C67" s="2">
        <v>99.95</v>
      </c>
      <c r="D67" s="2">
        <v>0.31280000000000002</v>
      </c>
      <c r="E67" s="2">
        <v>296.5</v>
      </c>
      <c r="F67" s="23">
        <f t="shared" si="0"/>
        <v>0.31280000000000002</v>
      </c>
      <c r="H67" s="6">
        <f t="shared" si="6"/>
        <v>0.33094826657320198</v>
      </c>
      <c r="I67" s="6">
        <f t="shared" si="7"/>
        <v>-1.8148266573201954E-2</v>
      </c>
      <c r="J67" s="6">
        <f t="shared" si="5"/>
        <v>3.2935957961199939E-4</v>
      </c>
      <c r="AB67">
        <f t="array" ref="AB67">MAX(IF($C$4:$C$200=MEDIAN($M$1-1,$M$1+1,C67),$D$4:$D$200,0))</f>
        <v>0.67800000000000005</v>
      </c>
      <c r="AC67" s="23">
        <f t="shared" si="4"/>
        <v>2.1999999999999964E-2</v>
      </c>
    </row>
    <row r="68" spans="2:29">
      <c r="B68">
        <v>15.14</v>
      </c>
      <c r="C68" s="2">
        <v>99.95</v>
      </c>
      <c r="D68" s="2">
        <v>0.33479999999999999</v>
      </c>
      <c r="E68" s="2">
        <v>294.5</v>
      </c>
      <c r="F68" s="23">
        <f t="shared" ref="F68:F131" si="8">IF(C68=MEDIAN($M$1-1,$M$1+1,C68),IF(D68&lt;=AVERAGE($AB$3,AVERAGEIF($B$4:$B$200,"&gt;20",$D$4:$D$200)),D68,0),0)</f>
        <v>0.33479999999999999</v>
      </c>
      <c r="H68" s="6">
        <f t="shared" ref="H68:H99" si="9">IF(MATCH(F68,$F$4:$F$200,0)&gt;=MATCH(MAX($F$4:$F$200),$F$4:$F$200,0),$M$4+($M$5-$M$4)*(1-EXP(-B68/$M$6)),0)</f>
        <v>0.32913132491619379</v>
      </c>
      <c r="I68" s="6">
        <f t="shared" ref="I68:I99" si="10">IF(H68&gt;0,D68-H68,0)</f>
        <v>5.6686750838061961E-3</v>
      </c>
      <c r="J68" s="6">
        <f t="shared" si="5"/>
        <v>3.2133877205765185E-5</v>
      </c>
      <c r="AB68">
        <f t="array" ref="AB68">MAX(IF($C$4:$C$200=MEDIAN($M$1-1,$M$1+1,C68),$D$4:$D$200,0))</f>
        <v>0.67800000000000005</v>
      </c>
      <c r="AC68" s="23">
        <f t="shared" si="4"/>
        <v>8.0000000000002292E-4</v>
      </c>
    </row>
    <row r="69" spans="2:29">
      <c r="B69">
        <v>15.428000000000001</v>
      </c>
      <c r="C69" s="2">
        <v>99.95</v>
      </c>
      <c r="D69" s="2">
        <v>0.33560000000000001</v>
      </c>
      <c r="E69" s="2">
        <v>294.5</v>
      </c>
      <c r="F69" s="23">
        <f t="shared" si="8"/>
        <v>0.33560000000000001</v>
      </c>
      <c r="H69" s="6">
        <f t="shared" si="9"/>
        <v>0.32699906859581507</v>
      </c>
      <c r="I69" s="6">
        <f t="shared" si="10"/>
        <v>8.6009314041849416E-3</v>
      </c>
      <c r="J69" s="6">
        <f t="shared" si="5"/>
        <v>7.397602101949475E-5</v>
      </c>
      <c r="AB69">
        <f t="array" ref="AB69">MAX(IF($C$4:$C$200=MEDIAN($M$1-1,$M$1+1,C69),$D$4:$D$200,0))</f>
        <v>0.67800000000000005</v>
      </c>
      <c r="AC69" s="23">
        <f t="shared" ref="AC69:AC132" si="11">ABS(D69-D70)</f>
        <v>3.7999999999999701E-3</v>
      </c>
    </row>
    <row r="70" spans="2:29">
      <c r="B70">
        <v>15.676</v>
      </c>
      <c r="C70" s="2">
        <v>99.88</v>
      </c>
      <c r="D70" s="2">
        <v>0.33939999999999998</v>
      </c>
      <c r="E70" s="2">
        <v>293</v>
      </c>
      <c r="F70" s="23">
        <f t="shared" si="8"/>
        <v>0.33939999999999998</v>
      </c>
      <c r="H70" s="6">
        <f t="shared" si="9"/>
        <v>0.32533080215443455</v>
      </c>
      <c r="I70" s="6">
        <f t="shared" si="10"/>
        <v>1.4069197845565429E-2</v>
      </c>
      <c r="J70" s="6">
        <f t="shared" si="5"/>
        <v>1.9794232801766291E-4</v>
      </c>
      <c r="AB70">
        <f t="array" ref="AB70">MAX(IF($C$4:$C$200=MEDIAN($M$1-1,$M$1+1,C70),$D$4:$D$200,0))</f>
        <v>0.33939999999999998</v>
      </c>
      <c r="AC70" s="23">
        <f t="shared" si="11"/>
        <v>6.6999999999999837E-3</v>
      </c>
    </row>
    <row r="71" spans="2:29">
      <c r="B71">
        <v>15.864000000000001</v>
      </c>
      <c r="C71" s="2">
        <v>99.88</v>
      </c>
      <c r="D71" s="2">
        <v>0.3327</v>
      </c>
      <c r="E71" s="2">
        <v>293</v>
      </c>
      <c r="F71" s="23">
        <f t="shared" si="8"/>
        <v>0.3327</v>
      </c>
      <c r="H71" s="6">
        <f t="shared" si="9"/>
        <v>0.32416107213184731</v>
      </c>
      <c r="I71" s="6">
        <f t="shared" si="10"/>
        <v>8.5389278681526903E-3</v>
      </c>
      <c r="J71" s="6">
        <f t="shared" si="5"/>
        <v>7.2913289137514656E-5</v>
      </c>
      <c r="Q71" s="16"/>
      <c r="V71" s="16"/>
      <c r="AB71">
        <f t="array" ref="AB71">MAX(IF($C$4:$C$200=MEDIAN($M$1-1,$M$1+1,C71),$D$4:$D$200,0))</f>
        <v>0.33939999999999998</v>
      </c>
      <c r="AC71" s="23">
        <f t="shared" si="11"/>
        <v>0</v>
      </c>
    </row>
    <row r="72" spans="2:29">
      <c r="B72">
        <v>16.004000000000001</v>
      </c>
      <c r="C72" s="2">
        <v>99.96</v>
      </c>
      <c r="D72" s="2">
        <v>0.3327</v>
      </c>
      <c r="E72" s="2">
        <v>287.39999999999998</v>
      </c>
      <c r="F72" s="23">
        <f t="shared" si="8"/>
        <v>0.3327</v>
      </c>
      <c r="H72" s="6">
        <f t="shared" si="9"/>
        <v>0.32333963802164245</v>
      </c>
      <c r="I72" s="6">
        <f t="shared" si="10"/>
        <v>9.3603619783575454E-3</v>
      </c>
      <c r="J72" s="6">
        <f t="shared" si="5"/>
        <v>8.7616376365881585E-5</v>
      </c>
      <c r="S72" s="14"/>
      <c r="T72" s="15"/>
      <c r="U72" s="14"/>
      <c r="V72" s="21"/>
      <c r="AB72">
        <f t="array" ref="AB72">MAX(IF($C$4:$C$200=MEDIAN($M$1-1,$M$1+1,C72),$D$4:$D$200,0))</f>
        <v>0.56559999999999999</v>
      </c>
      <c r="AC72" s="23">
        <f t="shared" si="11"/>
        <v>1.8299999999999983E-2</v>
      </c>
    </row>
    <row r="73" spans="2:29">
      <c r="B73">
        <v>16.244</v>
      </c>
      <c r="C73" s="2">
        <v>99.96</v>
      </c>
      <c r="D73" s="2">
        <v>0.35099999999999998</v>
      </c>
      <c r="E73" s="2">
        <v>287.39999999999998</v>
      </c>
      <c r="F73" s="23">
        <f t="shared" si="8"/>
        <v>0.35099999999999998</v>
      </c>
      <c r="H73" s="6">
        <f t="shared" si="9"/>
        <v>0.32202361725572004</v>
      </c>
      <c r="I73" s="6">
        <f t="shared" si="10"/>
        <v>2.8976382744279938E-2</v>
      </c>
      <c r="J73" s="6">
        <f t="shared" si="5"/>
        <v>8.3963075694300422E-4</v>
      </c>
      <c r="AB73">
        <f t="array" ref="AB73">MAX(IF($C$4:$C$200=MEDIAN($M$1-1,$M$1+1,C73),$D$4:$D$200,0))</f>
        <v>0.56559999999999999</v>
      </c>
      <c r="AC73" s="23">
        <f t="shared" si="11"/>
        <v>1.7000000000000348E-3</v>
      </c>
    </row>
    <row r="74" spans="2:29">
      <c r="B74">
        <v>16.547999999999998</v>
      </c>
      <c r="C74" s="2">
        <v>99.91</v>
      </c>
      <c r="D74" s="2">
        <v>0.35270000000000001</v>
      </c>
      <c r="E74" s="2">
        <v>288.8</v>
      </c>
      <c r="F74" s="23">
        <f t="shared" si="8"/>
        <v>0.35270000000000001</v>
      </c>
      <c r="H74" s="6">
        <f t="shared" si="9"/>
        <v>0.3205107488128176</v>
      </c>
      <c r="I74" s="6">
        <f t="shared" si="10"/>
        <v>3.2189251187182411E-2</v>
      </c>
      <c r="J74" s="6">
        <f t="shared" si="5"/>
        <v>1.0361478919915243E-3</v>
      </c>
      <c r="AB74">
        <f t="array" ref="AB74">MAX(IF($C$4:$C$200=MEDIAN($M$1-1,$M$1+1,C74),$D$4:$D$200,0))</f>
        <v>0.45779999999999998</v>
      </c>
      <c r="AC74" s="23">
        <f t="shared" si="11"/>
        <v>1.4000000000000123E-3</v>
      </c>
    </row>
    <row r="75" spans="2:29">
      <c r="B75">
        <v>16.763999999999999</v>
      </c>
      <c r="C75" s="2">
        <v>99.91</v>
      </c>
      <c r="D75" s="2">
        <v>0.3513</v>
      </c>
      <c r="E75" s="2">
        <v>288.8</v>
      </c>
      <c r="F75" s="23">
        <f t="shared" si="8"/>
        <v>0.3513</v>
      </c>
      <c r="H75" s="6">
        <f t="shared" si="9"/>
        <v>0.3195314092971886</v>
      </c>
      <c r="I75" s="6">
        <f t="shared" si="10"/>
        <v>3.1768590702811406E-2</v>
      </c>
      <c r="J75" s="6">
        <f t="shared" si="5"/>
        <v>1.0092433552427553E-3</v>
      </c>
      <c r="AB75">
        <f t="array" ref="AB75">MAX(IF($C$4:$C$200=MEDIAN($M$1-1,$M$1+1,C75),$D$4:$D$200,0))</f>
        <v>0.45779999999999998</v>
      </c>
      <c r="AC75" s="23">
        <f t="shared" si="11"/>
        <v>1.2699999999999989E-2</v>
      </c>
    </row>
    <row r="76" spans="2:29">
      <c r="B76">
        <v>16.948</v>
      </c>
      <c r="C76" s="2">
        <v>99.92</v>
      </c>
      <c r="D76" s="2">
        <v>0.33860000000000001</v>
      </c>
      <c r="E76" s="2">
        <v>296.39999999999998</v>
      </c>
      <c r="F76" s="23">
        <f t="shared" si="8"/>
        <v>0.33860000000000001</v>
      </c>
      <c r="H76" s="6">
        <f t="shared" si="9"/>
        <v>0.31875474168704798</v>
      </c>
      <c r="I76" s="6">
        <f t="shared" si="10"/>
        <v>1.984525831295203E-2</v>
      </c>
      <c r="J76" s="6">
        <f t="shared" si="5"/>
        <v>3.9383427750779167E-4</v>
      </c>
      <c r="AB76">
        <f t="array" ref="AB76">MAX(IF($C$4:$C$200=MEDIAN($M$1-1,$M$1+1,C76),$D$4:$D$200,0))</f>
        <v>0.41760000000000003</v>
      </c>
      <c r="AC76" s="23">
        <f t="shared" si="11"/>
        <v>2.6999999999999802E-3</v>
      </c>
    </row>
    <row r="77" spans="2:29">
      <c r="B77">
        <v>17.164000000000001</v>
      </c>
      <c r="C77" s="2">
        <v>99.92</v>
      </c>
      <c r="D77" s="2">
        <v>0.34129999999999999</v>
      </c>
      <c r="E77" s="2">
        <v>296.39999999999998</v>
      </c>
      <c r="F77" s="23">
        <f t="shared" si="8"/>
        <v>0.34129999999999999</v>
      </c>
      <c r="H77" s="6">
        <f t="shared" si="9"/>
        <v>0.31790581909319116</v>
      </c>
      <c r="I77" s="6">
        <f t="shared" si="10"/>
        <v>2.3394180906808837E-2</v>
      </c>
      <c r="J77" s="6">
        <f t="shared" ref="J77:J140" si="12">I77^2</f>
        <v>5.4728770030049916E-4</v>
      </c>
      <c r="AB77">
        <f t="array" ref="AB77">MAX(IF($C$4:$C$200=MEDIAN($M$1-1,$M$1+1,C77),$D$4:$D$200,0))</f>
        <v>0.41760000000000003</v>
      </c>
      <c r="AC77" s="23">
        <f t="shared" si="11"/>
        <v>6.2999999999999723E-3</v>
      </c>
    </row>
    <row r="78" spans="2:29">
      <c r="B78">
        <v>17.48</v>
      </c>
      <c r="C78" s="2">
        <v>99.97</v>
      </c>
      <c r="D78" s="2">
        <v>0.33500000000000002</v>
      </c>
      <c r="E78" s="2">
        <v>294.3</v>
      </c>
      <c r="F78" s="23">
        <f t="shared" si="8"/>
        <v>0.33500000000000002</v>
      </c>
      <c r="H78" s="6">
        <f t="shared" si="9"/>
        <v>0.31677615080071053</v>
      </c>
      <c r="I78" s="6">
        <f t="shared" si="10"/>
        <v>1.8223849199289488E-2</v>
      </c>
      <c r="J78" s="6">
        <f t="shared" si="12"/>
        <v>3.3210867963844411E-4</v>
      </c>
      <c r="AB78">
        <f t="array" ref="AB78">MAX(IF($C$4:$C$200=MEDIAN($M$1-1,$M$1+1,C78),$D$4:$D$200,0))</f>
        <v>0.51300000000000001</v>
      </c>
      <c r="AC78" s="23">
        <f t="shared" si="11"/>
        <v>9.3000000000000305E-3</v>
      </c>
    </row>
    <row r="79" spans="2:29">
      <c r="B79">
        <v>17.763999999999999</v>
      </c>
      <c r="C79" s="2">
        <v>99.97</v>
      </c>
      <c r="D79" s="2">
        <v>0.32569999999999999</v>
      </c>
      <c r="E79" s="2">
        <v>294.3</v>
      </c>
      <c r="F79" s="23">
        <f t="shared" si="8"/>
        <v>0.32569999999999999</v>
      </c>
      <c r="H79" s="6">
        <f t="shared" si="9"/>
        <v>0.31586416313050769</v>
      </c>
      <c r="I79" s="6">
        <f t="shared" si="10"/>
        <v>9.8358368694922982E-3</v>
      </c>
      <c r="J79" s="6">
        <f t="shared" si="12"/>
        <v>9.6743686923264058E-5</v>
      </c>
      <c r="AB79">
        <f t="array" ref="AB79">MAX(IF($C$4:$C$200=MEDIAN($M$1-1,$M$1+1,C79),$D$4:$D$200,0))</f>
        <v>0.51300000000000001</v>
      </c>
      <c r="AC79" s="23">
        <f t="shared" si="11"/>
        <v>1.9399999999999973E-2</v>
      </c>
    </row>
    <row r="80" spans="2:29">
      <c r="B80">
        <v>17.940000000000001</v>
      </c>
      <c r="C80" s="2">
        <v>99.95</v>
      </c>
      <c r="D80" s="2">
        <v>0.30630000000000002</v>
      </c>
      <c r="E80" s="2">
        <v>288.39999999999998</v>
      </c>
      <c r="F80" s="23">
        <f t="shared" si="8"/>
        <v>0.30630000000000002</v>
      </c>
      <c r="H80" s="6">
        <f t="shared" si="9"/>
        <v>0.31534371066072264</v>
      </c>
      <c r="I80" s="6">
        <f t="shared" si="10"/>
        <v>-9.0437106607226259E-3</v>
      </c>
      <c r="J80" s="6">
        <f t="shared" si="12"/>
        <v>8.178870251486808E-5</v>
      </c>
      <c r="AB80">
        <f t="array" ref="AB80">MAX(IF($C$4:$C$200=MEDIAN($M$1-1,$M$1+1,C80),$D$4:$D$200,0))</f>
        <v>0.67800000000000005</v>
      </c>
      <c r="AC80" s="23">
        <f t="shared" si="11"/>
        <v>5.9999999999998943E-4</v>
      </c>
    </row>
    <row r="81" spans="2:29">
      <c r="B81">
        <v>18.100000000000001</v>
      </c>
      <c r="C81" s="2">
        <v>99.95</v>
      </c>
      <c r="D81" s="2">
        <v>0.30690000000000001</v>
      </c>
      <c r="E81" s="2">
        <v>288.39999999999998</v>
      </c>
      <c r="F81" s="23">
        <f t="shared" si="8"/>
        <v>0.30690000000000001</v>
      </c>
      <c r="H81" s="6">
        <f t="shared" si="9"/>
        <v>0.31489814820014583</v>
      </c>
      <c r="I81" s="6">
        <f t="shared" si="10"/>
        <v>-7.9981482001458271E-3</v>
      </c>
      <c r="J81" s="6">
        <f t="shared" si="12"/>
        <v>6.3970374631495936E-5</v>
      </c>
      <c r="AB81">
        <f t="array" ref="AB81">MAX(IF($C$4:$C$200=MEDIAN($M$1-1,$M$1+1,C81),$D$4:$D$200,0))</f>
        <v>0.67800000000000005</v>
      </c>
      <c r="AC81" s="23">
        <f t="shared" si="11"/>
        <v>1.5600000000000003E-2</v>
      </c>
    </row>
    <row r="82" spans="2:29">
      <c r="B82">
        <v>18.388000000000002</v>
      </c>
      <c r="C82" s="2">
        <v>99.95</v>
      </c>
      <c r="D82" s="2">
        <v>0.32250000000000001</v>
      </c>
      <c r="E82" s="2">
        <v>286.10000000000002</v>
      </c>
      <c r="F82" s="23">
        <f t="shared" si="8"/>
        <v>0.32250000000000001</v>
      </c>
      <c r="H82" s="6">
        <f t="shared" si="9"/>
        <v>0.31415759368464524</v>
      </c>
      <c r="I82" s="6">
        <f t="shared" si="10"/>
        <v>8.3424063153547667E-3</v>
      </c>
      <c r="J82" s="6">
        <f t="shared" si="12"/>
        <v>6.95957431304711E-5</v>
      </c>
      <c r="AB82">
        <f t="array" ref="AB82">MAX(IF($C$4:$C$200=MEDIAN($M$1-1,$M$1+1,C82),$D$4:$D$200,0))</f>
        <v>0.67800000000000005</v>
      </c>
      <c r="AC82" s="23">
        <f t="shared" si="11"/>
        <v>1.0199999999999987E-2</v>
      </c>
    </row>
    <row r="83" spans="2:29">
      <c r="B83">
        <v>18.66</v>
      </c>
      <c r="C83" s="2">
        <v>99.95</v>
      </c>
      <c r="D83" s="2">
        <v>0.3327</v>
      </c>
      <c r="E83" s="2">
        <v>286.10000000000002</v>
      </c>
      <c r="F83" s="23">
        <f t="shared" si="8"/>
        <v>0.3327</v>
      </c>
      <c r="H83" s="6">
        <f t="shared" si="9"/>
        <v>0.31352479272684075</v>
      </c>
      <c r="I83" s="6">
        <f t="shared" si="10"/>
        <v>1.9175207273159245E-2</v>
      </c>
      <c r="J83" s="6">
        <f t="shared" si="12"/>
        <v>3.6768857396861918E-4</v>
      </c>
      <c r="AB83">
        <f t="array" ref="AB83">MAX(IF($C$4:$C$200=MEDIAN($M$1-1,$M$1+1,C83),$D$4:$D$200,0))</f>
        <v>0.67800000000000005</v>
      </c>
      <c r="AC83" s="23">
        <f t="shared" si="11"/>
        <v>3.5999999999999921E-3</v>
      </c>
    </row>
    <row r="84" spans="2:29">
      <c r="B84">
        <v>18.835999999999999</v>
      </c>
      <c r="C84" s="2">
        <v>99.95</v>
      </c>
      <c r="D84" s="2">
        <v>0.3291</v>
      </c>
      <c r="E84" s="2">
        <v>286.10000000000002</v>
      </c>
      <c r="F84" s="23">
        <f t="shared" si="8"/>
        <v>0.3291</v>
      </c>
      <c r="H84" s="6">
        <f t="shared" si="9"/>
        <v>0.31314691172570974</v>
      </c>
      <c r="I84" s="6">
        <f t="shared" si="10"/>
        <v>1.5953088274290261E-2</v>
      </c>
      <c r="J84" s="6">
        <f t="shared" si="12"/>
        <v>2.5450102548729741E-4</v>
      </c>
      <c r="AB84">
        <f t="array" ref="AB84">MAX(IF($C$4:$C$200=MEDIAN($M$1-1,$M$1+1,C84),$D$4:$D$200,0))</f>
        <v>0.67800000000000005</v>
      </c>
      <c r="AC84" s="23">
        <f t="shared" si="11"/>
        <v>0</v>
      </c>
    </row>
    <row r="85" spans="2:29">
      <c r="B85">
        <v>19.012</v>
      </c>
      <c r="C85" s="2">
        <v>99.98</v>
      </c>
      <c r="D85" s="2">
        <v>0.3291</v>
      </c>
      <c r="E85" s="2">
        <v>287.89999999999998</v>
      </c>
      <c r="F85" s="23">
        <f t="shared" si="8"/>
        <v>0.3291</v>
      </c>
      <c r="H85" s="6">
        <f t="shared" si="9"/>
        <v>0.31279206044626129</v>
      </c>
      <c r="I85" s="6">
        <f t="shared" si="10"/>
        <v>1.6307939553738715E-2</v>
      </c>
      <c r="J85" s="6">
        <f t="shared" si="12"/>
        <v>2.659488924883957E-4</v>
      </c>
      <c r="AB85">
        <f t="array" ref="AB85">MAX(IF($C$4:$C$200=MEDIAN($M$1-1,$M$1+1,C85),$D$4:$D$200,0))</f>
        <v>0.3291</v>
      </c>
      <c r="AC85" s="23">
        <f t="shared" si="11"/>
        <v>3.0000000000000027E-3</v>
      </c>
    </row>
    <row r="86" spans="2:29">
      <c r="B86">
        <v>19.251999999999999</v>
      </c>
      <c r="C86" s="2">
        <v>99.98</v>
      </c>
      <c r="D86" s="2">
        <v>0.3261</v>
      </c>
      <c r="E86" s="2">
        <v>287.89999999999998</v>
      </c>
      <c r="F86" s="23">
        <f t="shared" si="8"/>
        <v>0.3261</v>
      </c>
      <c r="H86" s="6">
        <f t="shared" si="9"/>
        <v>0.31234276445485332</v>
      </c>
      <c r="I86" s="6">
        <f t="shared" si="10"/>
        <v>1.3757235545146684E-2</v>
      </c>
      <c r="J86" s="6">
        <f t="shared" si="12"/>
        <v>1.8926152984464738E-4</v>
      </c>
      <c r="S86" s="12"/>
      <c r="T86" s="13"/>
      <c r="U86" s="12"/>
      <c r="V86" s="10"/>
      <c r="AB86">
        <f t="array" ref="AB86">MAX(IF($C$4:$C$200=MEDIAN($M$1-1,$M$1+1,C86),$D$4:$D$200,0))</f>
        <v>0.3291</v>
      </c>
      <c r="AC86" s="23">
        <f t="shared" si="11"/>
        <v>3.9100000000000024E-2</v>
      </c>
    </row>
    <row r="87" spans="2:29">
      <c r="B87">
        <v>19.507999999999999</v>
      </c>
      <c r="C87" s="2">
        <v>99.96</v>
      </c>
      <c r="D87" s="2">
        <v>0.28699999999999998</v>
      </c>
      <c r="E87" s="2">
        <v>287.39999999999998</v>
      </c>
      <c r="F87" s="23">
        <f t="shared" si="8"/>
        <v>0.28699999999999998</v>
      </c>
      <c r="H87" s="6">
        <f t="shared" si="9"/>
        <v>0.31190413359760338</v>
      </c>
      <c r="I87" s="6">
        <f t="shared" si="10"/>
        <v>-2.4904133597603406E-2</v>
      </c>
      <c r="J87" s="6">
        <f t="shared" si="12"/>
        <v>6.2021587024727878E-4</v>
      </c>
      <c r="AB87">
        <f t="array" ref="AB87">MAX(IF($C$4:$C$200=MEDIAN($M$1-1,$M$1+1,C87),$D$4:$D$200,0))</f>
        <v>0.56559999999999999</v>
      </c>
      <c r="AC87" s="23">
        <f t="shared" si="11"/>
        <v>1.5799999999999981E-2</v>
      </c>
    </row>
    <row r="88" spans="2:29">
      <c r="B88">
        <v>19.731999999999999</v>
      </c>
      <c r="C88" s="2">
        <v>99.96</v>
      </c>
      <c r="D88" s="2">
        <v>0.2712</v>
      </c>
      <c r="E88" s="2">
        <v>287.39999999999998</v>
      </c>
      <c r="F88" s="23">
        <f t="shared" si="8"/>
        <v>0.2712</v>
      </c>
      <c r="H88" s="6">
        <f t="shared" si="9"/>
        <v>0.31155189848427245</v>
      </c>
      <c r="I88" s="6">
        <f t="shared" si="10"/>
        <v>-4.0351898484272453E-2</v>
      </c>
      <c r="J88" s="6">
        <f t="shared" si="12"/>
        <v>1.6282757112850296E-3</v>
      </c>
      <c r="T88" s="11"/>
      <c r="AB88">
        <f t="array" ref="AB88">MAX(IF($C$4:$C$200=MEDIAN($M$1-1,$M$1+1,C88),$D$4:$D$200,0))</f>
        <v>0.56559999999999999</v>
      </c>
      <c r="AC88" s="23">
        <f t="shared" si="11"/>
        <v>1.2900000000000023E-2</v>
      </c>
    </row>
    <row r="89" spans="2:29">
      <c r="B89">
        <v>19.88</v>
      </c>
      <c r="C89" s="2">
        <v>99.97</v>
      </c>
      <c r="D89" s="2">
        <v>0.28410000000000002</v>
      </c>
      <c r="E89" s="2">
        <v>284.89999999999998</v>
      </c>
      <c r="F89" s="23">
        <f t="shared" si="8"/>
        <v>0.28410000000000002</v>
      </c>
      <c r="H89" s="6">
        <f t="shared" si="9"/>
        <v>0.31133416725005691</v>
      </c>
      <c r="I89" s="6">
        <f t="shared" si="10"/>
        <v>-2.7234167250056895E-2</v>
      </c>
      <c r="J89" s="6">
        <f t="shared" si="12"/>
        <v>7.4169986580407152E-4</v>
      </c>
      <c r="AB89">
        <f t="array" ref="AB89">MAX(IF($C$4:$C$200=MEDIAN($M$1-1,$M$1+1,C89),$D$4:$D$200,0))</f>
        <v>0.51300000000000001</v>
      </c>
      <c r="AC89" s="23">
        <f t="shared" si="11"/>
        <v>2.3999999999999966E-2</v>
      </c>
    </row>
    <row r="90" spans="2:29">
      <c r="B90">
        <v>20.068000000000001</v>
      </c>
      <c r="C90" s="2">
        <v>99.97</v>
      </c>
      <c r="D90" s="2">
        <v>0.30809999999999998</v>
      </c>
      <c r="E90" s="2">
        <v>284.89999999999998</v>
      </c>
      <c r="F90" s="23">
        <f t="shared" si="8"/>
        <v>0.30809999999999998</v>
      </c>
      <c r="H90" s="6">
        <f t="shared" si="9"/>
        <v>0.3110736835618706</v>
      </c>
      <c r="I90" s="6">
        <f t="shared" si="10"/>
        <v>-2.9736835618706103E-3</v>
      </c>
      <c r="J90" s="6">
        <f t="shared" si="12"/>
        <v>8.8427939261394805E-6</v>
      </c>
      <c r="AB90">
        <f t="array" ref="AB90">MAX(IF($C$4:$C$200=MEDIAN($M$1-1,$M$1+1,C90),$D$4:$D$200,0))</f>
        <v>0.51300000000000001</v>
      </c>
      <c r="AC90" s="23">
        <f t="shared" si="11"/>
        <v>7.3999999999999622E-3</v>
      </c>
    </row>
    <row r="91" spans="2:29">
      <c r="B91">
        <v>20.372</v>
      </c>
      <c r="C91" s="2">
        <v>99.97</v>
      </c>
      <c r="D91" s="2">
        <v>0.30070000000000002</v>
      </c>
      <c r="E91" s="2">
        <v>284.60000000000002</v>
      </c>
      <c r="F91" s="23">
        <f t="shared" si="8"/>
        <v>0.30070000000000002</v>
      </c>
      <c r="H91" s="6">
        <f t="shared" si="9"/>
        <v>0.31068779848265926</v>
      </c>
      <c r="I91" s="6">
        <f t="shared" si="10"/>
        <v>-9.9877984826592381E-3</v>
      </c>
      <c r="J91" s="6">
        <f t="shared" si="12"/>
        <v>9.9756118530210181E-5</v>
      </c>
      <c r="AB91">
        <f t="array" ref="AB91">MAX(IF($C$4:$C$200=MEDIAN($M$1-1,$M$1+1,C91),$D$4:$D$200,0))</f>
        <v>0.51300000000000001</v>
      </c>
      <c r="AC91" s="23">
        <f t="shared" si="11"/>
        <v>3.2000000000000361E-3</v>
      </c>
    </row>
    <row r="92" spans="2:29">
      <c r="B92">
        <v>20.623999999999999</v>
      </c>
      <c r="C92" s="2">
        <v>99.97</v>
      </c>
      <c r="D92" s="2">
        <v>0.29749999999999999</v>
      </c>
      <c r="E92" s="2">
        <v>284.60000000000002</v>
      </c>
      <c r="F92" s="23">
        <f t="shared" si="8"/>
        <v>0.29749999999999999</v>
      </c>
      <c r="H92" s="6">
        <f t="shared" si="9"/>
        <v>0.31039820894442283</v>
      </c>
      <c r="I92" s="6">
        <f t="shared" si="10"/>
        <v>-1.289820894442284E-2</v>
      </c>
      <c r="J92" s="6">
        <f t="shared" si="12"/>
        <v>1.6636379397398936E-4</v>
      </c>
      <c r="AB92">
        <f t="array" ref="AB92">MAX(IF($C$4:$C$200=MEDIAN($M$1-1,$M$1+1,C92),$D$4:$D$200,0))</f>
        <v>0.51300000000000001</v>
      </c>
      <c r="AC92" s="23">
        <f t="shared" si="11"/>
        <v>1.3500000000000012E-2</v>
      </c>
    </row>
    <row r="93" spans="2:29">
      <c r="B93">
        <v>20.867999999999999</v>
      </c>
      <c r="C93" s="2">
        <v>99.9</v>
      </c>
      <c r="D93" s="2">
        <v>0.28399999999999997</v>
      </c>
      <c r="E93" s="2">
        <v>284.60000000000002</v>
      </c>
      <c r="F93" s="23">
        <f t="shared" si="8"/>
        <v>0.28399999999999997</v>
      </c>
      <c r="H93" s="6">
        <f t="shared" si="9"/>
        <v>0.3101415936278773</v>
      </c>
      <c r="I93" s="6">
        <f t="shared" si="10"/>
        <v>-2.6141593627877324E-2</v>
      </c>
      <c r="J93" s="6">
        <f t="shared" si="12"/>
        <v>6.8338291740507634E-4</v>
      </c>
      <c r="AB93">
        <f t="array" ref="AB93">MAX(IF($C$4:$C$200=MEDIAN($M$1-1,$M$1+1,C93),$D$4:$D$200,0))</f>
        <v>1.07</v>
      </c>
      <c r="AC93" s="23">
        <f t="shared" si="11"/>
        <v>1.7999999999999683E-3</v>
      </c>
    </row>
    <row r="94" spans="2:29">
      <c r="B94">
        <v>21.044</v>
      </c>
      <c r="C94" s="2">
        <v>99.9</v>
      </c>
      <c r="D94" s="2">
        <v>0.28220000000000001</v>
      </c>
      <c r="E94" s="2">
        <v>284.60000000000002</v>
      </c>
      <c r="F94" s="23">
        <f t="shared" si="8"/>
        <v>0.28220000000000001</v>
      </c>
      <c r="H94" s="6">
        <f t="shared" si="9"/>
        <v>0.30996989958351584</v>
      </c>
      <c r="I94" s="6">
        <f t="shared" si="10"/>
        <v>-2.7769899583515834E-2</v>
      </c>
      <c r="J94" s="6">
        <f t="shared" si="12"/>
        <v>7.711673228785529E-4</v>
      </c>
      <c r="AB94">
        <f t="array" ref="AB94">MAX(IF($C$4:$C$200=MEDIAN($M$1-1,$M$1+1,C94),$D$4:$D$200,0))</f>
        <v>1.07</v>
      </c>
      <c r="AC94" s="23">
        <f t="shared" si="11"/>
        <v>1.5000000000000013E-3</v>
      </c>
    </row>
    <row r="95" spans="2:29">
      <c r="B95">
        <v>21.364000000000001</v>
      </c>
      <c r="C95" s="2">
        <v>99.86</v>
      </c>
      <c r="D95" s="2">
        <v>0.28070000000000001</v>
      </c>
      <c r="E95" s="2">
        <v>284.7</v>
      </c>
      <c r="F95" s="23">
        <f t="shared" si="8"/>
        <v>0.28070000000000001</v>
      </c>
      <c r="H95" s="6">
        <f t="shared" si="9"/>
        <v>0.30968408980712425</v>
      </c>
      <c r="I95" s="6">
        <f t="shared" si="10"/>
        <v>-2.8984089807124247E-2</v>
      </c>
      <c r="J95" s="6">
        <f t="shared" si="12"/>
        <v>8.4007746194744368E-4</v>
      </c>
      <c r="AB95">
        <f t="array" ref="AB95">MAX(IF($C$4:$C$200=MEDIAN($M$1-1,$M$1+1,C95),$D$4:$D$200,0))</f>
        <v>0.68920000000000003</v>
      </c>
      <c r="AC95" s="23">
        <f t="shared" si="11"/>
        <v>6.2999999999999723E-3</v>
      </c>
    </row>
    <row r="96" spans="2:29">
      <c r="B96">
        <v>21.632000000000001</v>
      </c>
      <c r="C96" s="2">
        <v>99.86</v>
      </c>
      <c r="D96" s="2">
        <v>0.28699999999999998</v>
      </c>
      <c r="E96" s="2">
        <v>284.7</v>
      </c>
      <c r="F96" s="23">
        <f t="shared" si="8"/>
        <v>0.28699999999999998</v>
      </c>
      <c r="H96" s="6">
        <f t="shared" si="9"/>
        <v>0.30946862647503526</v>
      </c>
      <c r="I96" s="6">
        <f t="shared" si="10"/>
        <v>-2.246862647503528E-2</v>
      </c>
      <c r="J96" s="6">
        <f t="shared" si="12"/>
        <v>5.0483917567465634E-4</v>
      </c>
      <c r="AB96">
        <f t="array" ref="AB96">MAX(IF($C$4:$C$200=MEDIAN($M$1-1,$M$1+1,C96),$D$4:$D$200,0))</f>
        <v>0.68920000000000003</v>
      </c>
      <c r="AC96" s="23">
        <f t="shared" si="11"/>
        <v>2.6000000000000023E-2</v>
      </c>
    </row>
    <row r="97" spans="2:29">
      <c r="B97">
        <v>21.844000000000001</v>
      </c>
      <c r="C97" s="2">
        <v>99.93</v>
      </c>
      <c r="D97" s="2">
        <v>0.313</v>
      </c>
      <c r="E97" s="2">
        <v>286.3</v>
      </c>
      <c r="F97" s="23">
        <f t="shared" si="8"/>
        <v>0.313</v>
      </c>
      <c r="H97" s="6">
        <f t="shared" si="9"/>
        <v>0.30931221333072667</v>
      </c>
      <c r="I97" s="6">
        <f t="shared" si="10"/>
        <v>3.6877866692733297E-3</v>
      </c>
      <c r="J97" s="6">
        <f t="shared" si="12"/>
        <v>1.3599770518070078E-5</v>
      </c>
      <c r="AB97">
        <f t="array" ref="AB97">MAX(IF($C$4:$C$200=MEDIAN($M$1-1,$M$1+1,C97),$D$4:$D$200,0))</f>
        <v>0.34560000000000002</v>
      </c>
      <c r="AC97" s="23">
        <f t="shared" si="11"/>
        <v>0</v>
      </c>
    </row>
    <row r="98" spans="2:29">
      <c r="B98">
        <v>21.984000000000002</v>
      </c>
      <c r="C98" s="2">
        <v>99.93</v>
      </c>
      <c r="D98" s="2">
        <v>0.313</v>
      </c>
      <c r="E98" s="2">
        <v>286.3</v>
      </c>
      <c r="F98" s="23">
        <f t="shared" si="8"/>
        <v>0.313</v>
      </c>
      <c r="H98" s="6">
        <f t="shared" si="9"/>
        <v>0.30921522975257876</v>
      </c>
      <c r="I98" s="6">
        <f t="shared" si="10"/>
        <v>3.784770247421243E-3</v>
      </c>
      <c r="J98" s="6">
        <f t="shared" si="12"/>
        <v>1.4324485825765057E-5</v>
      </c>
      <c r="AB98">
        <f t="array" ref="AB98">MAX(IF($C$4:$C$200=MEDIAN($M$1-1,$M$1+1,C98),$D$4:$D$200,0))</f>
        <v>0.34560000000000002</v>
      </c>
      <c r="AC98" s="23">
        <f t="shared" si="11"/>
        <v>8.6999999999999855E-3</v>
      </c>
    </row>
    <row r="99" spans="2:29">
      <c r="B99">
        <v>22.228000000000002</v>
      </c>
      <c r="C99" s="2">
        <v>99.93</v>
      </c>
      <c r="D99" s="2">
        <v>0.30430000000000001</v>
      </c>
      <c r="E99" s="2">
        <v>287.8</v>
      </c>
      <c r="F99" s="23">
        <f t="shared" si="8"/>
        <v>0.30430000000000001</v>
      </c>
      <c r="H99" s="6">
        <f t="shared" si="9"/>
        <v>0.30905737380766585</v>
      </c>
      <c r="I99" s="6">
        <f t="shared" si="10"/>
        <v>-4.7573738076658323E-3</v>
      </c>
      <c r="J99" s="6">
        <f t="shared" si="12"/>
        <v>2.2632605545864899E-5</v>
      </c>
      <c r="AB99">
        <f t="array" ref="AB99">MAX(IF($C$4:$C$200=MEDIAN($M$1-1,$M$1+1,C99),$D$4:$D$200,0))</f>
        <v>0.34560000000000002</v>
      </c>
      <c r="AC99" s="23">
        <f t="shared" si="11"/>
        <v>1.9400000000000028E-2</v>
      </c>
    </row>
    <row r="100" spans="2:29">
      <c r="B100">
        <v>22.48</v>
      </c>
      <c r="C100" s="2">
        <v>99.93</v>
      </c>
      <c r="D100" s="2">
        <v>0.28489999999999999</v>
      </c>
      <c r="E100" s="2">
        <v>287.8</v>
      </c>
      <c r="F100" s="23">
        <f t="shared" si="8"/>
        <v>0.28489999999999999</v>
      </c>
      <c r="H100" s="6">
        <f t="shared" ref="H100:H131" si="13">IF(MATCH(F100,$F$4:$F$200,0)&gt;=MATCH(MAX($F$4:$F$200),$F$4:$F$200,0),$M$4+($M$5-$M$4)*(1-EXP(-B100/$M$6)),0)</f>
        <v>0.30890816295725276</v>
      </c>
      <c r="I100" s="6">
        <f t="shared" ref="I100:I131" si="14">IF(H100&gt;0,D100-H100,0)</f>
        <v>-2.4008162957252777E-2</v>
      </c>
      <c r="J100" s="6">
        <f t="shared" si="12"/>
        <v>5.7639188858200441E-4</v>
      </c>
      <c r="AB100">
        <f t="array" ref="AB100">MAX(IF($C$4:$C$200=MEDIAN($M$1-1,$M$1+1,C100),$D$4:$D$200,0))</f>
        <v>0.34560000000000002</v>
      </c>
      <c r="AC100" s="23">
        <f t="shared" si="11"/>
        <v>1.9199999999999995E-2</v>
      </c>
    </row>
    <row r="101" spans="2:29">
      <c r="B101">
        <v>22.704000000000001</v>
      </c>
      <c r="C101" s="2">
        <v>99.86</v>
      </c>
      <c r="D101" s="2">
        <v>0.26569999999999999</v>
      </c>
      <c r="E101" s="2">
        <v>286.89999999999998</v>
      </c>
      <c r="F101" s="23">
        <f t="shared" si="8"/>
        <v>0.26569999999999999</v>
      </c>
      <c r="H101" s="6">
        <f t="shared" si="13"/>
        <v>0.30878635145035194</v>
      </c>
      <c r="I101" s="6">
        <f t="shared" si="14"/>
        <v>-4.3086351450351945E-2</v>
      </c>
      <c r="J101" s="6">
        <f t="shared" si="12"/>
        <v>1.8564336813032452E-3</v>
      </c>
      <c r="AB101">
        <f t="array" ref="AB101">MAX(IF($C$4:$C$200=MEDIAN($M$1-1,$M$1+1,C101),$D$4:$D$200,0))</f>
        <v>0.68920000000000003</v>
      </c>
      <c r="AC101" s="23">
        <f t="shared" si="11"/>
        <v>1.0999999999999899E-3</v>
      </c>
    </row>
    <row r="102" spans="2:29">
      <c r="B102">
        <v>22.856000000000002</v>
      </c>
      <c r="C102" s="2">
        <v>99.86</v>
      </c>
      <c r="D102" s="2">
        <v>0.2646</v>
      </c>
      <c r="E102" s="2">
        <v>286.89999999999998</v>
      </c>
      <c r="F102" s="23">
        <f t="shared" si="8"/>
        <v>0.2646</v>
      </c>
      <c r="H102" s="6">
        <f t="shared" si="13"/>
        <v>0.30870907436721229</v>
      </c>
      <c r="I102" s="6">
        <f t="shared" si="14"/>
        <v>-4.4109074367212286E-2</v>
      </c>
      <c r="J102" s="6">
        <f t="shared" si="12"/>
        <v>1.9456104415322641E-3</v>
      </c>
      <c r="AB102">
        <f t="array" ref="AB102">MAX(IF($C$4:$C$200=MEDIAN($M$1-1,$M$1+1,C102),$D$4:$D$200,0))</f>
        <v>0.68920000000000003</v>
      </c>
      <c r="AC102" s="23">
        <f t="shared" si="11"/>
        <v>6.1999999999999833E-3</v>
      </c>
    </row>
    <row r="103" spans="2:29">
      <c r="B103">
        <v>23.056000000000001</v>
      </c>
      <c r="C103" s="2">
        <v>99.86</v>
      </c>
      <c r="D103" s="2">
        <v>0.25840000000000002</v>
      </c>
      <c r="E103" s="2">
        <v>286.89999999999998</v>
      </c>
      <c r="F103" s="23">
        <f t="shared" si="8"/>
        <v>0.25840000000000002</v>
      </c>
      <c r="H103" s="6">
        <f t="shared" si="13"/>
        <v>0.30861358226124924</v>
      </c>
      <c r="I103" s="6">
        <f t="shared" si="14"/>
        <v>-5.0213582261249223E-2</v>
      </c>
      <c r="J103" s="6">
        <f t="shared" si="12"/>
        <v>2.5214038435072425E-3</v>
      </c>
      <c r="AB103">
        <f t="array" ref="AB103">MAX(IF($C$4:$C$200=MEDIAN($M$1-1,$M$1+1,C103),$D$4:$D$200,0))</f>
        <v>0.68920000000000003</v>
      </c>
      <c r="AC103" s="23">
        <f t="shared" si="11"/>
        <v>2.3999999999999966E-2</v>
      </c>
    </row>
    <row r="104" spans="2:29">
      <c r="B104">
        <v>23.36</v>
      </c>
      <c r="C104" s="2">
        <v>99.96</v>
      </c>
      <c r="D104" s="2">
        <v>0.28239999999999998</v>
      </c>
      <c r="E104" s="2">
        <v>282.7</v>
      </c>
      <c r="F104" s="23">
        <f t="shared" si="8"/>
        <v>0.28239999999999998</v>
      </c>
      <c r="H104" s="6">
        <f t="shared" si="13"/>
        <v>0.30848089444480831</v>
      </c>
      <c r="I104" s="6">
        <f t="shared" si="14"/>
        <v>-2.6080894444808322E-2</v>
      </c>
      <c r="J104" s="6">
        <f t="shared" si="12"/>
        <v>6.8021305504123366E-4</v>
      </c>
      <c r="AB104">
        <f t="array" ref="AB104">MAX(IF($C$4:$C$200=MEDIAN($M$1-1,$M$1+1,C104),$D$4:$D$200,0))</f>
        <v>0.56559999999999999</v>
      </c>
      <c r="AC104" s="23">
        <f t="shared" si="11"/>
        <v>2.1699999999999997E-2</v>
      </c>
    </row>
    <row r="105" spans="2:29">
      <c r="B105">
        <v>23.62</v>
      </c>
      <c r="C105" s="2">
        <v>99.96</v>
      </c>
      <c r="D105" s="2">
        <v>0.30409999999999998</v>
      </c>
      <c r="E105" s="2">
        <v>282.7</v>
      </c>
      <c r="F105" s="23">
        <f t="shared" si="8"/>
        <v>0.30409999999999998</v>
      </c>
      <c r="H105" s="6">
        <f t="shared" si="13"/>
        <v>0.30837830148853218</v>
      </c>
      <c r="I105" s="6">
        <f t="shared" si="14"/>
        <v>-4.278301488532199E-3</v>
      </c>
      <c r="J105" s="6">
        <f t="shared" si="12"/>
        <v>1.830386362677683E-5</v>
      </c>
      <c r="AB105">
        <f t="array" ref="AB105">MAX(IF($C$4:$C$200=MEDIAN($M$1-1,$M$1+1,C105),$D$4:$D$200,0))</f>
        <v>0.56559999999999999</v>
      </c>
      <c r="AC105" s="23">
        <f t="shared" si="11"/>
        <v>1.0200000000000042E-2</v>
      </c>
    </row>
    <row r="106" spans="2:29">
      <c r="B106">
        <v>23.812000000000001</v>
      </c>
      <c r="C106" s="2">
        <v>99.93</v>
      </c>
      <c r="D106" s="2">
        <v>0.31430000000000002</v>
      </c>
      <c r="E106" s="2">
        <v>280.60000000000002</v>
      </c>
      <c r="F106" s="23">
        <f t="shared" si="8"/>
        <v>0.31430000000000002</v>
      </c>
      <c r="H106" s="6">
        <f t="shared" si="13"/>
        <v>0.30830842877525555</v>
      </c>
      <c r="I106" s="6">
        <f t="shared" si="14"/>
        <v>5.9915712247444741E-3</v>
      </c>
      <c r="J106" s="6">
        <f t="shared" si="12"/>
        <v>3.5898925741186E-5</v>
      </c>
      <c r="AB106">
        <f t="array" ref="AB106">MAX(IF($C$4:$C$200=MEDIAN($M$1-1,$M$1+1,C106),$D$4:$D$200,0))</f>
        <v>0.34560000000000002</v>
      </c>
      <c r="AC106" s="23">
        <f t="shared" si="11"/>
        <v>1.6999999999999793E-3</v>
      </c>
    </row>
    <row r="107" spans="2:29">
      <c r="B107">
        <v>23.992000000000001</v>
      </c>
      <c r="C107" s="2">
        <v>99.93</v>
      </c>
      <c r="D107" s="2">
        <v>0.316</v>
      </c>
      <c r="E107" s="2">
        <v>280.60000000000002</v>
      </c>
      <c r="F107" s="23">
        <f t="shared" si="8"/>
        <v>0.316</v>
      </c>
      <c r="H107" s="6">
        <f t="shared" si="13"/>
        <v>0.30824713614444832</v>
      </c>
      <c r="I107" s="6">
        <f t="shared" si="14"/>
        <v>7.7528638555516838E-3</v>
      </c>
      <c r="J107" s="6">
        <f t="shared" si="12"/>
        <v>6.0106897962719722E-5</v>
      </c>
      <c r="AB107">
        <f t="array" ref="AB107">MAX(IF($C$4:$C$200=MEDIAN($M$1-1,$M$1+1,C107),$D$4:$D$200,0))</f>
        <v>0.34560000000000002</v>
      </c>
      <c r="AC107" s="23">
        <f t="shared" si="11"/>
        <v>9.6999999999999864E-3</v>
      </c>
    </row>
    <row r="108" spans="2:29">
      <c r="B108">
        <v>24.26</v>
      </c>
      <c r="C108" s="2">
        <v>99.89</v>
      </c>
      <c r="D108" s="2">
        <v>0.32569999999999999</v>
      </c>
      <c r="E108" s="2">
        <v>281.10000000000002</v>
      </c>
      <c r="F108" s="23">
        <f t="shared" si="8"/>
        <v>0.32569999999999999</v>
      </c>
      <c r="H108" s="6">
        <f t="shared" si="13"/>
        <v>0.30816287931745112</v>
      </c>
      <c r="I108" s="6">
        <f t="shared" si="14"/>
        <v>1.7537120682548868E-2</v>
      </c>
      <c r="J108" s="6">
        <f t="shared" si="12"/>
        <v>3.0755060183428328E-4</v>
      </c>
      <c r="AB108">
        <f t="array" ref="AB108">MAX(IF($C$4:$C$200=MEDIAN($M$1-1,$M$1+1,C108),$D$4:$D$200,0))</f>
        <v>0.32629999999999998</v>
      </c>
      <c r="AC108" s="23">
        <f t="shared" si="11"/>
        <v>5.9999999999998943E-4</v>
      </c>
    </row>
    <row r="109" spans="2:29">
      <c r="B109">
        <v>24.544</v>
      </c>
      <c r="C109" s="2">
        <v>99.89</v>
      </c>
      <c r="D109" s="2">
        <v>0.32629999999999998</v>
      </c>
      <c r="E109" s="2">
        <v>281.10000000000002</v>
      </c>
      <c r="F109" s="23">
        <f t="shared" si="8"/>
        <v>0.32629999999999998</v>
      </c>
      <c r="H109" s="6">
        <f t="shared" si="13"/>
        <v>0.30808197269619253</v>
      </c>
      <c r="I109" s="6">
        <f t="shared" si="14"/>
        <v>1.8218027303807449E-2</v>
      </c>
      <c r="J109" s="6">
        <f t="shared" si="12"/>
        <v>3.318965188422737E-4</v>
      </c>
      <c r="AB109">
        <f t="array" ref="AB109">MAX(IF($C$4:$C$200=MEDIAN($M$1-1,$M$1+1,C109),$D$4:$D$200,0))</f>
        <v>0.32629999999999998</v>
      </c>
      <c r="AC109" s="23">
        <f t="shared" si="11"/>
        <v>5.5000000000000049E-3</v>
      </c>
    </row>
    <row r="110" spans="2:29">
      <c r="B110">
        <v>24.788</v>
      </c>
      <c r="C110" s="2">
        <v>99.95</v>
      </c>
      <c r="D110" s="2">
        <v>0.33179999999999998</v>
      </c>
      <c r="E110" s="2">
        <v>288.7</v>
      </c>
      <c r="F110" s="23">
        <f t="shared" si="8"/>
        <v>0.33179999999999998</v>
      </c>
      <c r="H110" s="6">
        <f t="shared" si="13"/>
        <v>0.30801872513962447</v>
      </c>
      <c r="I110" s="6">
        <f t="shared" si="14"/>
        <v>2.3781274860375512E-2</v>
      </c>
      <c r="J110" s="6">
        <f t="shared" si="12"/>
        <v>5.6554903398472838E-4</v>
      </c>
      <c r="AB110">
        <f t="array" ref="AB110">MAX(IF($C$4:$C$200=MEDIAN($M$1-1,$M$1+1,C110),$D$4:$D$200,0))</f>
        <v>0.67800000000000005</v>
      </c>
      <c r="AC110" s="23">
        <f t="shared" si="11"/>
        <v>0</v>
      </c>
    </row>
    <row r="111" spans="2:29">
      <c r="B111">
        <v>24.952000000000002</v>
      </c>
      <c r="C111" s="2">
        <v>99.95</v>
      </c>
      <c r="D111" s="2">
        <v>0.33179999999999998</v>
      </c>
      <c r="E111" s="2">
        <v>288.7</v>
      </c>
      <c r="F111" s="23">
        <f t="shared" si="8"/>
        <v>0.33179999999999998</v>
      </c>
      <c r="H111" s="6">
        <f t="shared" si="13"/>
        <v>0.30797920948845281</v>
      </c>
      <c r="I111" s="6">
        <f t="shared" si="14"/>
        <v>2.3820790511547174E-2</v>
      </c>
      <c r="J111" s="6">
        <f t="shared" si="12"/>
        <v>5.6743006059501583E-4</v>
      </c>
      <c r="AB111">
        <f t="array" ref="AB111">MAX(IF($C$4:$C$200=MEDIAN($M$1-1,$M$1+1,C111),$D$4:$D$200,0))</f>
        <v>0.67800000000000005</v>
      </c>
      <c r="AC111" s="23">
        <f t="shared" si="11"/>
        <v>1.9999999999997797E-4</v>
      </c>
    </row>
    <row r="112" spans="2:29">
      <c r="B112">
        <v>25.167999999999999</v>
      </c>
      <c r="C112" s="2">
        <v>99.87</v>
      </c>
      <c r="D112" s="2">
        <v>0.33160000000000001</v>
      </c>
      <c r="E112" s="2">
        <v>291.39999999999998</v>
      </c>
      <c r="F112" s="23">
        <f t="shared" si="8"/>
        <v>0.33160000000000001</v>
      </c>
      <c r="H112" s="6">
        <f t="shared" si="13"/>
        <v>0.30793057507063271</v>
      </c>
      <c r="I112" s="6">
        <f t="shared" si="14"/>
        <v>2.36694249293673E-2</v>
      </c>
      <c r="J112" s="6">
        <f t="shared" si="12"/>
        <v>5.6024167648695419E-4</v>
      </c>
      <c r="AB112">
        <f t="array" ref="AB112">MAX(IF($C$4:$C$200=MEDIAN($M$1-1,$M$1+1,C112),$D$4:$D$200,0))</f>
        <v>0.3967</v>
      </c>
      <c r="AC112" s="23">
        <f t="shared" si="11"/>
        <v>3.8000000000000256E-3</v>
      </c>
    </row>
    <row r="113" spans="2:29">
      <c r="B113">
        <v>25.475999999999999</v>
      </c>
      <c r="C113" s="2">
        <v>99.87</v>
      </c>
      <c r="D113" s="2">
        <v>0.32779999999999998</v>
      </c>
      <c r="E113" s="2">
        <v>291.39999999999998</v>
      </c>
      <c r="F113" s="23">
        <f t="shared" si="8"/>
        <v>0.32779999999999998</v>
      </c>
      <c r="H113" s="6">
        <f t="shared" si="13"/>
        <v>0.30786740675077695</v>
      </c>
      <c r="I113" s="6">
        <f t="shared" si="14"/>
        <v>1.993259324922303E-2</v>
      </c>
      <c r="J113" s="6">
        <f t="shared" si="12"/>
        <v>3.9730827363897148E-4</v>
      </c>
      <c r="AB113">
        <f t="array" ref="AB113">MAX(IF($C$4:$C$200=MEDIAN($M$1-1,$M$1+1,C113),$D$4:$D$200,0))</f>
        <v>0.3967</v>
      </c>
      <c r="AC113" s="23">
        <f t="shared" si="11"/>
        <v>1.3499999999999956E-2</v>
      </c>
    </row>
    <row r="114" spans="2:29">
      <c r="B114">
        <v>25.736000000000001</v>
      </c>
      <c r="C114" s="2">
        <v>99.86</v>
      </c>
      <c r="D114" s="2">
        <v>0.31430000000000002</v>
      </c>
      <c r="E114" s="2">
        <v>287.5</v>
      </c>
      <c r="F114" s="23">
        <f t="shared" si="8"/>
        <v>0.31430000000000002</v>
      </c>
      <c r="H114" s="6">
        <f t="shared" si="13"/>
        <v>0.30781923496894681</v>
      </c>
      <c r="I114" s="6">
        <f t="shared" si="14"/>
        <v>6.480765031053215E-3</v>
      </c>
      <c r="J114" s="6">
        <f t="shared" si="12"/>
        <v>4.2000315387722182E-5</v>
      </c>
      <c r="AB114">
        <f t="array" ref="AB114">MAX(IF($C$4:$C$200=MEDIAN($M$1-1,$M$1+1,C114),$D$4:$D$200,0))</f>
        <v>0.68920000000000003</v>
      </c>
      <c r="AC114" s="23">
        <f t="shared" si="11"/>
        <v>0</v>
      </c>
    </row>
    <row r="115" spans="2:29">
      <c r="B115">
        <v>25.908000000000001</v>
      </c>
      <c r="C115" s="2">
        <v>99.86</v>
      </c>
      <c r="D115" s="2">
        <v>0.31430000000000002</v>
      </c>
      <c r="E115" s="2">
        <v>287.5</v>
      </c>
      <c r="F115" s="23">
        <f t="shared" si="8"/>
        <v>0.31430000000000002</v>
      </c>
      <c r="H115" s="6">
        <f t="shared" si="13"/>
        <v>0.30778974021294658</v>
      </c>
      <c r="I115" s="6">
        <f t="shared" si="14"/>
        <v>6.5102597870534407E-3</v>
      </c>
      <c r="J115" s="6">
        <f t="shared" si="12"/>
        <v>4.2383482494925108E-5</v>
      </c>
      <c r="AB115">
        <f t="array" ref="AB115">MAX(IF($C$4:$C$200=MEDIAN($M$1-1,$M$1+1,C115),$D$4:$D$200,0))</f>
        <v>0.68920000000000003</v>
      </c>
      <c r="AC115" s="23">
        <f t="shared" si="11"/>
        <v>5.9000000000000163E-3</v>
      </c>
    </row>
    <row r="116" spans="2:29">
      <c r="B116">
        <v>26.06</v>
      </c>
      <c r="C116" s="2">
        <v>99.94</v>
      </c>
      <c r="D116" s="2">
        <v>0.30840000000000001</v>
      </c>
      <c r="E116" s="2">
        <v>284</v>
      </c>
      <c r="F116" s="23">
        <f t="shared" si="8"/>
        <v>0.30840000000000001</v>
      </c>
      <c r="H116" s="6">
        <f t="shared" si="13"/>
        <v>0.30776514171540015</v>
      </c>
      <c r="I116" s="6">
        <f t="shared" si="14"/>
        <v>6.348582845998596E-4</v>
      </c>
      <c r="J116" s="6">
        <f t="shared" si="12"/>
        <v>4.0304504152507632E-7</v>
      </c>
      <c r="AB116">
        <f t="array" ref="AB116">MAX(IF($C$4:$C$200=MEDIAN($M$1-1,$M$1+1,C116),$D$4:$D$200,0))</f>
        <v>1.153</v>
      </c>
      <c r="AC116" s="23">
        <f t="shared" si="11"/>
        <v>5.9999999999998943E-4</v>
      </c>
    </row>
    <row r="117" spans="2:29">
      <c r="B117">
        <v>26.32</v>
      </c>
      <c r="C117" s="2">
        <v>99.94</v>
      </c>
      <c r="D117" s="2">
        <v>0.309</v>
      </c>
      <c r="E117" s="2">
        <v>284</v>
      </c>
      <c r="F117" s="23">
        <f t="shared" si="8"/>
        <v>0.309</v>
      </c>
      <c r="H117" s="6">
        <f t="shared" si="13"/>
        <v>0.30772604164500628</v>
      </c>
      <c r="I117" s="6">
        <f t="shared" si="14"/>
        <v>1.2739583549937206E-3</v>
      </c>
      <c r="J117" s="6">
        <f t="shared" si="12"/>
        <v>1.6229698902583065E-6</v>
      </c>
      <c r="AB117">
        <f t="array" ref="AB117">MAX(IF($C$4:$C$200=MEDIAN($M$1-1,$M$1+1,C117),$D$4:$D$200,0))</f>
        <v>1.153</v>
      </c>
      <c r="AC117" s="23">
        <f t="shared" si="11"/>
        <v>3.5999999999999921E-3</v>
      </c>
    </row>
    <row r="118" spans="2:29">
      <c r="B118">
        <v>26.591999999999999</v>
      </c>
      <c r="C118" s="2">
        <v>99.9</v>
      </c>
      <c r="D118" s="2">
        <v>0.31259999999999999</v>
      </c>
      <c r="E118" s="2">
        <v>280.39999999999998</v>
      </c>
      <c r="F118" s="23">
        <f t="shared" si="8"/>
        <v>0.31259999999999999</v>
      </c>
      <c r="H118" s="6">
        <f t="shared" si="13"/>
        <v>0.30768884408179531</v>
      </c>
      <c r="I118" s="6">
        <f t="shared" si="14"/>
        <v>4.9111559182046793E-3</v>
      </c>
      <c r="J118" s="6">
        <f t="shared" si="12"/>
        <v>2.4119452452916845E-5</v>
      </c>
      <c r="AB118">
        <f t="array" ref="AB118">MAX(IF($C$4:$C$200=MEDIAN($M$1-1,$M$1+1,C118),$D$4:$D$200,0))</f>
        <v>1.07</v>
      </c>
      <c r="AC118" s="23">
        <f t="shared" si="11"/>
        <v>9.5000000000000084E-3</v>
      </c>
    </row>
    <row r="119" spans="2:29">
      <c r="B119">
        <v>26.8</v>
      </c>
      <c r="C119" s="2">
        <v>99.9</v>
      </c>
      <c r="D119" s="2">
        <v>0.3221</v>
      </c>
      <c r="E119" s="2">
        <v>280.39999999999998</v>
      </c>
      <c r="F119" s="23">
        <f t="shared" si="8"/>
        <v>0.3221</v>
      </c>
      <c r="H119" s="6">
        <f t="shared" si="13"/>
        <v>0.30766274057467768</v>
      </c>
      <c r="I119" s="6">
        <f t="shared" si="14"/>
        <v>1.4437259425322313E-2</v>
      </c>
      <c r="J119" s="6">
        <f t="shared" si="12"/>
        <v>2.0843445971405796E-4</v>
      </c>
      <c r="AB119">
        <f t="array" ref="AB119">MAX(IF($C$4:$C$200=MEDIAN($M$1-1,$M$1+1,C119),$D$4:$D$200,0))</f>
        <v>1.07</v>
      </c>
      <c r="AC119" s="23">
        <f t="shared" si="11"/>
        <v>1.6299999999999981E-2</v>
      </c>
    </row>
    <row r="120" spans="2:29">
      <c r="B120">
        <v>26.963999999999999</v>
      </c>
      <c r="C120" s="2">
        <v>99.9</v>
      </c>
      <c r="D120" s="2">
        <v>0.33839999999999998</v>
      </c>
      <c r="E120" s="2">
        <v>280.39999999999998</v>
      </c>
      <c r="F120" s="23">
        <f t="shared" si="8"/>
        <v>0.33839999999999998</v>
      </c>
      <c r="H120" s="6">
        <f t="shared" si="13"/>
        <v>0.30764348390158869</v>
      </c>
      <c r="I120" s="6">
        <f t="shared" si="14"/>
        <v>3.0756516098411291E-2</v>
      </c>
      <c r="J120" s="6">
        <f t="shared" si="12"/>
        <v>9.4596328251183291E-4</v>
      </c>
      <c r="AB120">
        <f t="array" ref="AB120">MAX(IF($C$4:$C$200=MEDIAN($M$1-1,$M$1+1,C120),$D$4:$D$200,0))</f>
        <v>1.07</v>
      </c>
      <c r="AC120" s="23">
        <f t="shared" si="11"/>
        <v>1.8999999999999573E-3</v>
      </c>
    </row>
    <row r="121" spans="2:29">
      <c r="B121">
        <v>27.22</v>
      </c>
      <c r="C121" s="2">
        <v>99.91</v>
      </c>
      <c r="D121" s="2">
        <v>0.33650000000000002</v>
      </c>
      <c r="E121" s="2">
        <v>282.8</v>
      </c>
      <c r="F121" s="23">
        <f t="shared" si="8"/>
        <v>0.33650000000000002</v>
      </c>
      <c r="H121" s="6">
        <f t="shared" si="13"/>
        <v>0.30761559172568287</v>
      </c>
      <c r="I121" s="6">
        <f t="shared" si="14"/>
        <v>2.8884408274317153E-2</v>
      </c>
      <c r="J121" s="6">
        <f t="shared" si="12"/>
        <v>8.3430904135744122E-4</v>
      </c>
      <c r="AB121">
        <f t="array" ref="AB121">MAX(IF($C$4:$C$200=MEDIAN($M$1-1,$M$1+1,C121),$D$4:$D$200,0))</f>
        <v>0.45779999999999998</v>
      </c>
      <c r="AC121" s="23">
        <f t="shared" si="11"/>
        <v>3.8000000000000256E-3</v>
      </c>
    </row>
    <row r="122" spans="2:29">
      <c r="B122">
        <v>27.536000000000001</v>
      </c>
      <c r="C122" s="2">
        <v>99.94</v>
      </c>
      <c r="D122" s="2">
        <v>0.3327</v>
      </c>
      <c r="E122" s="2">
        <v>289.39999999999998</v>
      </c>
      <c r="F122" s="23">
        <f t="shared" si="8"/>
        <v>0.3327</v>
      </c>
      <c r="H122" s="6">
        <f t="shared" si="13"/>
        <v>0.30758450090654677</v>
      </c>
      <c r="I122" s="6">
        <f t="shared" si="14"/>
        <v>2.5115499093453231E-2</v>
      </c>
      <c r="J122" s="6">
        <f t="shared" si="12"/>
        <v>6.3078829471325008E-4</v>
      </c>
      <c r="AB122">
        <f t="array" ref="AB122">MAX(IF($C$4:$C$200=MEDIAN($M$1-1,$M$1+1,C122),$D$4:$D$200,0))</f>
        <v>1.153</v>
      </c>
      <c r="AC122" s="23">
        <f t="shared" si="11"/>
        <v>4.9000000000000155E-3</v>
      </c>
    </row>
    <row r="123" spans="2:29">
      <c r="B123">
        <v>27.788</v>
      </c>
      <c r="C123" s="2">
        <v>99.94</v>
      </c>
      <c r="D123" s="2">
        <v>0.32779999999999998</v>
      </c>
      <c r="E123" s="2">
        <v>289.39999999999998</v>
      </c>
      <c r="F123" s="23">
        <f t="shared" si="8"/>
        <v>0.32779999999999998</v>
      </c>
      <c r="H123" s="6">
        <f t="shared" si="13"/>
        <v>0.30756210362094283</v>
      </c>
      <c r="I123" s="6">
        <f t="shared" si="14"/>
        <v>2.0237896379057152E-2</v>
      </c>
      <c r="J123" s="6">
        <f t="shared" si="12"/>
        <v>4.0957244984945459E-4</v>
      </c>
      <c r="AB123">
        <f t="array" ref="AB123">MAX(IF($C$4:$C$200=MEDIAN($M$1-1,$M$1+1,C123),$D$4:$D$200,0))</f>
        <v>1.153</v>
      </c>
      <c r="AC123" s="23">
        <f t="shared" si="11"/>
        <v>8.1999999999999851E-3</v>
      </c>
    </row>
    <row r="124" spans="2:29">
      <c r="B124">
        <v>27.975999999999999</v>
      </c>
      <c r="C124" s="2">
        <v>99.93</v>
      </c>
      <c r="D124" s="2">
        <v>0.3196</v>
      </c>
      <c r="E124" s="2">
        <v>293.10000000000002</v>
      </c>
      <c r="F124" s="23">
        <f t="shared" si="8"/>
        <v>0.3196</v>
      </c>
      <c r="H124" s="6">
        <f t="shared" si="13"/>
        <v>0.30754665990495855</v>
      </c>
      <c r="I124" s="6">
        <f t="shared" si="14"/>
        <v>1.2053340095041443E-2</v>
      </c>
      <c r="J124" s="6">
        <f t="shared" si="12"/>
        <v>1.4528300744673364E-4</v>
      </c>
      <c r="AB124">
        <f t="array" ref="AB124">MAX(IF($C$4:$C$200=MEDIAN($M$1-1,$M$1+1,C124),$D$4:$D$200,0))</f>
        <v>0.34560000000000002</v>
      </c>
      <c r="AC124" s="23">
        <f t="shared" si="11"/>
        <v>2.6999999999999802E-3</v>
      </c>
    </row>
    <row r="125" spans="2:29">
      <c r="B125">
        <v>28.228000000000002</v>
      </c>
      <c r="C125" s="2">
        <v>99.93</v>
      </c>
      <c r="D125" s="2">
        <v>0.32229999999999998</v>
      </c>
      <c r="E125" s="2">
        <v>293.10000000000002</v>
      </c>
      <c r="F125" s="23">
        <f t="shared" si="8"/>
        <v>0.32229999999999998</v>
      </c>
      <c r="H125" s="6">
        <f t="shared" si="13"/>
        <v>0.30752752070924316</v>
      </c>
      <c r="I125" s="6">
        <f t="shared" si="14"/>
        <v>1.4772479290756813E-2</v>
      </c>
      <c r="J125" s="6">
        <f t="shared" si="12"/>
        <v>2.1822614439583889E-4</v>
      </c>
      <c r="AB125">
        <f t="array" ref="AB125">MAX(IF($C$4:$C$200=MEDIAN($M$1-1,$M$1+1,C125),$D$4:$D$200,0))</f>
        <v>0.34560000000000002</v>
      </c>
      <c r="AC125" s="23">
        <f t="shared" si="11"/>
        <v>6.3999999999999613E-3</v>
      </c>
    </row>
    <row r="126" spans="2:29">
      <c r="B126">
        <v>28.495999999999999</v>
      </c>
      <c r="C126" s="2">
        <v>99.93</v>
      </c>
      <c r="D126" s="2">
        <v>0.31590000000000001</v>
      </c>
      <c r="E126" s="2">
        <v>295.3</v>
      </c>
      <c r="F126" s="23">
        <f t="shared" si="8"/>
        <v>0.31590000000000001</v>
      </c>
      <c r="H126" s="6">
        <f t="shared" si="13"/>
        <v>0.30750897109933817</v>
      </c>
      <c r="I126" s="6">
        <f t="shared" si="14"/>
        <v>8.3910289006618455E-3</v>
      </c>
      <c r="J126" s="6">
        <f t="shared" si="12"/>
        <v>7.0409366011742341E-5</v>
      </c>
      <c r="AB126">
        <f t="array" ref="AB126">MAX(IF($C$4:$C$200=MEDIAN($M$1-1,$M$1+1,C126),$D$4:$D$200,0))</f>
        <v>0.34560000000000002</v>
      </c>
      <c r="AC126" s="23">
        <f t="shared" si="11"/>
        <v>2.4500000000000022E-2</v>
      </c>
    </row>
    <row r="127" spans="2:29">
      <c r="B127">
        <v>28.724</v>
      </c>
      <c r="C127" s="2">
        <v>99.93</v>
      </c>
      <c r="D127" s="2">
        <v>0.29139999999999999</v>
      </c>
      <c r="E127" s="2">
        <v>295.3</v>
      </c>
      <c r="F127" s="23">
        <f t="shared" si="8"/>
        <v>0.29139999999999999</v>
      </c>
      <c r="H127" s="6">
        <f t="shared" si="13"/>
        <v>0.30749452972260727</v>
      </c>
      <c r="I127" s="6">
        <f t="shared" si="14"/>
        <v>-1.6094529722607276E-2</v>
      </c>
      <c r="J127" s="6">
        <f t="shared" si="12"/>
        <v>2.5903388699188905E-4</v>
      </c>
      <c r="AB127">
        <f t="array" ref="AB127">MAX(IF($C$4:$C$200=MEDIAN($M$1-1,$M$1+1,C127),$D$4:$D$200,0))</f>
        <v>0.34560000000000002</v>
      </c>
      <c r="AC127" s="23">
        <f t="shared" si="11"/>
        <v>2.9000000000000137E-3</v>
      </c>
    </row>
    <row r="128" spans="2:29">
      <c r="B128">
        <v>28.904</v>
      </c>
      <c r="C128" s="2">
        <v>99.93</v>
      </c>
      <c r="D128" s="2">
        <v>0.28849999999999998</v>
      </c>
      <c r="E128" s="2">
        <v>295.3</v>
      </c>
      <c r="F128" s="23">
        <f t="shared" si="8"/>
        <v>0.28849999999999998</v>
      </c>
      <c r="H128" s="6">
        <f t="shared" si="13"/>
        <v>0.30748393114024442</v>
      </c>
      <c r="I128" s="6">
        <f t="shared" si="14"/>
        <v>-1.8983931140244437E-2</v>
      </c>
      <c r="J128" s="6">
        <f t="shared" si="12"/>
        <v>3.6038964153754246E-4</v>
      </c>
      <c r="AB128">
        <f t="array" ref="AB128">MAX(IF($C$4:$C$200=MEDIAN($M$1-1,$M$1+1,C128),$D$4:$D$200,0))</f>
        <v>0.34560000000000002</v>
      </c>
      <c r="AC128" s="23">
        <f t="shared" si="11"/>
        <v>0</v>
      </c>
    </row>
    <row r="129" spans="2:29">
      <c r="B129">
        <v>29.056000000000001</v>
      </c>
      <c r="C129" s="2">
        <v>99.97</v>
      </c>
      <c r="D129" s="2">
        <v>0.28849999999999998</v>
      </c>
      <c r="E129" s="2">
        <v>298.89999999999998</v>
      </c>
      <c r="F129" s="23">
        <f t="shared" si="8"/>
        <v>0.28849999999999998</v>
      </c>
      <c r="H129" s="6">
        <f t="shared" si="13"/>
        <v>0.30747549700931032</v>
      </c>
      <c r="I129" s="6">
        <f t="shared" si="14"/>
        <v>-1.8975497009310338E-2</v>
      </c>
      <c r="J129" s="6">
        <f t="shared" si="12"/>
        <v>3.6006948675034557E-4</v>
      </c>
      <c r="AB129">
        <f t="array" ref="AB129">MAX(IF($C$4:$C$200=MEDIAN($M$1-1,$M$1+1,C129),$D$4:$D$200,0))</f>
        <v>0.51300000000000001</v>
      </c>
      <c r="AC129" s="23">
        <f t="shared" si="11"/>
        <v>2.2600000000000009E-2</v>
      </c>
    </row>
    <row r="130" spans="2:29">
      <c r="B130">
        <v>29.344000000000001</v>
      </c>
      <c r="C130" s="2">
        <v>99.97</v>
      </c>
      <c r="D130" s="2">
        <v>0.31109999999999999</v>
      </c>
      <c r="E130" s="2">
        <v>298.89999999999998</v>
      </c>
      <c r="F130" s="23">
        <f t="shared" si="8"/>
        <v>0.31109999999999999</v>
      </c>
      <c r="H130" s="6">
        <f t="shared" si="13"/>
        <v>0.30746071982836742</v>
      </c>
      <c r="I130" s="6">
        <f t="shared" si="14"/>
        <v>3.639280171632564E-3</v>
      </c>
      <c r="J130" s="6">
        <f t="shared" si="12"/>
        <v>1.3244360167637944E-5</v>
      </c>
      <c r="AB130">
        <f t="array" ref="AB130">MAX(IF($C$4:$C$200=MEDIAN($M$1-1,$M$1+1,C130),$D$4:$D$200,0))</f>
        <v>0.51300000000000001</v>
      </c>
      <c r="AC130" s="23">
        <f t="shared" si="11"/>
        <v>2.0299999999999985E-2</v>
      </c>
    </row>
    <row r="131" spans="2:29">
      <c r="B131">
        <v>29.652000000000001</v>
      </c>
      <c r="C131" s="2">
        <v>99.93</v>
      </c>
      <c r="D131" s="2">
        <v>0.33139999999999997</v>
      </c>
      <c r="E131" s="2">
        <v>299.39999999999998</v>
      </c>
      <c r="F131" s="23">
        <f t="shared" si="8"/>
        <v>0.33139999999999997</v>
      </c>
      <c r="H131" s="6">
        <f t="shared" si="13"/>
        <v>0.30744651163744141</v>
      </c>
      <c r="I131" s="6">
        <f t="shared" si="14"/>
        <v>2.3953488362558562E-2</v>
      </c>
      <c r="J131" s="6">
        <f t="shared" si="12"/>
        <v>5.7376960473522849E-4</v>
      </c>
      <c r="AB131">
        <f t="array" ref="AB131">MAX(IF($C$4:$C$200=MEDIAN($M$1-1,$M$1+1,C131),$D$4:$D$200,0))</f>
        <v>0.34560000000000002</v>
      </c>
      <c r="AC131" s="23">
        <f t="shared" si="11"/>
        <v>1.4200000000000046E-2</v>
      </c>
    </row>
    <row r="132" spans="2:29">
      <c r="B132">
        <v>29.795999999999999</v>
      </c>
      <c r="C132" s="2">
        <v>99.93</v>
      </c>
      <c r="D132" s="2">
        <v>0.34560000000000002</v>
      </c>
      <c r="E132" s="2">
        <v>299.39999999999998</v>
      </c>
      <c r="F132" s="23">
        <f t="shared" ref="F132:F147" si="15">IF(C132=MEDIAN($M$1-1,$M$1+1,C132),IF(D132&lt;=AVERAGE($AB$3,AVERAGEIF($B$4:$B$200,"&gt;20",$D$4:$D$200)),D132,0),0)</f>
        <v>0.34560000000000002</v>
      </c>
      <c r="H132" s="6">
        <f t="shared" ref="H132:H147" si="16">IF(MATCH(F132,$F$4:$F$200,0)&gt;=MATCH(MAX($F$4:$F$200),$F$4:$F$200,0),$M$4+($M$5-$M$4)*(1-EXP(-B132/$M$6)),0)</f>
        <v>0.30744038654669037</v>
      </c>
      <c r="I132" s="6">
        <f t="shared" ref="I132:I147" si="17">IF(H132&gt;0,D132-H132,0)</f>
        <v>3.8159613453309649E-2</v>
      </c>
      <c r="J132" s="6">
        <f t="shared" si="12"/>
        <v>1.4561560989060107E-3</v>
      </c>
      <c r="AB132">
        <f t="array" ref="AB132">MAX(IF($C$4:$C$200=MEDIAN($M$1-1,$M$1+1,C132),$D$4:$D$200,0))</f>
        <v>0.34560000000000002</v>
      </c>
      <c r="AC132" s="23">
        <f t="shared" si="11"/>
        <v>1.369999999999999E-2</v>
      </c>
    </row>
    <row r="133" spans="2:29">
      <c r="B133">
        <v>29.94</v>
      </c>
      <c r="C133" s="2">
        <v>99.94</v>
      </c>
      <c r="D133" s="2">
        <v>0.35930000000000001</v>
      </c>
      <c r="E133" s="2">
        <v>298.89999999999998</v>
      </c>
      <c r="F133" s="23">
        <f t="shared" si="15"/>
        <v>0.35930000000000001</v>
      </c>
      <c r="H133" s="6">
        <f t="shared" si="16"/>
        <v>0.30743456860906626</v>
      </c>
      <c r="I133" s="6">
        <f t="shared" si="17"/>
        <v>5.1865431390933747E-2</v>
      </c>
      <c r="J133" s="6">
        <f t="shared" si="12"/>
        <v>2.6900229733676558E-3</v>
      </c>
      <c r="AB133">
        <f t="array" ref="AB133">MAX(IF($C$4:$C$200=MEDIAN($M$1-1,$M$1+1,C133),$D$4:$D$200,0))</f>
        <v>1.153</v>
      </c>
      <c r="AC133" s="23">
        <f t="shared" ref="AC133:AC145" si="18">ABS(D133-D134)</f>
        <v>0</v>
      </c>
    </row>
    <row r="134" spans="2:29">
      <c r="B134">
        <v>30.143999999999998</v>
      </c>
      <c r="C134" s="2">
        <v>99.94</v>
      </c>
      <c r="D134" s="2">
        <v>0.35930000000000001</v>
      </c>
      <c r="E134" s="2">
        <v>298.89999999999998</v>
      </c>
      <c r="F134" s="23">
        <f t="shared" si="15"/>
        <v>0.35930000000000001</v>
      </c>
      <c r="H134" s="6">
        <f t="shared" si="16"/>
        <v>0.30742682244651487</v>
      </c>
      <c r="I134" s="6">
        <f t="shared" si="17"/>
        <v>5.1873177553485139E-2</v>
      </c>
      <c r="J134" s="6">
        <f t="shared" si="12"/>
        <v>2.6908265494953944E-3</v>
      </c>
      <c r="AB134">
        <f t="array" ref="AB134">MAX(IF($C$4:$C$200=MEDIAN($M$1-1,$M$1+1,C134),$D$4:$D$200,0))</f>
        <v>1.153</v>
      </c>
      <c r="AC134" s="23">
        <f t="shared" si="18"/>
        <v>2.9600000000000015E-2</v>
      </c>
    </row>
    <row r="135" spans="2:29">
      <c r="B135">
        <v>30.448</v>
      </c>
      <c r="C135" s="2">
        <v>99.87</v>
      </c>
      <c r="D135" s="2">
        <v>0.32969999999999999</v>
      </c>
      <c r="E135" s="2">
        <v>298.7</v>
      </c>
      <c r="F135" s="23">
        <f t="shared" si="15"/>
        <v>0.32969999999999999</v>
      </c>
      <c r="H135" s="6">
        <f t="shared" si="16"/>
        <v>0.30741627770466184</v>
      </c>
      <c r="I135" s="6">
        <f t="shared" si="17"/>
        <v>2.2283722295338149E-2</v>
      </c>
      <c r="J135" s="6">
        <f t="shared" si="12"/>
        <v>4.9656427933575051E-4</v>
      </c>
      <c r="AB135">
        <f t="array" ref="AB135">MAX(IF($C$4:$C$200=MEDIAN($M$1-1,$M$1+1,C135),$D$4:$D$200,0))</f>
        <v>0.3967</v>
      </c>
      <c r="AC135" s="23">
        <f t="shared" si="18"/>
        <v>2.1600000000000008E-2</v>
      </c>
    </row>
    <row r="136" spans="2:29">
      <c r="B136">
        <v>30.704000000000001</v>
      </c>
      <c r="C136" s="2">
        <v>99.87</v>
      </c>
      <c r="D136" s="2">
        <v>0.30809999999999998</v>
      </c>
      <c r="E136" s="2">
        <v>298.7</v>
      </c>
      <c r="F136" s="23">
        <f t="shared" si="15"/>
        <v>0.30809999999999998</v>
      </c>
      <c r="H136" s="6">
        <f t="shared" si="16"/>
        <v>0.30740824439282299</v>
      </c>
      <c r="I136" s="6">
        <f t="shared" si="17"/>
        <v>6.9175560717699147E-4</v>
      </c>
      <c r="J136" s="6">
        <f t="shared" si="12"/>
        <v>4.7852582006080809E-7</v>
      </c>
      <c r="AB136">
        <f t="array" ref="AB136">MAX(IF($C$4:$C$200=MEDIAN($M$1-1,$M$1+1,C136),$D$4:$D$200,0))</f>
        <v>0.3967</v>
      </c>
      <c r="AC136" s="23">
        <f t="shared" si="18"/>
        <v>0</v>
      </c>
    </row>
    <row r="137" spans="2:29">
      <c r="B137">
        <v>30.884</v>
      </c>
      <c r="C137" s="2">
        <v>99.89</v>
      </c>
      <c r="D137" s="2">
        <v>0.30809999999999998</v>
      </c>
      <c r="E137" s="2">
        <v>299.39999999999998</v>
      </c>
      <c r="F137" s="23">
        <f t="shared" si="15"/>
        <v>0.30809999999999998</v>
      </c>
      <c r="H137" s="6">
        <f t="shared" si="16"/>
        <v>0.30740302012890108</v>
      </c>
      <c r="I137" s="6">
        <f t="shared" si="17"/>
        <v>6.9697987109890169E-4</v>
      </c>
      <c r="J137" s="6">
        <f t="shared" si="12"/>
        <v>4.8578094071704163E-7</v>
      </c>
      <c r="AB137">
        <f t="array" ref="AB137">MAX(IF($C$4:$C$200=MEDIAN($M$1-1,$M$1+1,C137),$D$4:$D$200,0))</f>
        <v>0.32629999999999998</v>
      </c>
      <c r="AC137" s="23">
        <f t="shared" si="18"/>
        <v>1.4999999999999958E-2</v>
      </c>
    </row>
    <row r="138" spans="2:29">
      <c r="B138">
        <v>31.056000000000001</v>
      </c>
      <c r="C138" s="2">
        <v>99.89</v>
      </c>
      <c r="D138" s="2">
        <v>0.29310000000000003</v>
      </c>
      <c r="E138" s="2">
        <v>299.39999999999998</v>
      </c>
      <c r="F138" s="23">
        <f t="shared" si="15"/>
        <v>0.29310000000000003</v>
      </c>
      <c r="H138" s="6">
        <f t="shared" si="16"/>
        <v>0.30739833236355096</v>
      </c>
      <c r="I138" s="6">
        <f t="shared" si="17"/>
        <v>-1.4298332363550936E-2</v>
      </c>
      <c r="J138" s="6">
        <f t="shared" si="12"/>
        <v>2.0444230837856812E-4</v>
      </c>
      <c r="AB138">
        <f t="array" ref="AB138">MAX(IF($C$4:$C$200=MEDIAN($M$1-1,$M$1+1,C138),$D$4:$D$200,0))</f>
        <v>0.32629999999999998</v>
      </c>
      <c r="AC138" s="23">
        <f t="shared" si="18"/>
        <v>7.2000000000000397E-3</v>
      </c>
    </row>
    <row r="139" spans="2:29">
      <c r="B139">
        <v>31.344000000000001</v>
      </c>
      <c r="C139" s="2">
        <v>100</v>
      </c>
      <c r="D139" s="2">
        <v>0.28589999999999999</v>
      </c>
      <c r="E139" s="2">
        <v>299</v>
      </c>
      <c r="F139" s="23">
        <f t="shared" si="15"/>
        <v>0.28589999999999999</v>
      </c>
      <c r="H139" s="6">
        <f t="shared" si="16"/>
        <v>0.30739110024292149</v>
      </c>
      <c r="I139" s="6">
        <f t="shared" si="17"/>
        <v>-2.1491100242921501E-2</v>
      </c>
      <c r="J139" s="6">
        <f t="shared" si="12"/>
        <v>4.6186738965130062E-4</v>
      </c>
      <c r="AB139">
        <f t="array" ref="AB139">MAX(IF($C$4:$C$200=MEDIAN($M$1-1,$M$1+1,C139),$D$4:$D$200,0))</f>
        <v>0.28999999999999998</v>
      </c>
      <c r="AC139" s="23">
        <f t="shared" si="18"/>
        <v>5.9999999999998943E-4</v>
      </c>
    </row>
    <row r="140" spans="2:29">
      <c r="B140">
        <v>31.616</v>
      </c>
      <c r="C140" s="2">
        <v>100</v>
      </c>
      <c r="D140" s="2">
        <v>0.2853</v>
      </c>
      <c r="E140" s="2">
        <v>299</v>
      </c>
      <c r="F140" s="23">
        <f t="shared" si="15"/>
        <v>0.2853</v>
      </c>
      <c r="H140" s="6">
        <f t="shared" si="16"/>
        <v>0.30738492042392629</v>
      </c>
      <c r="I140" s="6">
        <f t="shared" si="17"/>
        <v>-2.2084920423926291E-2</v>
      </c>
      <c r="J140" s="6">
        <f t="shared" si="12"/>
        <v>4.8774371013115663E-4</v>
      </c>
      <c r="AB140">
        <f t="array" ref="AB140">MAX(IF($C$4:$C$200=MEDIAN($M$1-1,$M$1+1,C140),$D$4:$D$200,0))</f>
        <v>0.28999999999999998</v>
      </c>
      <c r="AC140" s="23">
        <f t="shared" si="18"/>
        <v>4.699999999999982E-3</v>
      </c>
    </row>
    <row r="141" spans="2:29">
      <c r="B141">
        <v>31.884</v>
      </c>
      <c r="C141" s="2">
        <v>100</v>
      </c>
      <c r="D141" s="2">
        <v>0.28999999999999998</v>
      </c>
      <c r="E141" s="2">
        <v>301.10000000000002</v>
      </c>
      <c r="F141" s="23">
        <f t="shared" si="15"/>
        <v>0.28999999999999998</v>
      </c>
      <c r="H141" s="6">
        <f t="shared" si="16"/>
        <v>0.30737939147401061</v>
      </c>
      <c r="I141" s="6">
        <f t="shared" si="17"/>
        <v>-1.737939147401063E-2</v>
      </c>
      <c r="J141" s="6">
        <f t="shared" ref="J141:J147" si="19">I141^2</f>
        <v>3.0204324800691339E-4</v>
      </c>
      <c r="AB141">
        <f t="array" ref="AB141">MAX(IF($C$4:$C$200=MEDIAN($M$1-1,$M$1+1,C141),$D$4:$D$200,0))</f>
        <v>0.28999999999999998</v>
      </c>
      <c r="AC141" s="23">
        <f t="shared" si="18"/>
        <v>5.0999999999999934E-3</v>
      </c>
    </row>
    <row r="142" spans="2:29">
      <c r="B142">
        <v>32.031999999999996</v>
      </c>
      <c r="C142" s="2">
        <v>100</v>
      </c>
      <c r="D142" s="2">
        <v>0.28489999999999999</v>
      </c>
      <c r="E142" s="2">
        <v>301.10000000000002</v>
      </c>
      <c r="F142" s="23">
        <f t="shared" si="15"/>
        <v>0.28489999999999999</v>
      </c>
      <c r="H142" s="6">
        <f t="shared" si="16"/>
        <v>0.3073765576009988</v>
      </c>
      <c r="I142" s="6">
        <f t="shared" si="17"/>
        <v>-2.2476557600998814E-2</v>
      </c>
      <c r="J142" s="6">
        <f t="shared" si="19"/>
        <v>5.0519564159101757E-4</v>
      </c>
      <c r="AB142">
        <f t="array" ref="AB142">MAX(IF($C$4:$C$200=MEDIAN($M$1-1,$M$1+1,C142),$D$4:$D$200,0))</f>
        <v>0.28999999999999998</v>
      </c>
      <c r="AC142" s="23">
        <f t="shared" si="18"/>
        <v>5.9999999999998943E-4</v>
      </c>
    </row>
    <row r="143" spans="2:29">
      <c r="B143">
        <v>32.32</v>
      </c>
      <c r="C143" s="2">
        <v>100</v>
      </c>
      <c r="D143" s="2">
        <v>0.28549999999999998</v>
      </c>
      <c r="E143" s="2">
        <v>304.10000000000002</v>
      </c>
      <c r="F143" s="23">
        <f t="shared" si="15"/>
        <v>0.28549999999999998</v>
      </c>
      <c r="H143" s="6">
        <f t="shared" si="16"/>
        <v>0.30737145458878601</v>
      </c>
      <c r="I143" s="6">
        <f t="shared" si="17"/>
        <v>-2.1871454588786032E-2</v>
      </c>
      <c r="J143" s="6">
        <f t="shared" si="19"/>
        <v>4.7836052582932962E-4</v>
      </c>
      <c r="AB143">
        <f t="array" ref="AB143">MAX(IF($C$4:$C$200=MEDIAN($M$1-1,$M$1+1,C143),$D$4:$D$200,0))</f>
        <v>0.28999999999999998</v>
      </c>
      <c r="AC143" s="23">
        <f t="shared" si="18"/>
        <v>3.0000000000000027E-3</v>
      </c>
    </row>
    <row r="144" spans="2:29">
      <c r="B144">
        <v>32.595999999999997</v>
      </c>
      <c r="C144" s="2">
        <v>100</v>
      </c>
      <c r="D144" s="2">
        <v>0.28249999999999997</v>
      </c>
      <c r="E144" s="2">
        <v>304.10000000000002</v>
      </c>
      <c r="F144" s="23">
        <f t="shared" si="15"/>
        <v>0.28249999999999997</v>
      </c>
      <c r="H144" s="6">
        <f t="shared" si="16"/>
        <v>0.30736703306856317</v>
      </c>
      <c r="I144" s="6">
        <f t="shared" si="17"/>
        <v>-2.4867033068563194E-2</v>
      </c>
      <c r="J144" s="6">
        <f t="shared" si="19"/>
        <v>6.1836933363301544E-4</v>
      </c>
      <c r="AB144">
        <f t="array" ref="AB144">MAX(IF($C$4:$C$200=MEDIAN($M$1-1,$M$1+1,C144),$D$4:$D$200,0))</f>
        <v>0.28999999999999998</v>
      </c>
      <c r="AC144" s="23">
        <f t="shared" si="18"/>
        <v>1.1999999999999789E-3</v>
      </c>
    </row>
    <row r="145" spans="2:29">
      <c r="B145">
        <v>32.799999999999997</v>
      </c>
      <c r="C145" s="2">
        <v>100</v>
      </c>
      <c r="D145" s="2">
        <v>0.28129999999999999</v>
      </c>
      <c r="E145" s="2">
        <v>303.60000000000002</v>
      </c>
      <c r="F145" s="23">
        <f t="shared" si="15"/>
        <v>0.28129999999999999</v>
      </c>
      <c r="H145" s="6">
        <f t="shared" si="16"/>
        <v>0.30736403408716839</v>
      </c>
      <c r="I145" s="6">
        <f t="shared" si="17"/>
        <v>-2.6064034087168397E-2</v>
      </c>
      <c r="J145" s="6">
        <f t="shared" si="19"/>
        <v>6.7933387289707619E-4</v>
      </c>
      <c r="AB145">
        <f t="array" ref="AB145">MAX(IF($C$4:$C$200=MEDIAN($M$1-1,$M$1+1,C145),$D$4:$D$200,0))</f>
        <v>0.28999999999999998</v>
      </c>
      <c r="AC145" s="23">
        <f t="shared" si="18"/>
        <v>9.299999999999975E-3</v>
      </c>
    </row>
    <row r="146" spans="2:29">
      <c r="B146">
        <v>32.975999999999999</v>
      </c>
      <c r="C146" s="2">
        <v>100</v>
      </c>
      <c r="D146" s="2">
        <v>0.27200000000000002</v>
      </c>
      <c r="E146" s="2">
        <v>303.60000000000002</v>
      </c>
      <c r="F146" s="23">
        <f t="shared" si="15"/>
        <v>0.27200000000000002</v>
      </c>
      <c r="H146" s="6">
        <f t="shared" si="16"/>
        <v>0.30736161667483231</v>
      </c>
      <c r="I146" s="6">
        <f t="shared" si="17"/>
        <v>-3.5361616674832286E-2</v>
      </c>
      <c r="J146" s="6">
        <f t="shared" si="19"/>
        <v>1.2504439338577769E-3</v>
      </c>
      <c r="AB146">
        <f t="array" ref="AB146">MAX(IF($C$4:$C$200=MEDIAN($M$1-1,$M$1+1,C146),$D$4:$D$200,0))</f>
        <v>0.28999999999999998</v>
      </c>
      <c r="AC146" s="23">
        <f>ABS(D146-D147)</f>
        <v>2.5000000000000022E-3</v>
      </c>
    </row>
    <row r="147" spans="2:29" ht="15.75" thickBot="1">
      <c r="B147">
        <v>33.188000000000002</v>
      </c>
      <c r="C147" s="2">
        <v>100</v>
      </c>
      <c r="D147" s="2">
        <v>0.26950000000000002</v>
      </c>
      <c r="E147" s="2">
        <v>303.60000000000002</v>
      </c>
      <c r="F147" s="23">
        <f t="shared" si="15"/>
        <v>0.26950000000000002</v>
      </c>
      <c r="H147" s="6">
        <f t="shared" si="16"/>
        <v>0.3073588995813985</v>
      </c>
      <c r="I147" s="6">
        <f t="shared" si="17"/>
        <v>-3.7858899581398486E-2</v>
      </c>
      <c r="J147" s="6">
        <f t="shared" si="19"/>
        <v>1.4332962775144146E-3</v>
      </c>
      <c r="AB147" s="28">
        <f t="array" ref="AB147">MAX(IF($C$4:$C$200=MEDIAN($M$1-1,$M$1+1,C147),$D$4:$D$200,0))</f>
        <v>0.28999999999999998</v>
      </c>
      <c r="AC147" s="28"/>
    </row>
    <row r="148" spans="2:29">
      <c r="H148" s="6"/>
      <c r="I148" s="6"/>
      <c r="J148" s="6"/>
      <c r="AB148">
        <f t="array" ref="AB148">MAX(IF($C$4:$C$200=MEDIAN($M$1-1,$M$1+1,C148),$D$4:$D$200,0))</f>
        <v>0.28999999999999998</v>
      </c>
      <c r="AC148" s="23">
        <f>AVERAGE(AC4:AC146)</f>
        <v>4.073776223776223E-2</v>
      </c>
    </row>
    <row r="149" spans="2:29">
      <c r="H149" s="6"/>
      <c r="I149" s="6"/>
      <c r="J149" s="6"/>
    </row>
    <row r="150" spans="2:29">
      <c r="H150" s="6"/>
      <c r="I150" s="6"/>
      <c r="J150" s="6"/>
    </row>
    <row r="151" spans="2:29">
      <c r="H151" s="6"/>
      <c r="I151" s="6"/>
      <c r="J151" s="6"/>
    </row>
    <row r="152" spans="2:29">
      <c r="H152" s="6"/>
      <c r="I152" s="6"/>
      <c r="J152" s="6"/>
    </row>
    <row r="153" spans="2:29">
      <c r="H153" s="6"/>
      <c r="I153" s="6"/>
      <c r="J153" s="6"/>
    </row>
    <row r="154" spans="2:29">
      <c r="H154" s="6"/>
      <c r="I154" s="6"/>
      <c r="J154" s="6"/>
    </row>
    <row r="155" spans="2:29">
      <c r="H155" s="6"/>
      <c r="I155" s="6"/>
      <c r="J155" s="6"/>
    </row>
    <row r="156" spans="2:29">
      <c r="H156" s="6"/>
      <c r="I156" s="6"/>
      <c r="J156" s="6"/>
    </row>
    <row r="157" spans="2:29">
      <c r="H157" s="6"/>
      <c r="I157" s="6"/>
      <c r="J157" s="6"/>
    </row>
    <row r="158" spans="2:29">
      <c r="H158" s="6"/>
      <c r="I158" s="6"/>
      <c r="J158" s="6"/>
    </row>
    <row r="159" spans="2:29">
      <c r="H159" s="6"/>
      <c r="I159" s="6"/>
      <c r="J159" s="6"/>
    </row>
    <row r="160" spans="2:29">
      <c r="H160" s="6"/>
      <c r="I160" s="6"/>
      <c r="J160" s="6"/>
    </row>
    <row r="161" spans="8:10">
      <c r="H161" s="6"/>
      <c r="I161" s="6"/>
      <c r="J161" s="6"/>
    </row>
    <row r="162" spans="8:10">
      <c r="H162" s="6"/>
      <c r="I162" s="6"/>
      <c r="J162" s="6"/>
    </row>
    <row r="163" spans="8:10">
      <c r="H163" s="6"/>
      <c r="I163" s="6"/>
      <c r="J163" s="6"/>
    </row>
    <row r="164" spans="8:10">
      <c r="H164" s="6"/>
      <c r="I164" s="6"/>
      <c r="J164" s="6"/>
    </row>
    <row r="165" spans="8:10">
      <c r="H165" s="6"/>
      <c r="I165" s="6"/>
      <c r="J165" s="6"/>
    </row>
    <row r="166" spans="8:10">
      <c r="H166" s="6"/>
      <c r="I166" s="6"/>
      <c r="J166" s="6"/>
    </row>
    <row r="167" spans="8:10">
      <c r="H167" s="6"/>
      <c r="I167" s="6"/>
      <c r="J167" s="6"/>
    </row>
    <row r="168" spans="8:10">
      <c r="H168" s="6"/>
      <c r="I168" s="6"/>
      <c r="J168" s="6"/>
    </row>
    <row r="169" spans="8:10">
      <c r="H169" s="6"/>
      <c r="I169" s="6"/>
      <c r="J169" s="6"/>
    </row>
    <row r="170" spans="8:10">
      <c r="H170" s="6"/>
      <c r="I170" s="6"/>
      <c r="J170" s="6"/>
    </row>
    <row r="171" spans="8:10">
      <c r="H171" s="6"/>
      <c r="I171" s="6"/>
      <c r="J171" s="6"/>
    </row>
    <row r="172" spans="8:10">
      <c r="H172" s="6"/>
      <c r="I172" s="6"/>
      <c r="J172" s="6"/>
    </row>
    <row r="173" spans="8:10">
      <c r="H173" s="6"/>
      <c r="I173" s="6"/>
      <c r="J173" s="6"/>
    </row>
    <row r="174" spans="8:10">
      <c r="H174" s="6"/>
      <c r="I174" s="6"/>
      <c r="J174" s="6"/>
    </row>
    <row r="175" spans="8:10">
      <c r="H175" s="6"/>
      <c r="I175" s="6"/>
      <c r="J175" s="6"/>
    </row>
    <row r="176" spans="8:10">
      <c r="H176" s="6"/>
      <c r="I176" s="6"/>
      <c r="J176" s="6"/>
    </row>
    <row r="177" spans="8:10">
      <c r="H177" s="6"/>
      <c r="I177" s="6"/>
      <c r="J177" s="6"/>
    </row>
    <row r="178" spans="8:10">
      <c r="H178" s="6"/>
      <c r="I178" s="6"/>
      <c r="J178" s="6"/>
    </row>
    <row r="179" spans="8:10">
      <c r="H179" s="6"/>
      <c r="I179" s="6"/>
      <c r="J179" s="6"/>
    </row>
    <row r="180" spans="8:10">
      <c r="H180" s="6"/>
      <c r="I180" s="6"/>
      <c r="J180" s="6"/>
    </row>
    <row r="181" spans="8:10">
      <c r="H181" s="6"/>
      <c r="I181" s="6"/>
      <c r="J181" s="6"/>
    </row>
    <row r="182" spans="8:10">
      <c r="H182" s="6"/>
      <c r="I182" s="6"/>
      <c r="J182" s="6"/>
    </row>
    <row r="183" spans="8:10">
      <c r="H183" s="6"/>
      <c r="I183" s="6"/>
      <c r="J183" s="6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422"/>
  <sheetViews>
    <sheetView workbookViewId="0">
      <selection activeCell="H19" sqref="H19:H26"/>
    </sheetView>
  </sheetViews>
  <sheetFormatPr defaultRowHeight="15"/>
  <cols>
    <col min="1" max="4" width="9.140625" style="23"/>
    <col min="5" max="5" width="9.5703125" style="23" bestFit="1" customWidth="1"/>
    <col min="6" max="6" width="9.140625" style="23"/>
    <col min="7" max="7" width="12.140625" style="23" bestFit="1" customWidth="1"/>
    <col min="8" max="8" width="12" style="23" bestFit="1" customWidth="1"/>
    <col min="9" max="16384" width="9.140625" style="23"/>
  </cols>
  <sheetData>
    <row r="1" spans="1:13">
      <c r="B1" s="24" t="s">
        <v>90</v>
      </c>
      <c r="C1" s="23" t="s">
        <v>91</v>
      </c>
      <c r="D1" s="23" t="s">
        <v>92</v>
      </c>
      <c r="E1" s="23" t="s">
        <v>93</v>
      </c>
    </row>
    <row r="2" spans="1:13">
      <c r="B2" s="8" t="s">
        <v>1</v>
      </c>
      <c r="D2" s="23" t="s">
        <v>1</v>
      </c>
      <c r="E2" s="23" t="s">
        <v>1</v>
      </c>
      <c r="K2" s="26" t="s">
        <v>35</v>
      </c>
      <c r="L2" s="23" t="s">
        <v>36</v>
      </c>
      <c r="M2" s="23" t="s">
        <v>43</v>
      </c>
    </row>
    <row r="3" spans="1:13">
      <c r="A3" s="26"/>
      <c r="B3" s="9">
        <v>0.26100000000000001</v>
      </c>
      <c r="C3" s="26">
        <v>4.8076E-4</v>
      </c>
      <c r="D3" s="26">
        <v>523.70000000000005</v>
      </c>
      <c r="E3" s="26">
        <v>-145.30000000000001</v>
      </c>
      <c r="K3" s="26">
        <f>$H$5*C3+$H$7</f>
        <v>0.41705447258788597</v>
      </c>
      <c r="L3" s="23">
        <f>$H$6*C3+$H$8</f>
        <v>210.55558129823009</v>
      </c>
      <c r="M3" s="23">
        <f>IF(D3&lt;E3,1,0)</f>
        <v>0</v>
      </c>
    </row>
    <row r="4" spans="1:13">
      <c r="A4" s="26"/>
      <c r="B4" s="8">
        <v>1.0289999999999999</v>
      </c>
      <c r="C4" s="26">
        <v>1.2832E-3</v>
      </c>
      <c r="D4" s="26">
        <v>792.6</v>
      </c>
      <c r="E4" s="26">
        <v>126.3</v>
      </c>
      <c r="K4" s="26">
        <f t="shared" ref="K4:K40" si="0">$H$5*C4+$H$7</f>
        <v>1.1130877889187911</v>
      </c>
      <c r="L4" s="23">
        <f t="shared" ref="L4:L40" si="1">$H$6*C4+$H$8</f>
        <v>210.57213846009813</v>
      </c>
      <c r="M4" s="23">
        <f t="shared" ref="M4:M40" si="2">IF(D4&lt;E4,1,0)</f>
        <v>0</v>
      </c>
    </row>
    <row r="5" spans="1:13">
      <c r="A5" s="26"/>
      <c r="B5" s="23">
        <v>1.294</v>
      </c>
      <c r="C5" s="26">
        <v>1.5666E-3</v>
      </c>
      <c r="D5" s="26">
        <v>809.5</v>
      </c>
      <c r="E5" s="26">
        <v>168.4</v>
      </c>
      <c r="G5" s="23" t="s">
        <v>21</v>
      </c>
      <c r="H5" s="26">
        <f>SLOPE(B7:B11,C7:C11)</f>
        <v>867.39608734722231</v>
      </c>
      <c r="K5" s="26">
        <f t="shared" si="0"/>
        <v>1.3589078400729939</v>
      </c>
      <c r="L5" s="23">
        <f t="shared" si="1"/>
        <v>210.57798599969411</v>
      </c>
      <c r="M5" s="23">
        <f t="shared" si="2"/>
        <v>0</v>
      </c>
    </row>
    <row r="6" spans="1:13">
      <c r="A6" s="26"/>
      <c r="B6" s="23">
        <v>1.663</v>
      </c>
      <c r="C6" s="26">
        <v>1.9784999999999998E-3</v>
      </c>
      <c r="D6" s="26">
        <v>826.2</v>
      </c>
      <c r="E6" s="26">
        <v>159.19999999999999</v>
      </c>
      <c r="G6" s="23" t="s">
        <v>22</v>
      </c>
      <c r="H6" s="26">
        <f>SLOPE(B35:B37,C35:C37)</f>
        <v>20.6335200987345</v>
      </c>
      <c r="K6" s="26">
        <f t="shared" si="0"/>
        <v>1.7161882884513144</v>
      </c>
      <c r="L6" s="23">
        <f t="shared" si="1"/>
        <v>210.58648494662276</v>
      </c>
      <c r="M6" s="23">
        <f t="shared" si="2"/>
        <v>0</v>
      </c>
    </row>
    <row r="7" spans="1:13">
      <c r="A7" s="26"/>
      <c r="B7" s="26">
        <v>2.1230000000000002</v>
      </c>
      <c r="C7" s="26">
        <v>2.4981000000000001E-3</v>
      </c>
      <c r="D7" s="26">
        <v>834.8</v>
      </c>
      <c r="E7" s="26">
        <v>164.3</v>
      </c>
      <c r="G7" s="23" t="s">
        <v>27</v>
      </c>
      <c r="H7" s="26">
        <f>INTERCEPT(C7:C11,B7:B11)</f>
        <v>4.512963483540005E-5</v>
      </c>
      <c r="K7" s="26">
        <f t="shared" si="0"/>
        <v>2.1668872954369314</v>
      </c>
      <c r="L7" s="23">
        <f t="shared" si="1"/>
        <v>210.59720612366607</v>
      </c>
      <c r="M7" s="23">
        <f t="shared" si="2"/>
        <v>0</v>
      </c>
    </row>
    <row r="8" spans="1:13">
      <c r="A8" s="26"/>
      <c r="B8" s="26">
        <v>2.694</v>
      </c>
      <c r="C8" s="26">
        <v>3.1384999999999998E-3</v>
      </c>
      <c r="D8" s="26">
        <v>843.3</v>
      </c>
      <c r="E8" s="26">
        <v>164.5</v>
      </c>
      <c r="G8" s="23" t="s">
        <v>28</v>
      </c>
      <c r="H8" s="26">
        <f>INTERCEPT(B35:B37,C35:C37)</f>
        <v>210.54566152710743</v>
      </c>
      <c r="K8" s="26">
        <f t="shared" si="0"/>
        <v>2.7223677497740923</v>
      </c>
      <c r="L8" s="23">
        <f t="shared" si="1"/>
        <v>210.61041982993731</v>
      </c>
      <c r="M8" s="23">
        <f t="shared" si="2"/>
        <v>0</v>
      </c>
    </row>
    <row r="9" spans="1:13">
      <c r="A9" s="26"/>
      <c r="B9" s="26">
        <v>3.4220000000000002</v>
      </c>
      <c r="C9" s="26">
        <v>3.9971E-3</v>
      </c>
      <c r="D9" s="26">
        <v>841</v>
      </c>
      <c r="E9" s="26">
        <v>164.7</v>
      </c>
      <c r="G9" s="23" t="s">
        <v>23</v>
      </c>
      <c r="H9" s="26">
        <f>B7</f>
        <v>2.1230000000000002</v>
      </c>
      <c r="K9" s="26">
        <f t="shared" si="0"/>
        <v>3.4671140303704178</v>
      </c>
      <c r="L9" s="23">
        <f t="shared" si="1"/>
        <v>210.62813577029408</v>
      </c>
      <c r="M9" s="23">
        <f t="shared" si="2"/>
        <v>0</v>
      </c>
    </row>
    <row r="10" spans="1:13">
      <c r="A10" s="26"/>
      <c r="B10" s="26">
        <v>4.2919999999999998</v>
      </c>
      <c r="C10" s="26">
        <v>4.9947999999999998E-3</v>
      </c>
      <c r="D10" s="26">
        <v>844.4</v>
      </c>
      <c r="E10" s="26">
        <v>163.30000000000001</v>
      </c>
      <c r="G10" s="23" t="s">
        <v>24</v>
      </c>
      <c r="H10" s="26">
        <f>B37</f>
        <v>264.10000000000002</v>
      </c>
      <c r="K10" s="26">
        <f t="shared" si="0"/>
        <v>4.3325151067167411</v>
      </c>
      <c r="L10" s="23">
        <f t="shared" si="1"/>
        <v>210.64872183329658</v>
      </c>
      <c r="M10" s="23">
        <f t="shared" si="2"/>
        <v>0</v>
      </c>
    </row>
    <row r="11" spans="1:13">
      <c r="A11" s="26"/>
      <c r="B11" s="26">
        <v>5.4260000000000002</v>
      </c>
      <c r="C11" s="26">
        <v>6.2988000000000002E-3</v>
      </c>
      <c r="D11" s="26">
        <v>846.3</v>
      </c>
      <c r="E11" s="26">
        <v>165</v>
      </c>
      <c r="G11" s="23" t="s">
        <v>25</v>
      </c>
      <c r="H11" s="26">
        <f>C7</f>
        <v>2.4981000000000001E-3</v>
      </c>
      <c r="K11" s="26">
        <f t="shared" si="0"/>
        <v>5.463599604617519</v>
      </c>
      <c r="L11" s="23">
        <f t="shared" si="1"/>
        <v>210.67562794350533</v>
      </c>
      <c r="M11" s="23">
        <f t="shared" si="2"/>
        <v>0</v>
      </c>
    </row>
    <row r="12" spans="1:13">
      <c r="A12" s="26"/>
      <c r="B12" s="26">
        <v>6.8380000000000001</v>
      </c>
      <c r="C12" s="26">
        <v>7.9679999999999994E-3</v>
      </c>
      <c r="D12" s="26">
        <v>843.3</v>
      </c>
      <c r="E12" s="26">
        <v>164.1</v>
      </c>
      <c r="G12" s="23" t="s">
        <v>26</v>
      </c>
      <c r="H12" s="26">
        <f>C37</f>
        <v>2.6166999999999998</v>
      </c>
      <c r="K12" s="26">
        <f t="shared" si="0"/>
        <v>6.9114571536175022</v>
      </c>
      <c r="L12" s="23">
        <f t="shared" si="1"/>
        <v>210.71006941525414</v>
      </c>
      <c r="M12" s="23">
        <f t="shared" si="2"/>
        <v>0</v>
      </c>
    </row>
    <row r="13" spans="1:13">
      <c r="A13" s="26"/>
      <c r="B13" s="26">
        <v>8.5909999999999993</v>
      </c>
      <c r="C13" s="26">
        <v>1.0007E-2</v>
      </c>
      <c r="D13" s="26">
        <v>843.3</v>
      </c>
      <c r="E13" s="26">
        <v>165.3</v>
      </c>
      <c r="G13" s="23" t="s">
        <v>37</v>
      </c>
      <c r="H13" s="23">
        <f>(H7-H8)/(H6-H5)</f>
        <v>0.24864776094393254</v>
      </c>
      <c r="K13" s="26">
        <f t="shared" si="0"/>
        <v>8.6800777757184893</v>
      </c>
      <c r="L13" s="23">
        <f t="shared" si="1"/>
        <v>210.75214116273546</v>
      </c>
      <c r="M13" s="23">
        <f t="shared" si="2"/>
        <v>0</v>
      </c>
    </row>
    <row r="14" spans="1:13">
      <c r="A14" s="26"/>
      <c r="B14" s="26">
        <v>10.77</v>
      </c>
      <c r="C14" s="26">
        <v>1.2618000000000001E-2</v>
      </c>
      <c r="D14" s="26">
        <v>837.5</v>
      </c>
      <c r="E14" s="26">
        <v>170.5</v>
      </c>
      <c r="K14" s="26">
        <f t="shared" si="0"/>
        <v>10.944848959782089</v>
      </c>
      <c r="L14" s="23">
        <f t="shared" si="1"/>
        <v>210.80601528371326</v>
      </c>
      <c r="M14" s="23">
        <f t="shared" si="2"/>
        <v>0</v>
      </c>
    </row>
    <row r="15" spans="1:13">
      <c r="A15" s="26"/>
      <c r="B15" s="26">
        <v>13.49</v>
      </c>
      <c r="C15" s="26">
        <v>1.5907000000000001E-2</v>
      </c>
      <c r="D15" s="26">
        <v>829.8</v>
      </c>
      <c r="E15" s="26">
        <v>180.1</v>
      </c>
      <c r="K15" s="26">
        <f t="shared" si="0"/>
        <v>13.797714691067103</v>
      </c>
      <c r="L15" s="23">
        <f t="shared" si="1"/>
        <v>210.87387893131799</v>
      </c>
      <c r="M15" s="23">
        <f t="shared" si="2"/>
        <v>0</v>
      </c>
    </row>
    <row r="16" spans="1:13">
      <c r="A16" s="26"/>
      <c r="B16" s="26">
        <v>16.809999999999999</v>
      </c>
      <c r="C16" s="26">
        <v>2.0140000000000002E-2</v>
      </c>
      <c r="D16" s="26">
        <v>810.2</v>
      </c>
      <c r="E16" s="26">
        <v>203.7</v>
      </c>
      <c r="G16" s="23" t="s">
        <v>29</v>
      </c>
      <c r="H16" s="23">
        <f ca="1">SLOPE((INDIRECT("B"&amp;MATCH(H13,C1:C40,1)-1):INDIRECT("B"&amp;MATCH(H13,C1:C40,1)+1)),(INDIRECT("C"&amp;MATCH(H13,C1:C40,1)-1):INDIRECT("C"&amp;MATCH(H13,C1:C40,1)+1)))</f>
        <v>306.25175498989819</v>
      </c>
      <c r="K16" s="26">
        <f t="shared" si="0"/>
        <v>17.469402328807892</v>
      </c>
      <c r="L16" s="23">
        <f t="shared" si="1"/>
        <v>210.96122062189593</v>
      </c>
      <c r="M16" s="23">
        <f t="shared" si="2"/>
        <v>0</v>
      </c>
    </row>
    <row r="17" spans="1:13">
      <c r="A17" s="26"/>
      <c r="B17" s="26">
        <v>20.71</v>
      </c>
      <c r="C17" s="26">
        <v>2.5479000000000002E-2</v>
      </c>
      <c r="D17" s="26">
        <v>778.3</v>
      </c>
      <c r="E17" s="26">
        <v>237</v>
      </c>
      <c r="G17" s="23" t="s">
        <v>30</v>
      </c>
      <c r="H17" s="23">
        <f ca="1">INTERCEPT((INDIRECT("B"&amp;MATCH(H13,C1:C40,1)-1):INDIRECT("B"&amp;MATCH(H13,C1:C40,1)+1)),(INDIRECT("C"&amp;MATCH(H13,C1:C40,1)-1):INDIRECT("C"&amp;MATCH(H13,C1:C40,1)+1)))</f>
        <v>28.370049873777944</v>
      </c>
      <c r="K17" s="26">
        <f t="shared" si="0"/>
        <v>22.100430039154713</v>
      </c>
      <c r="L17" s="23">
        <f t="shared" si="1"/>
        <v>211.07138298570308</v>
      </c>
      <c r="M17" s="23">
        <f t="shared" si="2"/>
        <v>0</v>
      </c>
    </row>
    <row r="18" spans="1:13">
      <c r="A18" s="26"/>
      <c r="B18" s="26">
        <v>25.15</v>
      </c>
      <c r="C18" s="26">
        <v>3.2286000000000002E-2</v>
      </c>
      <c r="D18" s="26">
        <v>728.6</v>
      </c>
      <c r="E18" s="26">
        <v>277.60000000000002</v>
      </c>
      <c r="K18" s="26">
        <f t="shared" si="0"/>
        <v>28.004795205727255</v>
      </c>
      <c r="L18" s="23">
        <f t="shared" si="1"/>
        <v>211.21183535701516</v>
      </c>
      <c r="M18" s="23">
        <f t="shared" si="2"/>
        <v>0</v>
      </c>
    </row>
    <row r="19" spans="1:13">
      <c r="A19" s="26"/>
      <c r="B19" s="26">
        <v>30.23</v>
      </c>
      <c r="C19" s="26">
        <v>4.1295999999999999E-2</v>
      </c>
      <c r="D19" s="26">
        <v>661.2</v>
      </c>
      <c r="E19" s="26">
        <v>315.39999999999998</v>
      </c>
      <c r="G19" s="27" t="s">
        <v>31</v>
      </c>
      <c r="H19" s="23">
        <f ca="1">((INDIRECT("B"&amp;MATCH(H20,C1:C40,1)+1))-INDIRECT("B"&amp;MATCH(H20,C1:C40,1)))/((INDIRECT("C"&amp;MATCH(H20,C1:C40,1)+1))-INDIRECT("C"&amp;MATCH(H20,C1:C40,1)))*(H20-INDIRECT("C"&amp;MATCH(H20,C1:C40,1)))+INDIRECT("B"&amp;MATCH(H20,C1:C40,1))</f>
        <v>34.856324602421338</v>
      </c>
      <c r="K19" s="26">
        <f t="shared" si="0"/>
        <v>35.820033952725723</v>
      </c>
      <c r="L19" s="23">
        <f t="shared" si="1"/>
        <v>211.39774337310476</v>
      </c>
      <c r="M19" s="23">
        <f t="shared" si="2"/>
        <v>0</v>
      </c>
    </row>
    <row r="20" spans="1:13">
      <c r="A20" s="26"/>
      <c r="B20" s="26">
        <v>35.51</v>
      </c>
      <c r="C20" s="26">
        <v>5.1866000000000002E-2</v>
      </c>
      <c r="D20" s="26">
        <v>593.9</v>
      </c>
      <c r="E20" s="26">
        <v>341.6</v>
      </c>
      <c r="G20" s="27" t="s">
        <v>32</v>
      </c>
      <c r="H20" s="25">
        <f ca="1">(H7-H17)/(H16-H5)</f>
        <v>5.0557411183256365E-2</v>
      </c>
      <c r="K20" s="26">
        <f t="shared" si="0"/>
        <v>44.988410595985869</v>
      </c>
      <c r="L20" s="23">
        <f t="shared" si="1"/>
        <v>211.61583968054839</v>
      </c>
      <c r="M20" s="23">
        <f t="shared" si="2"/>
        <v>0</v>
      </c>
    </row>
    <row r="21" spans="1:13">
      <c r="A21" s="26"/>
      <c r="B21" s="26">
        <v>41.68</v>
      </c>
      <c r="C21" s="26">
        <v>6.5475000000000005E-2</v>
      </c>
      <c r="D21" s="26">
        <v>527.70000000000005</v>
      </c>
      <c r="E21" s="26">
        <v>356.9</v>
      </c>
      <c r="G21" s="27" t="s">
        <v>33</v>
      </c>
      <c r="H21" s="23">
        <f ca="1">((INDIRECT("B"&amp;MATCH(H22,C1:C40,1)+1))-INDIRECT("B"&amp;MATCH(H22,C1:C40,1)))/((INDIRECT("C"&amp;MATCH(H22,C1:C40,1)+1))-INDIRECT("C"&amp;MATCH(H22,C1:C40,1)))*(H22-INDIRECT("C"&amp;MATCH(H22,C1:C40,1)))+INDIRECT("B"&amp;MATCH(H22,C1:C40,1))</f>
        <v>185.15531104901044</v>
      </c>
      <c r="K21" s="26">
        <f t="shared" si="0"/>
        <v>56.792803948694221</v>
      </c>
      <c r="L21" s="23">
        <f t="shared" si="1"/>
        <v>211.89664125557206</v>
      </c>
      <c r="M21" s="23">
        <f t="shared" si="2"/>
        <v>0</v>
      </c>
    </row>
    <row r="22" spans="1:13">
      <c r="A22" s="26"/>
      <c r="B22" s="26">
        <v>48.66</v>
      </c>
      <c r="C22" s="26">
        <v>8.2498000000000002E-2</v>
      </c>
      <c r="D22" s="26">
        <v>468.8</v>
      </c>
      <c r="E22" s="26">
        <v>358.8</v>
      </c>
      <c r="G22" s="27" t="s">
        <v>34</v>
      </c>
      <c r="H22" s="25">
        <f ca="1">(H8-H17)/(H16-H6)</f>
        <v>0.63782906481005475</v>
      </c>
      <c r="K22" s="26">
        <f t="shared" si="0"/>
        <v>71.558487543605992</v>
      </c>
      <c r="L22" s="23">
        <f t="shared" si="1"/>
        <v>212.24788566821283</v>
      </c>
      <c r="M22" s="23">
        <f t="shared" si="2"/>
        <v>0</v>
      </c>
    </row>
    <row r="23" spans="1:13">
      <c r="A23" s="26"/>
      <c r="B23" s="26">
        <v>56.82</v>
      </c>
      <c r="C23" s="26">
        <v>0.10335999999999999</v>
      </c>
      <c r="D23" s="26">
        <v>419.5</v>
      </c>
      <c r="E23" s="26">
        <v>355.9</v>
      </c>
      <c r="G23" s="27" t="s">
        <v>44</v>
      </c>
      <c r="H23" s="23">
        <f ca="1">((INDIRECT("D"&amp;MATCH(1,M4:M40,0)+3)-INDIRECT("D"&amp;MATCH(1,M4:M40,0)+2))/(INDIRECT("C"&amp;MATCH(1,M4:M40,0)+3)-INDIRECT("C"&amp;MATCH(1,M4:M40,0)+2)))*(H24-INDIRECT("C"&amp;MATCH(1,M4:M40,0)+3))+INDIRECT("D"&amp;MATCH(1,M4:M40,0)+3)</f>
        <v>329.28079470198691</v>
      </c>
      <c r="K23" s="26">
        <f t="shared" si="0"/>
        <v>89.654104717843737</v>
      </c>
      <c r="L23" s="23">
        <f t="shared" si="1"/>
        <v>212.67834216451263</v>
      </c>
      <c r="M23" s="23">
        <f t="shared" si="2"/>
        <v>0</v>
      </c>
    </row>
    <row r="24" spans="1:13">
      <c r="A24" s="26"/>
      <c r="B24" s="26">
        <v>66.47</v>
      </c>
      <c r="C24" s="26">
        <v>0.12955</v>
      </c>
      <c r="D24" s="26">
        <v>377.9</v>
      </c>
      <c r="E24" s="26">
        <v>347.7</v>
      </c>
      <c r="G24" s="27" t="s">
        <v>45</v>
      </c>
      <c r="H24" s="23">
        <f ca="1">(INTERCEPT((INDIRECT("D"&amp;MATCH(1,M4:M40,0)+2):INDIRECT("D"&amp;MATCH(1,M4:M40,0)+3)),(INDIRECT("C"&amp;MATCH(1,M4:M40,0)+2):INDIRECT("C"&amp;MATCH(1,M4:M40,0)+3)))-INTERCEPT((INDIRECT("E"&amp;MATCH(1,M4:M40,0)+2):INDIRECT("E"&amp;MATCH(1,M4:M40,0)+3)),(INDIRECT("C"&amp;MATCH(1,M4:M40,0)+2):INDIRECT("C"&amp;MATCH(1,M4:M40,0)+3))))/((INDIRECT("E"&amp;MATCH(1,M4:M40,0)+3)-INDIRECT("E"&amp;MATCH(1,M4:M40,0)+2))/(INDIRECT("C"&amp;MATCH(1,M4:M40,0)+3)-INDIRECT("C"&amp;MATCH(1,M4:M40,0)+2))-(INDIRECT("D"&amp;MATCH(1,M4:M40,0)+3)-INDIRECT("D"&amp;MATCH(1,M4:M40,0)+2))/(INDIRECT("C"&amp;MATCH(1,M4:M40,0)+3)-INDIRECT("C"&amp;MATCH(1,M4:M40,0)+2)))</f>
        <v>0.18049761589403951</v>
      </c>
      <c r="K24" s="26">
        <f t="shared" si="0"/>
        <v>112.37120824546749</v>
      </c>
      <c r="L24" s="23">
        <f t="shared" si="1"/>
        <v>213.21873405589849</v>
      </c>
      <c r="M24" s="23">
        <f t="shared" si="2"/>
        <v>0</v>
      </c>
    </row>
    <row r="25" spans="1:13">
      <c r="A25" s="26"/>
      <c r="B25" s="26">
        <v>78.260000000000005</v>
      </c>
      <c r="C25" s="26">
        <v>0.16366</v>
      </c>
      <c r="D25" s="26">
        <v>341.4</v>
      </c>
      <c r="E25" s="26">
        <v>335.3</v>
      </c>
      <c r="G25" s="27" t="s">
        <v>57</v>
      </c>
      <c r="H25" s="26">
        <f>AVERAGE(D7:D11)</f>
        <v>841.96</v>
      </c>
      <c r="K25" s="26">
        <f t="shared" si="0"/>
        <v>141.95808878488123</v>
      </c>
      <c r="L25" s="23">
        <f t="shared" si="1"/>
        <v>213.92254342646632</v>
      </c>
      <c r="M25" s="23">
        <f t="shared" si="2"/>
        <v>0</v>
      </c>
    </row>
    <row r="26" spans="1:13">
      <c r="A26" s="26"/>
      <c r="B26" s="26">
        <v>91.67</v>
      </c>
      <c r="C26" s="26">
        <v>0.20533999999999999</v>
      </c>
      <c r="D26" s="26">
        <v>311.39999999999998</v>
      </c>
      <c r="E26" s="26">
        <v>320.39999999999998</v>
      </c>
      <c r="G26" s="27" t="s">
        <v>56</v>
      </c>
      <c r="H26" s="26">
        <f>AVERAGE(E7:E11)</f>
        <v>164.35999999999999</v>
      </c>
      <c r="K26" s="26">
        <f t="shared" si="0"/>
        <v>178.11115770551345</v>
      </c>
      <c r="L26" s="23">
        <f t="shared" si="1"/>
        <v>214.78254854418157</v>
      </c>
      <c r="M26" s="23">
        <f t="shared" si="2"/>
        <v>1</v>
      </c>
    </row>
    <row r="27" spans="1:13">
      <c r="A27" s="26"/>
      <c r="B27" s="26">
        <v>107.2</v>
      </c>
      <c r="C27" s="26">
        <v>0.25800000000000001</v>
      </c>
      <c r="D27" s="26">
        <v>284.3</v>
      </c>
      <c r="E27" s="26">
        <v>303.39999999999998</v>
      </c>
      <c r="K27" s="26">
        <f t="shared" si="0"/>
        <v>223.7882356652182</v>
      </c>
      <c r="L27" s="23">
        <f t="shared" si="1"/>
        <v>215.86910971258092</v>
      </c>
      <c r="M27" s="23">
        <f t="shared" si="2"/>
        <v>1</v>
      </c>
    </row>
    <row r="28" spans="1:13">
      <c r="A28" s="26"/>
      <c r="B28" s="26">
        <v>124.7</v>
      </c>
      <c r="C28" s="26">
        <v>0.32362000000000002</v>
      </c>
      <c r="D28" s="26">
        <v>259.8</v>
      </c>
      <c r="E28" s="26">
        <v>285.10000000000002</v>
      </c>
      <c r="G28" s="26"/>
      <c r="K28" s="26">
        <f t="shared" si="0"/>
        <v>280.70676691694291</v>
      </c>
      <c r="L28" s="23">
        <f t="shared" si="1"/>
        <v>217.2230813014599</v>
      </c>
      <c r="M28" s="23">
        <f t="shared" si="2"/>
        <v>1</v>
      </c>
    </row>
    <row r="29" spans="1:13">
      <c r="A29" s="26"/>
      <c r="B29" s="26">
        <v>145.19999999999999</v>
      </c>
      <c r="C29" s="26">
        <v>0.41021000000000002</v>
      </c>
      <c r="D29" s="26">
        <v>235.2</v>
      </c>
      <c r="E29" s="26">
        <v>265.10000000000002</v>
      </c>
      <c r="G29" s="26"/>
      <c r="K29" s="26">
        <f t="shared" si="0"/>
        <v>355.81459412033888</v>
      </c>
      <c r="L29" s="23">
        <f t="shared" si="1"/>
        <v>219.00973780680931</v>
      </c>
      <c r="M29" s="23">
        <f t="shared" si="2"/>
        <v>1</v>
      </c>
    </row>
    <row r="30" spans="1:13">
      <c r="A30" s="26"/>
      <c r="B30" s="26">
        <v>165.8</v>
      </c>
      <c r="C30" s="26">
        <v>0.51466999999999996</v>
      </c>
      <c r="D30" s="26">
        <v>210.6</v>
      </c>
      <c r="E30" s="26">
        <v>244.2</v>
      </c>
      <c r="G30" s="26"/>
      <c r="K30" s="26">
        <f t="shared" si="0"/>
        <v>446.42278940462973</v>
      </c>
      <c r="L30" s="23">
        <f t="shared" si="1"/>
        <v>221.16511531632312</v>
      </c>
      <c r="M30" s="23">
        <f t="shared" si="2"/>
        <v>1</v>
      </c>
    </row>
    <row r="31" spans="1:13">
      <c r="A31" s="26"/>
      <c r="B31" s="26">
        <v>188</v>
      </c>
      <c r="C31" s="26">
        <v>0.65593000000000001</v>
      </c>
      <c r="D31" s="26">
        <v>182.4</v>
      </c>
      <c r="E31" s="26">
        <v>221.4</v>
      </c>
      <c r="G31" s="26"/>
      <c r="K31" s="26">
        <f t="shared" si="0"/>
        <v>568.95116070329834</v>
      </c>
      <c r="L31" s="23">
        <f t="shared" si="1"/>
        <v>224.07980636547035</v>
      </c>
      <c r="M31" s="23">
        <f>IF(D31&lt;E31,1,0)</f>
        <v>1</v>
      </c>
    </row>
    <row r="32" spans="1:13">
      <c r="A32" s="26"/>
      <c r="B32" s="26">
        <v>206.9</v>
      </c>
      <c r="C32" s="26">
        <v>0.83299000000000001</v>
      </c>
      <c r="D32" s="26">
        <v>149.69999999999999</v>
      </c>
      <c r="E32" s="26">
        <v>198.6</v>
      </c>
      <c r="G32" s="26"/>
      <c r="K32" s="26">
        <f t="shared" si="0"/>
        <v>722.5323119289975</v>
      </c>
      <c r="L32" s="23">
        <f t="shared" si="1"/>
        <v>227.73317743415228</v>
      </c>
      <c r="M32" s="23">
        <f t="shared" si="2"/>
        <v>1</v>
      </c>
    </row>
    <row r="33" spans="1:13">
      <c r="A33" s="26"/>
      <c r="B33" s="26">
        <v>221.5</v>
      </c>
      <c r="C33" s="26">
        <v>1.0522</v>
      </c>
      <c r="D33" s="26">
        <v>115.2</v>
      </c>
      <c r="E33" s="26">
        <v>176.5</v>
      </c>
      <c r="G33" s="26"/>
      <c r="K33" s="26">
        <f t="shared" si="0"/>
        <v>912.67420823638213</v>
      </c>
      <c r="L33" s="23">
        <f t="shared" si="1"/>
        <v>232.25625137499588</v>
      </c>
      <c r="M33" s="23">
        <f t="shared" si="2"/>
        <v>1</v>
      </c>
    </row>
    <row r="34" spans="1:13">
      <c r="A34" s="26"/>
      <c r="B34" s="26">
        <v>233.9</v>
      </c>
      <c r="C34" s="26">
        <v>1.3333999999999999</v>
      </c>
      <c r="D34" s="26">
        <v>83.93</v>
      </c>
      <c r="E34" s="26">
        <v>154.30000000000001</v>
      </c>
      <c r="G34" s="26"/>
      <c r="K34" s="26">
        <f t="shared" si="0"/>
        <v>1156.5859879984209</v>
      </c>
      <c r="L34" s="23">
        <f t="shared" si="1"/>
        <v>238.05839722676001</v>
      </c>
      <c r="M34" s="23">
        <f t="shared" si="2"/>
        <v>1</v>
      </c>
    </row>
    <row r="35" spans="1:13">
      <c r="A35" s="26"/>
      <c r="B35" s="26">
        <v>244.2</v>
      </c>
      <c r="C35" s="26">
        <v>1.6591</v>
      </c>
      <c r="D35" s="26">
        <v>61.5</v>
      </c>
      <c r="E35" s="26">
        <v>133.9</v>
      </c>
      <c r="G35" s="26"/>
      <c r="K35" s="26">
        <f t="shared" si="0"/>
        <v>1439.0968936474114</v>
      </c>
      <c r="L35" s="23">
        <f t="shared" si="1"/>
        <v>244.77873472291785</v>
      </c>
      <c r="M35" s="23">
        <f t="shared" si="2"/>
        <v>1</v>
      </c>
    </row>
    <row r="36" spans="1:13">
      <c r="A36" s="26"/>
      <c r="B36" s="26">
        <v>254.3</v>
      </c>
      <c r="C36" s="26">
        <v>2.0712999999999999</v>
      </c>
      <c r="D36" s="26">
        <v>44.68</v>
      </c>
      <c r="E36" s="26">
        <v>114.6</v>
      </c>
      <c r="G36" s="26"/>
      <c r="K36" s="26">
        <f t="shared" si="0"/>
        <v>1796.6375608519363</v>
      </c>
      <c r="L36" s="23">
        <f t="shared" si="1"/>
        <v>253.28387170761619</v>
      </c>
      <c r="M36" s="23">
        <f t="shared" si="2"/>
        <v>1</v>
      </c>
    </row>
    <row r="37" spans="1:13">
      <c r="A37" s="26"/>
      <c r="B37" s="26">
        <v>264.10000000000002</v>
      </c>
      <c r="C37" s="26">
        <v>2.6166999999999998</v>
      </c>
      <c r="D37" s="26">
        <v>31.36</v>
      </c>
      <c r="E37" s="26">
        <v>96.06</v>
      </c>
      <c r="G37" s="26"/>
      <c r="K37" s="26">
        <f t="shared" si="0"/>
        <v>2269.7153868911114</v>
      </c>
      <c r="L37" s="23">
        <f t="shared" si="1"/>
        <v>264.53739356946596</v>
      </c>
      <c r="M37" s="23">
        <f t="shared" si="2"/>
        <v>1</v>
      </c>
    </row>
    <row r="38" spans="1:13">
      <c r="A38" s="26"/>
      <c r="B38" s="26">
        <v>272.3</v>
      </c>
      <c r="C38" s="26">
        <v>3.258</v>
      </c>
      <c r="D38" s="26">
        <v>22.38</v>
      </c>
      <c r="E38" s="26">
        <v>80.64</v>
      </c>
      <c r="G38" s="26"/>
      <c r="K38" s="26">
        <f t="shared" si="0"/>
        <v>2825.9764977068853</v>
      </c>
      <c r="L38" s="23">
        <f t="shared" si="1"/>
        <v>277.76967000878443</v>
      </c>
      <c r="M38" s="23">
        <f t="shared" si="2"/>
        <v>1</v>
      </c>
    </row>
    <row r="39" spans="1:13">
      <c r="A39" s="26"/>
      <c r="B39" s="26">
        <v>281.8</v>
      </c>
      <c r="C39" s="26">
        <v>4.0736999999999997</v>
      </c>
      <c r="D39" s="26">
        <v>15.74</v>
      </c>
      <c r="E39" s="26">
        <v>67.459999999999994</v>
      </c>
      <c r="G39" s="26"/>
      <c r="K39" s="26">
        <f t="shared" si="0"/>
        <v>3533.5114861560141</v>
      </c>
      <c r="L39" s="23">
        <f t="shared" si="1"/>
        <v>294.60043235332216</v>
      </c>
      <c r="M39" s="23">
        <f t="shared" si="2"/>
        <v>1</v>
      </c>
    </row>
    <row r="40" spans="1:13">
      <c r="A40" s="26"/>
      <c r="B40" s="26">
        <v>291.8</v>
      </c>
      <c r="C40" s="26">
        <v>5.1277999999999997</v>
      </c>
      <c r="D40" s="26">
        <v>10.86</v>
      </c>
      <c r="E40" s="26">
        <v>55.96</v>
      </c>
      <c r="G40" s="26"/>
      <c r="K40" s="26">
        <f t="shared" si="0"/>
        <v>4447.8337018287211</v>
      </c>
      <c r="L40" s="23">
        <f t="shared" si="1"/>
        <v>316.35022588939819</v>
      </c>
      <c r="M40" s="23">
        <f t="shared" si="2"/>
        <v>1</v>
      </c>
    </row>
    <row r="41" spans="1:13">
      <c r="B41"/>
      <c r="C41"/>
      <c r="D41"/>
      <c r="E41"/>
      <c r="F41"/>
      <c r="G41" s="26"/>
    </row>
    <row r="42" spans="1:13">
      <c r="B42"/>
      <c r="C42"/>
      <c r="D42"/>
      <c r="E42"/>
      <c r="F42"/>
      <c r="G42" s="26"/>
    </row>
    <row r="43" spans="1:13">
      <c r="B43"/>
      <c r="C43"/>
      <c r="D43"/>
      <c r="E43"/>
      <c r="F43"/>
      <c r="G43" s="26"/>
    </row>
    <row r="44" spans="1:13">
      <c r="B44"/>
      <c r="C44"/>
      <c r="D44"/>
      <c r="E44"/>
      <c r="F44"/>
      <c r="G44" s="26"/>
    </row>
    <row r="45" spans="1:13">
      <c r="B45"/>
      <c r="C45"/>
      <c r="D45"/>
      <c r="E45"/>
      <c r="F45"/>
      <c r="G45" s="26"/>
    </row>
    <row r="46" spans="1:13">
      <c r="B46"/>
      <c r="C46"/>
      <c r="D46"/>
      <c r="E46"/>
      <c r="F46"/>
      <c r="G46" s="26"/>
    </row>
    <row r="47" spans="1:13">
      <c r="B47"/>
      <c r="C47"/>
      <c r="D47"/>
      <c r="E47"/>
      <c r="F47"/>
      <c r="G47" s="26"/>
    </row>
    <row r="48" spans="1:13">
      <c r="B48"/>
      <c r="C48"/>
      <c r="D48"/>
      <c r="E48"/>
      <c r="F48"/>
      <c r="G48" s="26"/>
    </row>
    <row r="49" spans="2:7">
      <c r="B49"/>
      <c r="C49"/>
      <c r="D49"/>
      <c r="E49"/>
      <c r="F49"/>
      <c r="G49" s="26"/>
    </row>
    <row r="50" spans="2:7">
      <c r="B50"/>
      <c r="C50"/>
      <c r="D50"/>
      <c r="E50"/>
      <c r="F50"/>
      <c r="G50" s="26"/>
    </row>
    <row r="51" spans="2:7">
      <c r="B51"/>
      <c r="C51"/>
      <c r="D51"/>
      <c r="E51"/>
      <c r="F51"/>
      <c r="G51" s="26"/>
    </row>
    <row r="52" spans="2:7">
      <c r="B52"/>
      <c r="C52"/>
      <c r="D52"/>
      <c r="E52"/>
      <c r="F52"/>
      <c r="G52" s="26"/>
    </row>
    <row r="53" spans="2:7">
      <c r="B53"/>
      <c r="C53"/>
      <c r="D53"/>
      <c r="E53"/>
      <c r="F53"/>
      <c r="G53" s="26"/>
    </row>
    <row r="54" spans="2:7">
      <c r="B54"/>
      <c r="C54"/>
      <c r="D54"/>
      <c r="E54"/>
      <c r="F54"/>
      <c r="G54" s="26"/>
    </row>
    <row r="55" spans="2:7">
      <c r="B55"/>
      <c r="C55"/>
      <c r="D55"/>
      <c r="E55"/>
      <c r="F55"/>
      <c r="G55" s="26"/>
    </row>
    <row r="56" spans="2:7">
      <c r="B56"/>
      <c r="C56"/>
      <c r="D56"/>
      <c r="E56"/>
      <c r="F56"/>
      <c r="G56" s="26"/>
    </row>
    <row r="57" spans="2:7">
      <c r="B57"/>
      <c r="C57"/>
      <c r="D57"/>
      <c r="E57"/>
      <c r="F57"/>
      <c r="G57" s="26"/>
    </row>
    <row r="58" spans="2:7">
      <c r="B58"/>
      <c r="C58"/>
      <c r="D58"/>
      <c r="E58"/>
      <c r="F58"/>
      <c r="G58" s="26"/>
    </row>
    <row r="59" spans="2:7">
      <c r="B59"/>
      <c r="C59"/>
      <c r="D59"/>
      <c r="E59"/>
      <c r="F59"/>
      <c r="G59" s="26"/>
    </row>
    <row r="60" spans="2:7">
      <c r="B60"/>
      <c r="C60"/>
      <c r="D60"/>
      <c r="E60"/>
      <c r="F60"/>
      <c r="G60" s="26"/>
    </row>
    <row r="61" spans="2:7">
      <c r="B61"/>
      <c r="C61"/>
      <c r="D61"/>
      <c r="E61"/>
      <c r="F61"/>
      <c r="G61" s="26"/>
    </row>
    <row r="62" spans="2:7">
      <c r="B62"/>
      <c r="C62"/>
      <c r="D62"/>
      <c r="E62"/>
      <c r="F62"/>
      <c r="G62" s="26"/>
    </row>
    <row r="63" spans="2:7">
      <c r="B63"/>
      <c r="C63"/>
      <c r="D63"/>
      <c r="E63"/>
      <c r="F63"/>
      <c r="G63" s="26"/>
    </row>
    <row r="64" spans="2:7">
      <c r="B64"/>
      <c r="C64"/>
      <c r="D64"/>
      <c r="E64"/>
      <c r="F64"/>
      <c r="G64" s="26"/>
    </row>
    <row r="65" spans="2:6">
      <c r="B65"/>
      <c r="C65"/>
      <c r="D65"/>
      <c r="E65"/>
      <c r="F65"/>
    </row>
    <row r="66" spans="2:6">
      <c r="B66"/>
      <c r="C66"/>
      <c r="D66"/>
      <c r="E66"/>
      <c r="F66"/>
    </row>
    <row r="67" spans="2:6">
      <c r="B67"/>
      <c r="C67"/>
      <c r="D67"/>
      <c r="E67"/>
      <c r="F67"/>
    </row>
    <row r="68" spans="2:6">
      <c r="B68"/>
      <c r="C68"/>
      <c r="D68"/>
      <c r="E68"/>
      <c r="F68"/>
    </row>
    <row r="69" spans="2:6">
      <c r="B69"/>
      <c r="C69"/>
      <c r="D69"/>
      <c r="E69"/>
      <c r="F69"/>
    </row>
    <row r="70" spans="2:6">
      <c r="B70"/>
      <c r="C70"/>
      <c r="D70"/>
      <c r="E70"/>
      <c r="F70"/>
    </row>
    <row r="71" spans="2:6">
      <c r="B71"/>
      <c r="C71"/>
      <c r="D71"/>
      <c r="E71"/>
      <c r="F71"/>
    </row>
    <row r="72" spans="2:6">
      <c r="B72"/>
      <c r="C72"/>
      <c r="D72"/>
      <c r="E72"/>
      <c r="F72"/>
    </row>
    <row r="73" spans="2:6">
      <c r="B73"/>
      <c r="C73"/>
      <c r="D73"/>
      <c r="E73"/>
      <c r="F73"/>
    </row>
    <row r="74" spans="2:6">
      <c r="B74"/>
      <c r="C74"/>
      <c r="D74"/>
      <c r="E74"/>
      <c r="F74"/>
    </row>
    <row r="75" spans="2:6">
      <c r="B75"/>
      <c r="C75"/>
      <c r="D75"/>
      <c r="E75"/>
      <c r="F75"/>
    </row>
    <row r="76" spans="2:6">
      <c r="B76"/>
      <c r="C76"/>
      <c r="D76"/>
      <c r="E76"/>
      <c r="F76"/>
    </row>
    <row r="77" spans="2:6">
      <c r="B77"/>
      <c r="C77"/>
      <c r="D77"/>
      <c r="E77"/>
      <c r="F77"/>
    </row>
    <row r="78" spans="2:6">
      <c r="B78"/>
      <c r="C78"/>
      <c r="D78"/>
      <c r="E78"/>
      <c r="F78"/>
    </row>
    <row r="79" spans="2:6">
      <c r="B79"/>
      <c r="C79"/>
      <c r="D79"/>
      <c r="E79"/>
      <c r="F79"/>
    </row>
    <row r="80" spans="2:6">
      <c r="B80"/>
      <c r="C80"/>
      <c r="D80"/>
      <c r="E80"/>
      <c r="F80"/>
    </row>
    <row r="81" spans="2:6">
      <c r="B81"/>
      <c r="C81"/>
      <c r="D81"/>
      <c r="E81"/>
      <c r="F81"/>
    </row>
    <row r="82" spans="2:6">
      <c r="B82"/>
      <c r="C82"/>
      <c r="D82"/>
      <c r="E82"/>
      <c r="F82"/>
    </row>
    <row r="83" spans="2:6">
      <c r="B83"/>
      <c r="C83"/>
      <c r="D83"/>
      <c r="E83"/>
      <c r="F83"/>
    </row>
    <row r="84" spans="2:6">
      <c r="B84"/>
      <c r="C84"/>
      <c r="D84"/>
      <c r="E84"/>
      <c r="F84"/>
    </row>
    <row r="85" spans="2:6">
      <c r="B85"/>
      <c r="C85"/>
      <c r="D85"/>
      <c r="E85"/>
      <c r="F85"/>
    </row>
    <row r="86" spans="2:6">
      <c r="B86"/>
      <c r="C86"/>
      <c r="D86"/>
      <c r="E86"/>
      <c r="F86"/>
    </row>
    <row r="87" spans="2:6">
      <c r="B87"/>
      <c r="C87"/>
      <c r="D87"/>
      <c r="E87"/>
      <c r="F87"/>
    </row>
    <row r="88" spans="2:6">
      <c r="B88"/>
      <c r="C88"/>
      <c r="D88"/>
      <c r="E88"/>
      <c r="F88"/>
    </row>
    <row r="89" spans="2:6">
      <c r="B89"/>
      <c r="C89"/>
      <c r="D89"/>
      <c r="E89"/>
      <c r="F89"/>
    </row>
    <row r="90" spans="2:6">
      <c r="B90"/>
      <c r="C90"/>
      <c r="D90"/>
      <c r="E90"/>
      <c r="F90"/>
    </row>
    <row r="91" spans="2:6">
      <c r="B91"/>
      <c r="C91"/>
      <c r="D91"/>
      <c r="E91"/>
      <c r="F91"/>
    </row>
    <row r="92" spans="2:6">
      <c r="B92"/>
      <c r="C92"/>
      <c r="D92"/>
      <c r="E92"/>
      <c r="F92"/>
    </row>
    <row r="93" spans="2:6">
      <c r="B93"/>
      <c r="C93"/>
      <c r="D93"/>
      <c r="E93"/>
      <c r="F93"/>
    </row>
    <row r="94" spans="2:6">
      <c r="B94"/>
      <c r="C94"/>
      <c r="D94"/>
      <c r="E94"/>
      <c r="F94"/>
    </row>
    <row r="95" spans="2:6">
      <c r="B95"/>
      <c r="C95"/>
      <c r="D95"/>
      <c r="E95"/>
      <c r="F95"/>
    </row>
    <row r="96" spans="2:6">
      <c r="B96"/>
      <c r="C96"/>
      <c r="D96"/>
      <c r="E96"/>
      <c r="F96"/>
    </row>
    <row r="97" spans="2:6">
      <c r="B97"/>
      <c r="C97"/>
      <c r="D97"/>
      <c r="E97"/>
      <c r="F97"/>
    </row>
    <row r="98" spans="2:6">
      <c r="B98"/>
      <c r="C98"/>
      <c r="D98"/>
      <c r="E98"/>
      <c r="F98"/>
    </row>
    <row r="99" spans="2:6">
      <c r="B99"/>
      <c r="C99"/>
      <c r="D99"/>
      <c r="E99"/>
      <c r="F99"/>
    </row>
    <row r="100" spans="2:6">
      <c r="B100"/>
      <c r="C100"/>
      <c r="D100"/>
      <c r="E100"/>
      <c r="F100"/>
    </row>
    <row r="101" spans="2:6">
      <c r="B101"/>
      <c r="C101"/>
      <c r="D101"/>
      <c r="E101"/>
      <c r="F101"/>
    </row>
    <row r="102" spans="2:6">
      <c r="B102"/>
      <c r="C102"/>
      <c r="D102"/>
      <c r="E102"/>
      <c r="F102"/>
    </row>
    <row r="103" spans="2:6">
      <c r="B103"/>
      <c r="C103"/>
      <c r="D103"/>
      <c r="E103"/>
      <c r="F103"/>
    </row>
    <row r="104" spans="2:6">
      <c r="B104"/>
      <c r="C104"/>
      <c r="D104"/>
      <c r="E104"/>
      <c r="F104"/>
    </row>
    <row r="105" spans="2:6">
      <c r="B105"/>
      <c r="C105"/>
      <c r="D105"/>
      <c r="E105"/>
      <c r="F105"/>
    </row>
    <row r="106" spans="2:6">
      <c r="B106"/>
      <c r="C106"/>
      <c r="D106"/>
      <c r="E106"/>
      <c r="F106"/>
    </row>
    <row r="107" spans="2:6">
      <c r="B107"/>
      <c r="C107"/>
      <c r="D107"/>
      <c r="E107"/>
      <c r="F107"/>
    </row>
    <row r="108" spans="2:6">
      <c r="B108"/>
      <c r="C108"/>
      <c r="D108"/>
      <c r="E108"/>
      <c r="F108"/>
    </row>
    <row r="109" spans="2:6">
      <c r="B109"/>
      <c r="C109"/>
      <c r="D109"/>
      <c r="E109"/>
      <c r="F109"/>
    </row>
    <row r="110" spans="2:6">
      <c r="B110"/>
      <c r="C110"/>
      <c r="D110"/>
      <c r="E110"/>
      <c r="F110"/>
    </row>
    <row r="111" spans="2:6">
      <c r="B111"/>
      <c r="C111"/>
      <c r="D111"/>
      <c r="E111"/>
      <c r="F111"/>
    </row>
    <row r="112" spans="2:6">
      <c r="B112"/>
      <c r="C112"/>
      <c r="D112"/>
      <c r="E112"/>
      <c r="F112"/>
    </row>
    <row r="113" spans="2:6">
      <c r="B113"/>
      <c r="C113"/>
      <c r="D113"/>
      <c r="E113"/>
      <c r="F113"/>
    </row>
    <row r="114" spans="2:6">
      <c r="B114"/>
      <c r="C114"/>
      <c r="D114"/>
      <c r="E114"/>
      <c r="F114"/>
    </row>
    <row r="115" spans="2:6">
      <c r="B115"/>
      <c r="C115"/>
      <c r="D115"/>
      <c r="E115"/>
      <c r="F115"/>
    </row>
    <row r="116" spans="2:6">
      <c r="B116"/>
      <c r="C116"/>
      <c r="D116"/>
      <c r="E116"/>
      <c r="F116"/>
    </row>
    <row r="117" spans="2:6">
      <c r="B117"/>
      <c r="C117"/>
      <c r="D117"/>
      <c r="E117"/>
      <c r="F117"/>
    </row>
    <row r="118" spans="2:6">
      <c r="B118"/>
      <c r="C118"/>
      <c r="D118"/>
      <c r="E118"/>
      <c r="F118"/>
    </row>
    <row r="119" spans="2:6">
      <c r="B119"/>
      <c r="C119"/>
      <c r="D119"/>
      <c r="E119"/>
      <c r="F119"/>
    </row>
    <row r="120" spans="2:6">
      <c r="B120"/>
      <c r="C120"/>
      <c r="D120"/>
      <c r="E120"/>
      <c r="F120"/>
    </row>
    <row r="121" spans="2:6">
      <c r="B121"/>
      <c r="C121"/>
      <c r="D121"/>
      <c r="E121"/>
      <c r="F121"/>
    </row>
    <row r="122" spans="2:6">
      <c r="B122"/>
      <c r="C122"/>
      <c r="D122"/>
      <c r="E122"/>
      <c r="F122"/>
    </row>
    <row r="123" spans="2:6">
      <c r="B123"/>
      <c r="C123"/>
      <c r="D123"/>
      <c r="E123"/>
      <c r="F123"/>
    </row>
    <row r="124" spans="2:6">
      <c r="B124"/>
      <c r="C124"/>
      <c r="D124"/>
      <c r="E124"/>
      <c r="F124"/>
    </row>
    <row r="125" spans="2:6">
      <c r="B125"/>
      <c r="C125"/>
      <c r="D125"/>
      <c r="E125"/>
      <c r="F125"/>
    </row>
    <row r="126" spans="2:6">
      <c r="B126"/>
      <c r="C126"/>
      <c r="D126"/>
      <c r="E126"/>
      <c r="F126"/>
    </row>
    <row r="127" spans="2:6">
      <c r="B127"/>
      <c r="C127"/>
      <c r="D127"/>
      <c r="E127"/>
      <c r="F127"/>
    </row>
    <row r="128" spans="2:6">
      <c r="B128"/>
      <c r="C128"/>
      <c r="D128"/>
      <c r="E128"/>
      <c r="F128"/>
    </row>
    <row r="129" spans="2:6">
      <c r="B129"/>
      <c r="C129"/>
      <c r="D129"/>
      <c r="E129"/>
      <c r="F129"/>
    </row>
    <row r="130" spans="2:6">
      <c r="B130"/>
      <c r="C130"/>
      <c r="D130"/>
      <c r="E130"/>
      <c r="F130"/>
    </row>
    <row r="131" spans="2:6">
      <c r="B131"/>
      <c r="C131"/>
      <c r="D131"/>
      <c r="E131"/>
      <c r="F131"/>
    </row>
    <row r="132" spans="2:6">
      <c r="B132"/>
      <c r="C132"/>
      <c r="D132"/>
      <c r="E132"/>
      <c r="F132"/>
    </row>
    <row r="133" spans="2:6">
      <c r="B133"/>
      <c r="C133"/>
      <c r="D133"/>
      <c r="E133"/>
      <c r="F133"/>
    </row>
    <row r="134" spans="2:6">
      <c r="B134"/>
      <c r="C134"/>
      <c r="D134"/>
      <c r="E134"/>
      <c r="F134"/>
    </row>
    <row r="135" spans="2:6">
      <c r="B135"/>
      <c r="C135"/>
      <c r="D135"/>
      <c r="E135"/>
      <c r="F135"/>
    </row>
    <row r="136" spans="2:6">
      <c r="B136"/>
      <c r="C136"/>
      <c r="D136"/>
      <c r="E136"/>
      <c r="F136"/>
    </row>
    <row r="137" spans="2:6">
      <c r="B137"/>
      <c r="C137"/>
      <c r="D137"/>
      <c r="E137"/>
      <c r="F137"/>
    </row>
    <row r="138" spans="2:6">
      <c r="B138"/>
      <c r="C138"/>
      <c r="D138"/>
      <c r="E138"/>
      <c r="F138"/>
    </row>
    <row r="139" spans="2:6">
      <c r="B139"/>
      <c r="C139"/>
      <c r="D139"/>
      <c r="E139"/>
      <c r="F139"/>
    </row>
    <row r="140" spans="2:6">
      <c r="B140"/>
      <c r="C140"/>
      <c r="D140"/>
      <c r="E140"/>
      <c r="F140"/>
    </row>
    <row r="141" spans="2:6">
      <c r="B141"/>
      <c r="C141"/>
      <c r="D141"/>
      <c r="E141"/>
      <c r="F141"/>
    </row>
    <row r="142" spans="2:6">
      <c r="B142"/>
      <c r="C142"/>
      <c r="D142"/>
      <c r="E142"/>
      <c r="F142"/>
    </row>
    <row r="143" spans="2:6">
      <c r="B143"/>
      <c r="C143"/>
      <c r="D143"/>
      <c r="E143"/>
      <c r="F143"/>
    </row>
    <row r="144" spans="2:6">
      <c r="B144"/>
      <c r="C144"/>
      <c r="D144"/>
      <c r="E144"/>
      <c r="F144"/>
    </row>
    <row r="145" spans="2:6">
      <c r="B145"/>
      <c r="C145"/>
      <c r="D145"/>
      <c r="E145"/>
      <c r="F145"/>
    </row>
    <row r="146" spans="2:6">
      <c r="B146"/>
      <c r="C146"/>
      <c r="D146"/>
      <c r="E146"/>
      <c r="F146"/>
    </row>
    <row r="147" spans="2:6">
      <c r="B147"/>
      <c r="C147"/>
      <c r="D147"/>
      <c r="E147"/>
      <c r="F147"/>
    </row>
    <row r="148" spans="2:6">
      <c r="B148"/>
      <c r="C148"/>
      <c r="D148"/>
      <c r="E148"/>
      <c r="F148"/>
    </row>
    <row r="149" spans="2:6">
      <c r="B149"/>
      <c r="C149"/>
      <c r="D149"/>
      <c r="E149"/>
      <c r="F149"/>
    </row>
    <row r="150" spans="2:6">
      <c r="B150"/>
      <c r="C150"/>
      <c r="D150"/>
      <c r="E150"/>
      <c r="F150"/>
    </row>
    <row r="151" spans="2:6">
      <c r="B151"/>
      <c r="C151"/>
      <c r="D151"/>
      <c r="E151"/>
      <c r="F151"/>
    </row>
    <row r="152" spans="2:6">
      <c r="B152"/>
      <c r="C152"/>
      <c r="D152"/>
      <c r="E152"/>
      <c r="F152"/>
    </row>
    <row r="153" spans="2:6">
      <c r="B153"/>
      <c r="C153"/>
      <c r="D153"/>
      <c r="E153"/>
      <c r="F153"/>
    </row>
    <row r="154" spans="2:6">
      <c r="B154"/>
      <c r="C154"/>
      <c r="D154"/>
      <c r="E154"/>
      <c r="F154"/>
    </row>
    <row r="155" spans="2:6">
      <c r="B155"/>
      <c r="C155"/>
      <c r="D155"/>
      <c r="E155"/>
      <c r="F155"/>
    </row>
    <row r="156" spans="2:6">
      <c r="B156"/>
      <c r="C156"/>
      <c r="D156"/>
      <c r="E156"/>
      <c r="F156"/>
    </row>
    <row r="157" spans="2:6">
      <c r="B157"/>
      <c r="C157"/>
      <c r="D157"/>
      <c r="E157"/>
      <c r="F157"/>
    </row>
    <row r="158" spans="2:6">
      <c r="B158"/>
      <c r="C158"/>
      <c r="D158"/>
      <c r="E158"/>
      <c r="F158"/>
    </row>
    <row r="159" spans="2:6">
      <c r="B159"/>
      <c r="C159"/>
      <c r="D159"/>
      <c r="E159"/>
      <c r="F159"/>
    </row>
    <row r="160" spans="2:6">
      <c r="B160"/>
      <c r="C160"/>
      <c r="D160"/>
      <c r="E160"/>
      <c r="F160"/>
    </row>
    <row r="161" spans="2:6">
      <c r="B161"/>
      <c r="C161"/>
      <c r="D161"/>
      <c r="E161"/>
      <c r="F161"/>
    </row>
    <row r="162" spans="2:6">
      <c r="B162"/>
      <c r="C162"/>
      <c r="D162"/>
      <c r="E162"/>
      <c r="F162"/>
    </row>
    <row r="163" spans="2:6">
      <c r="B163"/>
      <c r="C163"/>
      <c r="D163"/>
      <c r="E163"/>
      <c r="F163"/>
    </row>
    <row r="164" spans="2:6">
      <c r="B164"/>
      <c r="C164"/>
      <c r="D164"/>
      <c r="E164"/>
      <c r="F164"/>
    </row>
    <row r="165" spans="2:6">
      <c r="B165"/>
      <c r="C165"/>
      <c r="D165"/>
      <c r="E165"/>
      <c r="F165"/>
    </row>
    <row r="166" spans="2:6">
      <c r="B166"/>
      <c r="C166"/>
      <c r="D166"/>
      <c r="E166"/>
      <c r="F166"/>
    </row>
    <row r="167" spans="2:6">
      <c r="B167"/>
      <c r="C167"/>
      <c r="D167"/>
      <c r="E167"/>
      <c r="F167"/>
    </row>
    <row r="168" spans="2:6">
      <c r="B168"/>
      <c r="C168"/>
      <c r="D168"/>
      <c r="E168"/>
      <c r="F168"/>
    </row>
    <row r="169" spans="2:6">
      <c r="B169"/>
      <c r="C169"/>
      <c r="D169"/>
      <c r="E169"/>
      <c r="F169"/>
    </row>
    <row r="170" spans="2:6">
      <c r="B170"/>
      <c r="C170"/>
      <c r="D170"/>
      <c r="E170"/>
      <c r="F170"/>
    </row>
    <row r="171" spans="2:6">
      <c r="B171"/>
      <c r="C171"/>
      <c r="D171"/>
      <c r="E171"/>
      <c r="F171"/>
    </row>
    <row r="172" spans="2:6">
      <c r="B172"/>
      <c r="C172"/>
      <c r="D172"/>
      <c r="E172"/>
      <c r="F172"/>
    </row>
    <row r="173" spans="2:6">
      <c r="B173"/>
      <c r="C173"/>
      <c r="D173"/>
      <c r="E173"/>
      <c r="F173"/>
    </row>
    <row r="174" spans="2:6">
      <c r="B174"/>
      <c r="C174"/>
      <c r="D174"/>
      <c r="E174"/>
      <c r="F174"/>
    </row>
    <row r="175" spans="2:6">
      <c r="B175"/>
      <c r="C175"/>
      <c r="D175"/>
      <c r="E175"/>
      <c r="F175"/>
    </row>
    <row r="176" spans="2:6">
      <c r="B176"/>
      <c r="C176"/>
      <c r="D176"/>
      <c r="E176"/>
      <c r="F176"/>
    </row>
    <row r="177" spans="2:6">
      <c r="B177"/>
      <c r="C177"/>
      <c r="D177"/>
      <c r="E177"/>
      <c r="F177"/>
    </row>
    <row r="178" spans="2:6">
      <c r="B178"/>
      <c r="C178"/>
      <c r="D178"/>
      <c r="E178"/>
      <c r="F178"/>
    </row>
    <row r="179" spans="2:6">
      <c r="B179"/>
      <c r="C179"/>
      <c r="D179"/>
      <c r="E179"/>
      <c r="F179"/>
    </row>
    <row r="180" spans="2:6">
      <c r="B180"/>
      <c r="C180"/>
      <c r="D180"/>
      <c r="E180"/>
      <c r="F180"/>
    </row>
    <row r="181" spans="2:6">
      <c r="B181"/>
      <c r="C181"/>
      <c r="D181"/>
      <c r="E181"/>
      <c r="F181"/>
    </row>
    <row r="182" spans="2:6">
      <c r="B182"/>
      <c r="C182"/>
      <c r="D182"/>
      <c r="E182"/>
      <c r="F182"/>
    </row>
    <row r="183" spans="2:6">
      <c r="B183"/>
      <c r="C183"/>
      <c r="D183"/>
      <c r="E183"/>
      <c r="F183"/>
    </row>
    <row r="184" spans="2:6">
      <c r="B184"/>
      <c r="C184"/>
      <c r="D184"/>
      <c r="E184"/>
      <c r="F184"/>
    </row>
    <row r="185" spans="2:6">
      <c r="B185"/>
      <c r="C185"/>
      <c r="D185"/>
      <c r="E185"/>
      <c r="F185"/>
    </row>
    <row r="186" spans="2:6">
      <c r="B186"/>
      <c r="C186"/>
      <c r="D186"/>
      <c r="E186"/>
      <c r="F186"/>
    </row>
    <row r="187" spans="2:6">
      <c r="B187"/>
      <c r="C187"/>
      <c r="D187"/>
      <c r="E187"/>
      <c r="F187"/>
    </row>
    <row r="188" spans="2:6">
      <c r="B188"/>
      <c r="C188"/>
      <c r="D188"/>
      <c r="E188"/>
      <c r="F188"/>
    </row>
    <row r="189" spans="2:6">
      <c r="B189"/>
      <c r="C189"/>
      <c r="D189"/>
      <c r="E189"/>
      <c r="F189"/>
    </row>
    <row r="190" spans="2:6">
      <c r="B190"/>
      <c r="C190"/>
      <c r="D190"/>
      <c r="E190"/>
      <c r="F190"/>
    </row>
    <row r="191" spans="2:6">
      <c r="B191"/>
      <c r="C191"/>
      <c r="D191"/>
      <c r="E191"/>
      <c r="F191"/>
    </row>
    <row r="192" spans="2:6">
      <c r="B192"/>
      <c r="C192"/>
      <c r="D192"/>
      <c r="E192"/>
      <c r="F192"/>
    </row>
    <row r="193" spans="2:6">
      <c r="B193"/>
      <c r="C193"/>
      <c r="D193"/>
      <c r="E193"/>
      <c r="F193"/>
    </row>
    <row r="194" spans="2:6">
      <c r="B194"/>
      <c r="C194"/>
      <c r="D194"/>
      <c r="E194"/>
      <c r="F194"/>
    </row>
    <row r="195" spans="2:6">
      <c r="B195"/>
      <c r="C195"/>
      <c r="D195"/>
      <c r="E195"/>
      <c r="F195"/>
    </row>
    <row r="196" spans="2:6">
      <c r="B196"/>
      <c r="C196"/>
      <c r="D196"/>
      <c r="E196"/>
      <c r="F196"/>
    </row>
    <row r="197" spans="2:6">
      <c r="B197"/>
      <c r="C197"/>
      <c r="D197"/>
      <c r="E197"/>
      <c r="F197"/>
    </row>
    <row r="198" spans="2:6">
      <c r="B198"/>
      <c r="C198"/>
      <c r="D198"/>
      <c r="E198"/>
      <c r="F198"/>
    </row>
    <row r="199" spans="2:6">
      <c r="B199"/>
      <c r="C199"/>
      <c r="D199"/>
      <c r="E199"/>
      <c r="F199"/>
    </row>
    <row r="200" spans="2:6">
      <c r="B200"/>
      <c r="C200"/>
      <c r="D200"/>
      <c r="E200"/>
      <c r="F200"/>
    </row>
    <row r="201" spans="2:6">
      <c r="B201"/>
      <c r="C201"/>
      <c r="D201"/>
      <c r="E201"/>
      <c r="F201"/>
    </row>
    <row r="202" spans="2:6">
      <c r="B202"/>
      <c r="C202"/>
      <c r="D202"/>
      <c r="E202"/>
      <c r="F202"/>
    </row>
    <row r="203" spans="2:6">
      <c r="B203"/>
      <c r="C203"/>
      <c r="D203"/>
      <c r="E203"/>
      <c r="F203"/>
    </row>
    <row r="204" spans="2:6">
      <c r="B204"/>
      <c r="C204"/>
      <c r="D204"/>
      <c r="E204"/>
      <c r="F204"/>
    </row>
    <row r="205" spans="2:6">
      <c r="B205"/>
      <c r="C205"/>
      <c r="D205"/>
      <c r="E205"/>
      <c r="F205"/>
    </row>
    <row r="206" spans="2:6">
      <c r="B206"/>
      <c r="C206"/>
      <c r="D206"/>
      <c r="E206"/>
      <c r="F206"/>
    </row>
    <row r="207" spans="2:6">
      <c r="B207"/>
      <c r="C207"/>
      <c r="D207"/>
      <c r="E207"/>
      <c r="F207"/>
    </row>
    <row r="208" spans="2:6">
      <c r="B208"/>
      <c r="C208"/>
      <c r="D208"/>
      <c r="E208"/>
      <c r="F208"/>
    </row>
    <row r="209" spans="2:6">
      <c r="B209"/>
      <c r="C209"/>
      <c r="D209"/>
      <c r="E209"/>
      <c r="F209"/>
    </row>
    <row r="210" spans="2:6">
      <c r="B210"/>
      <c r="C210"/>
      <c r="D210"/>
      <c r="E210"/>
      <c r="F210"/>
    </row>
    <row r="211" spans="2:6">
      <c r="B211"/>
      <c r="C211"/>
      <c r="D211"/>
      <c r="E211"/>
      <c r="F211"/>
    </row>
    <row r="212" spans="2:6">
      <c r="B212"/>
      <c r="C212"/>
      <c r="D212"/>
      <c r="E212"/>
      <c r="F212"/>
    </row>
    <row r="213" spans="2:6">
      <c r="B213"/>
      <c r="C213"/>
      <c r="D213"/>
      <c r="E213"/>
      <c r="F213"/>
    </row>
    <row r="214" spans="2:6">
      <c r="B214"/>
      <c r="C214"/>
      <c r="D214"/>
      <c r="E214"/>
      <c r="F214"/>
    </row>
    <row r="215" spans="2:6">
      <c r="B215"/>
      <c r="C215"/>
      <c r="D215"/>
      <c r="E215"/>
      <c r="F215"/>
    </row>
    <row r="216" spans="2:6">
      <c r="B216"/>
      <c r="C216"/>
      <c r="D216"/>
      <c r="E216"/>
      <c r="F216"/>
    </row>
    <row r="217" spans="2:6">
      <c r="B217"/>
      <c r="C217"/>
      <c r="D217"/>
      <c r="E217"/>
      <c r="F217"/>
    </row>
    <row r="218" spans="2:6">
      <c r="B218"/>
      <c r="C218"/>
      <c r="D218"/>
      <c r="E218"/>
      <c r="F218"/>
    </row>
    <row r="219" spans="2:6">
      <c r="B219"/>
      <c r="C219"/>
      <c r="D219"/>
      <c r="E219"/>
      <c r="F219"/>
    </row>
    <row r="220" spans="2:6">
      <c r="B220"/>
      <c r="C220"/>
      <c r="D220"/>
      <c r="E220"/>
      <c r="F220"/>
    </row>
    <row r="221" spans="2:6">
      <c r="B221"/>
      <c r="C221"/>
      <c r="D221"/>
      <c r="E221"/>
      <c r="F221"/>
    </row>
    <row r="222" spans="2:6">
      <c r="B222"/>
      <c r="C222"/>
      <c r="D222"/>
      <c r="E222"/>
      <c r="F222"/>
    </row>
    <row r="223" spans="2:6">
      <c r="B223"/>
      <c r="C223"/>
      <c r="D223"/>
      <c r="E223"/>
      <c r="F223"/>
    </row>
    <row r="224" spans="2:6">
      <c r="B224"/>
      <c r="C224"/>
      <c r="D224"/>
      <c r="E224"/>
      <c r="F224"/>
    </row>
    <row r="225" spans="2:6">
      <c r="B225"/>
      <c r="C225"/>
      <c r="D225"/>
      <c r="E225"/>
      <c r="F225"/>
    </row>
    <row r="226" spans="2:6">
      <c r="B226"/>
      <c r="C226"/>
      <c r="D226"/>
      <c r="E226"/>
      <c r="F226"/>
    </row>
    <row r="227" spans="2:6">
      <c r="B227"/>
      <c r="C227"/>
      <c r="D227"/>
      <c r="E227"/>
      <c r="F227"/>
    </row>
    <row r="228" spans="2:6">
      <c r="B228"/>
      <c r="C228"/>
      <c r="D228"/>
      <c r="E228"/>
      <c r="F228"/>
    </row>
    <row r="229" spans="2:6">
      <c r="B229"/>
      <c r="C229"/>
      <c r="D229"/>
      <c r="E229"/>
      <c r="F229"/>
    </row>
    <row r="230" spans="2:6">
      <c r="B230"/>
      <c r="C230"/>
      <c r="D230"/>
      <c r="E230"/>
      <c r="F230"/>
    </row>
    <row r="231" spans="2:6">
      <c r="B231"/>
      <c r="C231"/>
      <c r="D231"/>
      <c r="E231"/>
      <c r="F231"/>
    </row>
    <row r="232" spans="2:6">
      <c r="B232"/>
      <c r="C232"/>
      <c r="D232"/>
      <c r="E232"/>
      <c r="F232"/>
    </row>
    <row r="233" spans="2:6">
      <c r="B233"/>
      <c r="C233"/>
      <c r="D233"/>
      <c r="E233"/>
      <c r="F233"/>
    </row>
    <row r="234" spans="2:6">
      <c r="B234"/>
      <c r="C234"/>
      <c r="D234"/>
      <c r="E234"/>
      <c r="F234"/>
    </row>
    <row r="235" spans="2:6">
      <c r="B235"/>
      <c r="C235"/>
      <c r="D235"/>
      <c r="E235"/>
      <c r="F235"/>
    </row>
    <row r="236" spans="2:6">
      <c r="B236"/>
      <c r="C236"/>
      <c r="D236"/>
      <c r="E236"/>
      <c r="F236"/>
    </row>
    <row r="237" spans="2:6">
      <c r="B237"/>
      <c r="C237"/>
      <c r="D237"/>
      <c r="E237"/>
      <c r="F237"/>
    </row>
    <row r="238" spans="2:6">
      <c r="B238"/>
      <c r="C238"/>
      <c r="D238"/>
      <c r="E238"/>
      <c r="F238"/>
    </row>
    <row r="239" spans="2:6">
      <c r="B239"/>
      <c r="C239"/>
      <c r="D239"/>
      <c r="E239"/>
      <c r="F239"/>
    </row>
    <row r="240" spans="2:6">
      <c r="B240"/>
      <c r="C240"/>
      <c r="D240"/>
      <c r="E240"/>
      <c r="F240"/>
    </row>
    <row r="241" spans="2:6">
      <c r="B241"/>
      <c r="C241"/>
      <c r="D241"/>
      <c r="E241"/>
      <c r="F241"/>
    </row>
    <row r="242" spans="2:6">
      <c r="B242"/>
      <c r="C242"/>
      <c r="D242"/>
      <c r="E242"/>
      <c r="F242"/>
    </row>
    <row r="243" spans="2:6">
      <c r="B243"/>
      <c r="C243"/>
      <c r="D243"/>
      <c r="E243"/>
      <c r="F243"/>
    </row>
    <row r="244" spans="2:6">
      <c r="B244"/>
      <c r="C244"/>
      <c r="D244"/>
      <c r="E244"/>
      <c r="F244"/>
    </row>
    <row r="245" spans="2:6">
      <c r="B245"/>
      <c r="C245"/>
      <c r="D245"/>
      <c r="E245"/>
      <c r="F245"/>
    </row>
    <row r="246" spans="2:6">
      <c r="B246"/>
      <c r="C246"/>
      <c r="D246"/>
      <c r="E246"/>
      <c r="F246"/>
    </row>
    <row r="247" spans="2:6">
      <c r="B247"/>
      <c r="C247"/>
      <c r="D247"/>
      <c r="E247"/>
      <c r="F247"/>
    </row>
    <row r="248" spans="2:6">
      <c r="B248"/>
      <c r="C248"/>
      <c r="D248"/>
      <c r="E248"/>
      <c r="F248"/>
    </row>
    <row r="249" spans="2:6">
      <c r="B249"/>
      <c r="C249"/>
      <c r="D249"/>
      <c r="E249"/>
      <c r="F249"/>
    </row>
    <row r="250" spans="2:6">
      <c r="B250"/>
      <c r="C250"/>
      <c r="D250"/>
      <c r="E250"/>
      <c r="F250"/>
    </row>
    <row r="251" spans="2:6">
      <c r="B251"/>
      <c r="C251"/>
      <c r="D251"/>
      <c r="E251"/>
      <c r="F251"/>
    </row>
    <row r="252" spans="2:6">
      <c r="B252"/>
      <c r="C252"/>
      <c r="D252"/>
      <c r="E252"/>
      <c r="F252"/>
    </row>
    <row r="253" spans="2:6">
      <c r="B253"/>
      <c r="C253"/>
      <c r="D253"/>
      <c r="E253"/>
      <c r="F253"/>
    </row>
    <row r="254" spans="2:6">
      <c r="B254"/>
      <c r="C254"/>
      <c r="D254"/>
      <c r="E254"/>
      <c r="F254"/>
    </row>
    <row r="255" spans="2:6">
      <c r="B255"/>
      <c r="C255"/>
      <c r="D255"/>
      <c r="E255"/>
      <c r="F255"/>
    </row>
    <row r="256" spans="2:6">
      <c r="B256"/>
      <c r="C256"/>
      <c r="D256"/>
      <c r="E256"/>
      <c r="F256"/>
    </row>
    <row r="257" spans="2:6">
      <c r="B257"/>
      <c r="C257"/>
      <c r="D257"/>
      <c r="E257"/>
      <c r="F257"/>
    </row>
    <row r="258" spans="2:6">
      <c r="B258"/>
      <c r="C258"/>
      <c r="D258"/>
      <c r="E258"/>
      <c r="F258"/>
    </row>
    <row r="259" spans="2:6">
      <c r="B259"/>
      <c r="C259"/>
      <c r="D259"/>
      <c r="E259"/>
      <c r="F259"/>
    </row>
    <row r="260" spans="2:6">
      <c r="B260"/>
      <c r="C260"/>
      <c r="D260"/>
      <c r="E260"/>
      <c r="F260"/>
    </row>
    <row r="261" spans="2:6">
      <c r="B261"/>
      <c r="C261"/>
      <c r="D261"/>
      <c r="E261"/>
      <c r="F261"/>
    </row>
    <row r="262" spans="2:6">
      <c r="B262"/>
      <c r="C262"/>
      <c r="D262"/>
      <c r="E262"/>
      <c r="F262"/>
    </row>
    <row r="263" spans="2:6">
      <c r="B263"/>
      <c r="C263"/>
      <c r="D263"/>
      <c r="E263"/>
      <c r="F263"/>
    </row>
    <row r="264" spans="2:6">
      <c r="B264"/>
      <c r="C264"/>
      <c r="D264"/>
      <c r="E264"/>
      <c r="F264"/>
    </row>
    <row r="265" spans="2:6">
      <c r="B265"/>
      <c r="C265"/>
      <c r="D265"/>
      <c r="E265"/>
      <c r="F265"/>
    </row>
    <row r="266" spans="2:6">
      <c r="B266"/>
      <c r="C266"/>
      <c r="D266"/>
      <c r="E266"/>
      <c r="F266"/>
    </row>
    <row r="267" spans="2:6">
      <c r="B267"/>
      <c r="C267"/>
      <c r="D267"/>
      <c r="E267"/>
      <c r="F267"/>
    </row>
    <row r="268" spans="2:6">
      <c r="B268"/>
      <c r="C268"/>
      <c r="D268"/>
      <c r="E268"/>
      <c r="F268"/>
    </row>
    <row r="269" spans="2:6">
      <c r="B269"/>
      <c r="C269"/>
      <c r="D269"/>
      <c r="E269"/>
      <c r="F269"/>
    </row>
    <row r="270" spans="2:6">
      <c r="B270"/>
      <c r="C270"/>
      <c r="D270"/>
      <c r="E270"/>
      <c r="F270"/>
    </row>
    <row r="271" spans="2:6">
      <c r="B271"/>
      <c r="C271"/>
      <c r="D271"/>
      <c r="E271"/>
      <c r="F271"/>
    </row>
    <row r="272" spans="2:6">
      <c r="B272"/>
      <c r="C272"/>
      <c r="D272"/>
      <c r="E272"/>
      <c r="F272"/>
    </row>
    <row r="273" spans="2:6">
      <c r="B273"/>
      <c r="C273"/>
      <c r="D273"/>
      <c r="E273"/>
      <c r="F273"/>
    </row>
    <row r="274" spans="2:6">
      <c r="B274"/>
      <c r="C274"/>
      <c r="D274"/>
      <c r="E274"/>
      <c r="F274"/>
    </row>
    <row r="275" spans="2:6">
      <c r="B275"/>
      <c r="C275"/>
      <c r="D275"/>
      <c r="E275"/>
      <c r="F275"/>
    </row>
    <row r="276" spans="2:6">
      <c r="B276"/>
      <c r="C276"/>
      <c r="D276"/>
      <c r="E276"/>
      <c r="F276"/>
    </row>
    <row r="277" spans="2:6">
      <c r="B277"/>
      <c r="C277"/>
      <c r="D277"/>
      <c r="E277"/>
      <c r="F277"/>
    </row>
    <row r="278" spans="2:6">
      <c r="B278"/>
      <c r="C278"/>
      <c r="D278"/>
      <c r="E278"/>
      <c r="F278"/>
    </row>
    <row r="279" spans="2:6">
      <c r="B279"/>
      <c r="C279"/>
      <c r="D279"/>
      <c r="E279"/>
      <c r="F279"/>
    </row>
    <row r="280" spans="2:6">
      <c r="B280"/>
      <c r="C280"/>
      <c r="D280"/>
      <c r="E280"/>
      <c r="F280"/>
    </row>
    <row r="281" spans="2:6">
      <c r="B281"/>
      <c r="C281"/>
      <c r="D281"/>
      <c r="E281"/>
      <c r="F281"/>
    </row>
    <row r="282" spans="2:6">
      <c r="B282"/>
      <c r="C282"/>
      <c r="D282"/>
      <c r="E282"/>
      <c r="F282"/>
    </row>
    <row r="283" spans="2:6">
      <c r="B283"/>
      <c r="C283"/>
      <c r="D283"/>
      <c r="E283"/>
      <c r="F283"/>
    </row>
    <row r="284" spans="2:6">
      <c r="B284"/>
      <c r="C284"/>
      <c r="D284"/>
      <c r="E284"/>
      <c r="F284"/>
    </row>
    <row r="285" spans="2:6">
      <c r="B285"/>
      <c r="C285"/>
      <c r="D285"/>
      <c r="E285"/>
      <c r="F285"/>
    </row>
    <row r="286" spans="2:6">
      <c r="B286"/>
      <c r="C286"/>
      <c r="D286"/>
      <c r="E286"/>
      <c r="F286"/>
    </row>
    <row r="287" spans="2:6">
      <c r="B287"/>
      <c r="C287"/>
      <c r="D287"/>
      <c r="E287"/>
      <c r="F287"/>
    </row>
    <row r="288" spans="2:6">
      <c r="B288"/>
      <c r="C288"/>
      <c r="D288"/>
      <c r="E288"/>
      <c r="F288"/>
    </row>
    <row r="289" spans="2:6">
      <c r="B289"/>
      <c r="C289"/>
      <c r="D289"/>
      <c r="E289"/>
      <c r="F289"/>
    </row>
    <row r="290" spans="2:6">
      <c r="B290"/>
      <c r="C290"/>
      <c r="D290"/>
      <c r="E290"/>
      <c r="F290"/>
    </row>
    <row r="291" spans="2:6">
      <c r="B291"/>
      <c r="C291"/>
      <c r="D291"/>
      <c r="E291"/>
      <c r="F291"/>
    </row>
    <row r="292" spans="2:6">
      <c r="B292"/>
      <c r="C292"/>
      <c r="D292"/>
      <c r="E292"/>
      <c r="F292"/>
    </row>
    <row r="293" spans="2:6">
      <c r="B293"/>
      <c r="C293"/>
      <c r="D293"/>
      <c r="E293"/>
      <c r="F293"/>
    </row>
    <row r="294" spans="2:6">
      <c r="B294"/>
      <c r="C294"/>
      <c r="D294"/>
      <c r="E294"/>
      <c r="F294"/>
    </row>
    <row r="295" spans="2:6">
      <c r="B295"/>
      <c r="C295"/>
      <c r="D295"/>
      <c r="E295"/>
      <c r="F295"/>
    </row>
    <row r="296" spans="2:6">
      <c r="B296"/>
      <c r="C296"/>
      <c r="D296"/>
      <c r="E296"/>
      <c r="F296"/>
    </row>
    <row r="297" spans="2:6">
      <c r="B297"/>
      <c r="C297"/>
      <c r="D297"/>
      <c r="E297"/>
      <c r="F297"/>
    </row>
    <row r="298" spans="2:6">
      <c r="B298"/>
      <c r="C298"/>
      <c r="D298"/>
      <c r="E298"/>
      <c r="F298"/>
    </row>
    <row r="299" spans="2:6">
      <c r="B299"/>
      <c r="C299"/>
      <c r="D299"/>
      <c r="E299"/>
      <c r="F299"/>
    </row>
    <row r="300" spans="2:6">
      <c r="B300"/>
      <c r="C300"/>
      <c r="D300"/>
      <c r="E300"/>
      <c r="F300"/>
    </row>
    <row r="301" spans="2:6">
      <c r="B301"/>
      <c r="C301"/>
      <c r="D301"/>
      <c r="E301"/>
      <c r="F301"/>
    </row>
    <row r="302" spans="2:6">
      <c r="B302"/>
      <c r="C302"/>
      <c r="D302"/>
      <c r="E302"/>
      <c r="F302"/>
    </row>
    <row r="303" spans="2:6">
      <c r="B303"/>
      <c r="C303"/>
      <c r="D303"/>
      <c r="E303"/>
      <c r="F303"/>
    </row>
    <row r="304" spans="2:6">
      <c r="B304"/>
      <c r="C304"/>
      <c r="D304"/>
      <c r="E304"/>
      <c r="F304"/>
    </row>
    <row r="305" spans="2:6">
      <c r="B305"/>
      <c r="C305"/>
      <c r="D305"/>
      <c r="E305"/>
      <c r="F305"/>
    </row>
    <row r="306" spans="2:6">
      <c r="B306"/>
      <c r="C306"/>
      <c r="D306"/>
      <c r="E306"/>
      <c r="F306"/>
    </row>
    <row r="307" spans="2:6">
      <c r="B307"/>
      <c r="C307"/>
      <c r="D307"/>
      <c r="E307"/>
      <c r="F307"/>
    </row>
    <row r="308" spans="2:6">
      <c r="B308"/>
      <c r="C308"/>
      <c r="D308"/>
      <c r="E308"/>
      <c r="F308"/>
    </row>
    <row r="309" spans="2:6">
      <c r="B309"/>
      <c r="C309"/>
      <c r="D309"/>
      <c r="E309"/>
      <c r="F309"/>
    </row>
    <row r="310" spans="2:6">
      <c r="B310"/>
      <c r="C310"/>
      <c r="D310"/>
      <c r="E310"/>
      <c r="F310"/>
    </row>
    <row r="311" spans="2:6">
      <c r="B311"/>
      <c r="C311"/>
      <c r="D311"/>
      <c r="E311"/>
      <c r="F311"/>
    </row>
    <row r="312" spans="2:6">
      <c r="B312"/>
      <c r="C312"/>
      <c r="D312"/>
      <c r="E312"/>
      <c r="F312"/>
    </row>
    <row r="313" spans="2:6">
      <c r="B313"/>
      <c r="C313"/>
      <c r="D313"/>
      <c r="E313"/>
      <c r="F313"/>
    </row>
    <row r="314" spans="2:6">
      <c r="B314"/>
      <c r="C314"/>
      <c r="D314"/>
      <c r="E314"/>
      <c r="F314"/>
    </row>
    <row r="315" spans="2:6">
      <c r="B315"/>
      <c r="C315"/>
      <c r="D315"/>
      <c r="E315"/>
      <c r="F315"/>
    </row>
    <row r="316" spans="2:6">
      <c r="B316"/>
      <c r="C316"/>
      <c r="D316"/>
      <c r="E316"/>
      <c r="F316"/>
    </row>
    <row r="317" spans="2:6">
      <c r="B317"/>
      <c r="C317"/>
      <c r="D317"/>
      <c r="E317"/>
      <c r="F317"/>
    </row>
    <row r="318" spans="2:6">
      <c r="B318"/>
      <c r="C318"/>
      <c r="D318"/>
      <c r="E318"/>
      <c r="F318"/>
    </row>
    <row r="319" spans="2:6">
      <c r="B319"/>
      <c r="C319"/>
      <c r="D319"/>
      <c r="E319"/>
      <c r="F319"/>
    </row>
    <row r="320" spans="2:6">
      <c r="B320"/>
      <c r="C320"/>
      <c r="D320"/>
      <c r="E320"/>
      <c r="F320"/>
    </row>
    <row r="321" spans="2:6">
      <c r="B321"/>
      <c r="C321"/>
      <c r="D321"/>
      <c r="E321"/>
      <c r="F321"/>
    </row>
    <row r="322" spans="2:6">
      <c r="B322"/>
      <c r="C322"/>
      <c r="D322"/>
      <c r="E322"/>
      <c r="F322"/>
    </row>
    <row r="323" spans="2:6">
      <c r="B323"/>
      <c r="C323"/>
      <c r="D323"/>
      <c r="E323"/>
      <c r="F323"/>
    </row>
    <row r="324" spans="2:6">
      <c r="B324"/>
      <c r="C324"/>
      <c r="D324"/>
      <c r="E324"/>
      <c r="F324"/>
    </row>
    <row r="325" spans="2:6">
      <c r="B325"/>
      <c r="C325"/>
      <c r="D325"/>
      <c r="E325"/>
      <c r="F325"/>
    </row>
    <row r="326" spans="2:6">
      <c r="B326"/>
      <c r="C326"/>
      <c r="D326"/>
      <c r="E326"/>
      <c r="F326"/>
    </row>
    <row r="327" spans="2:6">
      <c r="B327"/>
      <c r="C327"/>
      <c r="D327"/>
      <c r="E327"/>
      <c r="F327"/>
    </row>
    <row r="328" spans="2:6">
      <c r="B328"/>
      <c r="C328"/>
      <c r="D328"/>
      <c r="E328"/>
      <c r="F328"/>
    </row>
    <row r="329" spans="2:6">
      <c r="B329"/>
      <c r="C329"/>
      <c r="D329"/>
      <c r="E329"/>
      <c r="F329"/>
    </row>
    <row r="330" spans="2:6">
      <c r="B330"/>
      <c r="C330"/>
      <c r="D330"/>
      <c r="E330"/>
      <c r="F330"/>
    </row>
    <row r="331" spans="2:6">
      <c r="B331"/>
      <c r="C331"/>
      <c r="D331"/>
      <c r="E331"/>
      <c r="F331"/>
    </row>
    <row r="332" spans="2:6">
      <c r="B332"/>
      <c r="C332"/>
      <c r="D332"/>
      <c r="E332"/>
      <c r="F332"/>
    </row>
    <row r="333" spans="2:6">
      <c r="B333"/>
      <c r="C333"/>
      <c r="D333"/>
      <c r="E333"/>
      <c r="F333"/>
    </row>
    <row r="334" spans="2:6">
      <c r="B334"/>
      <c r="C334"/>
      <c r="D334"/>
      <c r="E334"/>
      <c r="F334"/>
    </row>
    <row r="335" spans="2:6">
      <c r="B335"/>
      <c r="C335"/>
      <c r="D335"/>
      <c r="E335"/>
      <c r="F335"/>
    </row>
    <row r="336" spans="2:6">
      <c r="B336"/>
      <c r="C336"/>
      <c r="D336"/>
      <c r="E336"/>
      <c r="F336"/>
    </row>
    <row r="337" spans="2:6">
      <c r="B337"/>
      <c r="C337"/>
      <c r="D337"/>
      <c r="E337"/>
      <c r="F337"/>
    </row>
    <row r="338" spans="2:6">
      <c r="B338"/>
      <c r="C338"/>
      <c r="D338"/>
      <c r="E338"/>
      <c r="F338"/>
    </row>
    <row r="339" spans="2:6">
      <c r="B339"/>
      <c r="C339"/>
      <c r="D339"/>
      <c r="E339"/>
      <c r="F339"/>
    </row>
    <row r="340" spans="2:6">
      <c r="B340"/>
      <c r="C340"/>
      <c r="D340"/>
      <c r="E340"/>
      <c r="F340"/>
    </row>
    <row r="341" spans="2:6">
      <c r="B341"/>
      <c r="C341"/>
      <c r="D341"/>
      <c r="E341"/>
      <c r="F341"/>
    </row>
    <row r="342" spans="2:6">
      <c r="B342"/>
      <c r="C342"/>
      <c r="D342"/>
      <c r="E342"/>
      <c r="F342"/>
    </row>
    <row r="343" spans="2:6">
      <c r="B343"/>
      <c r="C343"/>
      <c r="D343"/>
      <c r="E343"/>
      <c r="F343"/>
    </row>
    <row r="344" spans="2:6">
      <c r="B344"/>
      <c r="C344"/>
      <c r="D344"/>
      <c r="E344"/>
      <c r="F344"/>
    </row>
    <row r="345" spans="2:6">
      <c r="B345"/>
      <c r="C345"/>
      <c r="D345"/>
      <c r="E345"/>
      <c r="F345"/>
    </row>
    <row r="346" spans="2:6">
      <c r="B346"/>
      <c r="C346"/>
      <c r="D346"/>
      <c r="E346"/>
      <c r="F346"/>
    </row>
    <row r="347" spans="2:6">
      <c r="B347"/>
      <c r="C347"/>
      <c r="D347"/>
      <c r="E347"/>
      <c r="F347"/>
    </row>
    <row r="348" spans="2:6">
      <c r="B348"/>
      <c r="C348"/>
      <c r="D348"/>
      <c r="E348"/>
      <c r="F348"/>
    </row>
    <row r="349" spans="2:6">
      <c r="B349"/>
      <c r="C349"/>
      <c r="D349"/>
      <c r="E349"/>
      <c r="F349"/>
    </row>
    <row r="350" spans="2:6">
      <c r="B350"/>
      <c r="C350"/>
      <c r="D350"/>
      <c r="E350"/>
      <c r="F350"/>
    </row>
    <row r="351" spans="2:6">
      <c r="B351"/>
      <c r="C351"/>
      <c r="D351"/>
      <c r="E351"/>
      <c r="F351"/>
    </row>
    <row r="352" spans="2:6">
      <c r="B352"/>
      <c r="C352"/>
      <c r="D352"/>
      <c r="E352"/>
      <c r="F352"/>
    </row>
    <row r="353" spans="2:6">
      <c r="B353"/>
      <c r="C353"/>
      <c r="D353"/>
      <c r="E353"/>
      <c r="F353"/>
    </row>
    <row r="354" spans="2:6">
      <c r="B354"/>
      <c r="C354"/>
      <c r="D354"/>
      <c r="E354"/>
      <c r="F354"/>
    </row>
    <row r="355" spans="2:6">
      <c r="B355"/>
      <c r="C355"/>
      <c r="D355"/>
      <c r="E355"/>
      <c r="F355"/>
    </row>
    <row r="356" spans="2:6">
      <c r="B356"/>
      <c r="C356"/>
      <c r="D356"/>
      <c r="E356"/>
      <c r="F356"/>
    </row>
    <row r="357" spans="2:6">
      <c r="B357"/>
      <c r="C357"/>
      <c r="D357"/>
      <c r="E357"/>
      <c r="F357"/>
    </row>
    <row r="358" spans="2:6">
      <c r="B358"/>
      <c r="C358"/>
      <c r="D358"/>
      <c r="E358"/>
      <c r="F358"/>
    </row>
    <row r="359" spans="2:6">
      <c r="B359"/>
      <c r="C359"/>
      <c r="D359"/>
      <c r="E359"/>
      <c r="F359"/>
    </row>
    <row r="360" spans="2:6">
      <c r="B360"/>
      <c r="C360"/>
      <c r="D360"/>
      <c r="E360"/>
      <c r="F360"/>
    </row>
    <row r="361" spans="2:6">
      <c r="B361"/>
      <c r="C361"/>
      <c r="D361"/>
      <c r="E361"/>
      <c r="F361"/>
    </row>
    <row r="362" spans="2:6">
      <c r="B362"/>
      <c r="C362"/>
      <c r="D362"/>
      <c r="E362"/>
      <c r="F362"/>
    </row>
    <row r="363" spans="2:6">
      <c r="B363"/>
      <c r="C363"/>
      <c r="D363"/>
      <c r="E363"/>
      <c r="F363"/>
    </row>
    <row r="364" spans="2:6">
      <c r="B364"/>
      <c r="C364"/>
      <c r="D364"/>
      <c r="E364"/>
      <c r="F364"/>
    </row>
    <row r="365" spans="2:6">
      <c r="B365"/>
      <c r="C365"/>
      <c r="D365"/>
      <c r="E365"/>
      <c r="F365"/>
    </row>
    <row r="366" spans="2:6">
      <c r="B366"/>
      <c r="C366"/>
      <c r="D366"/>
      <c r="E366"/>
      <c r="F366"/>
    </row>
    <row r="367" spans="2:6">
      <c r="B367"/>
      <c r="C367"/>
      <c r="D367"/>
      <c r="E367"/>
      <c r="F367"/>
    </row>
    <row r="368" spans="2:6">
      <c r="B368"/>
      <c r="C368"/>
      <c r="D368"/>
      <c r="E368"/>
      <c r="F368"/>
    </row>
    <row r="369" spans="2:6">
      <c r="B369"/>
      <c r="C369"/>
      <c r="D369"/>
      <c r="E369"/>
      <c r="F369"/>
    </row>
    <row r="370" spans="2:6">
      <c r="B370"/>
      <c r="C370"/>
      <c r="D370"/>
      <c r="E370"/>
      <c r="F370"/>
    </row>
    <row r="371" spans="2:6">
      <c r="B371"/>
      <c r="C371"/>
      <c r="D371"/>
      <c r="E371"/>
      <c r="F371"/>
    </row>
    <row r="372" spans="2:6">
      <c r="B372"/>
      <c r="C372"/>
      <c r="D372"/>
      <c r="E372"/>
      <c r="F372"/>
    </row>
    <row r="373" spans="2:6">
      <c r="B373"/>
      <c r="C373"/>
      <c r="D373"/>
      <c r="E373"/>
      <c r="F373"/>
    </row>
    <row r="374" spans="2:6">
      <c r="B374"/>
      <c r="C374"/>
      <c r="D374"/>
      <c r="E374"/>
      <c r="F374"/>
    </row>
    <row r="375" spans="2:6">
      <c r="B375"/>
      <c r="C375"/>
      <c r="D375"/>
      <c r="E375"/>
      <c r="F375"/>
    </row>
    <row r="376" spans="2:6">
      <c r="B376"/>
      <c r="C376"/>
      <c r="D376"/>
      <c r="E376"/>
      <c r="F376"/>
    </row>
    <row r="377" spans="2:6">
      <c r="B377"/>
      <c r="C377"/>
      <c r="D377"/>
      <c r="E377"/>
      <c r="F377"/>
    </row>
    <row r="378" spans="2:6">
      <c r="B378"/>
      <c r="C378"/>
      <c r="D378"/>
      <c r="E378"/>
      <c r="F378"/>
    </row>
    <row r="379" spans="2:6">
      <c r="B379"/>
      <c r="C379"/>
      <c r="D379"/>
      <c r="E379"/>
      <c r="F379"/>
    </row>
    <row r="380" spans="2:6">
      <c r="B380"/>
      <c r="C380"/>
      <c r="D380"/>
      <c r="E380"/>
      <c r="F380"/>
    </row>
    <row r="381" spans="2:6">
      <c r="B381"/>
      <c r="C381"/>
      <c r="D381"/>
      <c r="E381"/>
      <c r="F381"/>
    </row>
    <row r="382" spans="2:6">
      <c r="B382"/>
      <c r="C382"/>
      <c r="D382"/>
      <c r="E382"/>
      <c r="F382"/>
    </row>
    <row r="383" spans="2:6">
      <c r="B383"/>
      <c r="C383"/>
      <c r="D383"/>
      <c r="E383"/>
      <c r="F383"/>
    </row>
    <row r="384" spans="2:6">
      <c r="B384"/>
      <c r="C384"/>
      <c r="D384"/>
      <c r="E384"/>
      <c r="F384"/>
    </row>
    <row r="385" spans="2:6">
      <c r="B385"/>
      <c r="C385"/>
      <c r="D385"/>
      <c r="E385"/>
      <c r="F385"/>
    </row>
    <row r="386" spans="2:6">
      <c r="B386"/>
      <c r="C386"/>
      <c r="D386"/>
      <c r="E386"/>
      <c r="F386"/>
    </row>
    <row r="387" spans="2:6">
      <c r="B387"/>
      <c r="C387"/>
      <c r="D387"/>
      <c r="E387"/>
      <c r="F387"/>
    </row>
    <row r="388" spans="2:6">
      <c r="B388"/>
      <c r="C388"/>
      <c r="D388"/>
      <c r="E388"/>
      <c r="F388"/>
    </row>
    <row r="389" spans="2:6">
      <c r="B389"/>
      <c r="C389"/>
      <c r="D389"/>
      <c r="E389"/>
      <c r="F389"/>
    </row>
    <row r="390" spans="2:6">
      <c r="B390"/>
      <c r="C390"/>
      <c r="D390"/>
      <c r="E390"/>
      <c r="F390"/>
    </row>
    <row r="391" spans="2:6">
      <c r="B391"/>
      <c r="C391"/>
      <c r="D391"/>
      <c r="E391"/>
      <c r="F391"/>
    </row>
    <row r="392" spans="2:6">
      <c r="B392"/>
      <c r="C392"/>
      <c r="D392"/>
      <c r="E392"/>
      <c r="F392"/>
    </row>
    <row r="393" spans="2:6">
      <c r="B393"/>
      <c r="C393"/>
      <c r="D393"/>
      <c r="E393"/>
      <c r="F393"/>
    </row>
    <row r="394" spans="2:6">
      <c r="B394"/>
      <c r="C394"/>
      <c r="D394"/>
      <c r="E394"/>
      <c r="F394"/>
    </row>
    <row r="395" spans="2:6">
      <c r="B395"/>
      <c r="C395"/>
      <c r="D395"/>
      <c r="E395"/>
      <c r="F395"/>
    </row>
    <row r="396" spans="2:6">
      <c r="B396"/>
      <c r="C396"/>
      <c r="D396"/>
      <c r="E396"/>
      <c r="F396"/>
    </row>
    <row r="397" spans="2:6">
      <c r="B397"/>
      <c r="C397"/>
      <c r="D397"/>
      <c r="E397"/>
      <c r="F397"/>
    </row>
    <row r="398" spans="2:6">
      <c r="B398"/>
      <c r="C398"/>
      <c r="D398"/>
      <c r="E398"/>
      <c r="F398"/>
    </row>
    <row r="399" spans="2:6">
      <c r="B399"/>
      <c r="C399"/>
      <c r="D399"/>
      <c r="E399"/>
      <c r="F399"/>
    </row>
    <row r="400" spans="2:6">
      <c r="B400"/>
      <c r="C400"/>
      <c r="D400"/>
      <c r="E400"/>
      <c r="F400"/>
    </row>
    <row r="401" spans="2:6">
      <c r="B401"/>
      <c r="C401"/>
      <c r="D401"/>
      <c r="E401"/>
      <c r="F401"/>
    </row>
    <row r="402" spans="2:6">
      <c r="B402"/>
      <c r="C402"/>
      <c r="D402"/>
      <c r="E402"/>
      <c r="F402"/>
    </row>
    <row r="403" spans="2:6">
      <c r="B403"/>
      <c r="C403"/>
      <c r="D403"/>
      <c r="E403"/>
      <c r="F403"/>
    </row>
    <row r="404" spans="2:6">
      <c r="B404"/>
      <c r="C404"/>
      <c r="D404"/>
      <c r="E404"/>
      <c r="F404"/>
    </row>
    <row r="405" spans="2:6">
      <c r="B405"/>
      <c r="C405"/>
      <c r="D405"/>
      <c r="E405"/>
      <c r="F405"/>
    </row>
    <row r="406" spans="2:6">
      <c r="B406"/>
      <c r="C406"/>
      <c r="D406"/>
      <c r="E406"/>
      <c r="F406"/>
    </row>
    <row r="407" spans="2:6">
      <c r="B407"/>
      <c r="C407"/>
      <c r="D407"/>
      <c r="E407"/>
      <c r="F407"/>
    </row>
    <row r="408" spans="2:6">
      <c r="B408"/>
      <c r="C408"/>
      <c r="D408"/>
      <c r="E408"/>
      <c r="F408"/>
    </row>
    <row r="409" spans="2:6">
      <c r="B409"/>
      <c r="C409"/>
      <c r="D409"/>
      <c r="E409"/>
      <c r="F409"/>
    </row>
    <row r="410" spans="2:6">
      <c r="B410"/>
      <c r="C410"/>
      <c r="D410"/>
      <c r="E410"/>
      <c r="F410"/>
    </row>
    <row r="411" spans="2:6">
      <c r="B411"/>
      <c r="C411"/>
      <c r="D411"/>
      <c r="E411"/>
      <c r="F411"/>
    </row>
    <row r="412" spans="2:6">
      <c r="B412"/>
      <c r="C412"/>
      <c r="D412"/>
      <c r="E412"/>
      <c r="F412"/>
    </row>
    <row r="413" spans="2:6">
      <c r="B413"/>
      <c r="C413"/>
      <c r="D413"/>
      <c r="E413"/>
      <c r="F413"/>
    </row>
    <row r="414" spans="2:6">
      <c r="B414"/>
      <c r="C414"/>
      <c r="D414"/>
      <c r="E414"/>
      <c r="F414"/>
    </row>
    <row r="415" spans="2:6">
      <c r="B415"/>
      <c r="C415"/>
      <c r="D415"/>
      <c r="E415"/>
      <c r="F415"/>
    </row>
    <row r="416" spans="2:6">
      <c r="B416"/>
      <c r="C416"/>
      <c r="D416"/>
      <c r="E416"/>
      <c r="F416"/>
    </row>
    <row r="417" spans="2:6">
      <c r="B417"/>
      <c r="C417"/>
      <c r="D417"/>
      <c r="E417"/>
      <c r="F417"/>
    </row>
    <row r="418" spans="2:6">
      <c r="B418"/>
      <c r="C418"/>
      <c r="D418"/>
      <c r="E418"/>
      <c r="F418"/>
    </row>
    <row r="419" spans="2:6">
      <c r="B419"/>
      <c r="C419"/>
      <c r="D419"/>
      <c r="E419"/>
      <c r="F419"/>
    </row>
    <row r="420" spans="2:6">
      <c r="B420"/>
      <c r="C420"/>
      <c r="D420"/>
      <c r="E420"/>
      <c r="F420"/>
    </row>
    <row r="421" spans="2:6">
      <c r="B421"/>
      <c r="C421"/>
      <c r="D421"/>
      <c r="E421"/>
      <c r="F421"/>
    </row>
    <row r="422" spans="2:6">
      <c r="B422"/>
      <c r="C422"/>
      <c r="D422"/>
      <c r="E422"/>
      <c r="F422"/>
    </row>
  </sheetData>
  <pageMargins left="0.7" right="0.7" top="0.75" bottom="0.75" header="0.3" footer="0.3"/>
  <ignoredErrors>
    <ignoredError sqref="H25:H26" formulaRange="1"/>
  </ignoredErrors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J421"/>
  <sheetViews>
    <sheetView workbookViewId="0">
      <selection activeCell="I3" sqref="I3:I7"/>
    </sheetView>
  </sheetViews>
  <sheetFormatPr defaultRowHeight="15"/>
  <cols>
    <col min="6" max="6" width="9.140625" style="23"/>
    <col min="8" max="8" width="25.5703125" bestFit="1" customWidth="1"/>
  </cols>
  <sheetData>
    <row r="1" spans="1:10" s="23" customFormat="1">
      <c r="I1" s="4" t="s">
        <v>49</v>
      </c>
      <c r="J1" s="23">
        <v>1</v>
      </c>
    </row>
    <row r="2" spans="1:10">
      <c r="A2" s="32" t="s">
        <v>48</v>
      </c>
      <c r="B2" t="s">
        <v>49</v>
      </c>
      <c r="C2" t="s">
        <v>50</v>
      </c>
      <c r="D2" t="s">
        <v>51</v>
      </c>
      <c r="E2" s="23" t="s">
        <v>66</v>
      </c>
      <c r="F2" s="23" t="s">
        <v>65</v>
      </c>
    </row>
    <row r="3" spans="1:10" ht="15.75" thickBot="1">
      <c r="A3" s="25" t="s">
        <v>52</v>
      </c>
      <c r="B3" t="s">
        <v>53</v>
      </c>
      <c r="C3" t="s">
        <v>0</v>
      </c>
      <c r="D3" t="s">
        <v>1</v>
      </c>
      <c r="E3" s="23" t="s">
        <v>53</v>
      </c>
      <c r="F3" s="23" t="s">
        <v>1</v>
      </c>
      <c r="H3" s="18" t="s">
        <v>60</v>
      </c>
      <c r="I3" s="30">
        <f ca="1">IF(AVERAGE(INDIRECT("F"&amp;MATCH(MAX(F1:F322),F1:F322,0)&amp;":"&amp;"F"&amp;MATCH(MAX(F1:F322),F1:F322,0)+100))&lt;INDIRECT("F"&amp;MATCH(MAX(F1:F322),F1:F322,0)),1,0)</f>
        <v>1</v>
      </c>
    </row>
    <row r="4" spans="1:10" ht="15.75" thickBot="1">
      <c r="A4" s="2">
        <v>1E-3</v>
      </c>
      <c r="B4" s="2">
        <v>-5.0179999999999999E-3</v>
      </c>
      <c r="C4" s="2">
        <v>0.32850000000000001</v>
      </c>
      <c r="D4">
        <v>-12.86</v>
      </c>
      <c r="E4">
        <f>IF(B4=MEDIAN($J$1-0.05,$J$1+0.05,B4),B4,0)</f>
        <v>0</v>
      </c>
      <c r="F4" s="23">
        <f>IF(E4=0,0,D4)</f>
        <v>0</v>
      </c>
      <c r="H4" s="18" t="s">
        <v>61</v>
      </c>
      <c r="I4">
        <f>VLOOKUP(5,A4:D421,4,TRUE)</f>
        <v>108.3</v>
      </c>
    </row>
    <row r="5" spans="1:10" ht="15.75" thickBot="1">
      <c r="A5" s="25">
        <v>2E-3</v>
      </c>
      <c r="B5" s="2">
        <v>-5.2339999999999999E-3</v>
      </c>
      <c r="C5" s="2">
        <v>0.32850000000000001</v>
      </c>
      <c r="D5" s="2">
        <v>-12.85</v>
      </c>
      <c r="E5" s="23">
        <f t="shared" ref="E5:E68" si="0">IF(B5=MEDIAN($J$1-0.05,$J$1+0.05,B5),B5,0)</f>
        <v>0</v>
      </c>
      <c r="F5" s="23">
        <f t="shared" ref="F5:F68" si="1">IF(E5=0,0,D5)</f>
        <v>0</v>
      </c>
      <c r="H5" s="18" t="s">
        <v>62</v>
      </c>
      <c r="I5">
        <f>VLOOKUP(60,A4:D421,4,TRUE)</f>
        <v>106.7</v>
      </c>
    </row>
    <row r="6" spans="1:10" ht="15.75" thickBot="1">
      <c r="A6" s="2">
        <v>3.0000000000000001E-3</v>
      </c>
      <c r="B6" s="2">
        <v>-5.0520000000000001E-3</v>
      </c>
      <c r="C6" s="2">
        <v>0.32850000000000001</v>
      </c>
      <c r="D6" s="2">
        <v>-12.83</v>
      </c>
      <c r="E6" s="23">
        <f t="shared" si="0"/>
        <v>0</v>
      </c>
      <c r="F6" s="23">
        <f t="shared" si="1"/>
        <v>0</v>
      </c>
      <c r="H6" s="18" t="s">
        <v>63</v>
      </c>
      <c r="I6">
        <f>I5-I4</f>
        <v>-1.5999999999999943</v>
      </c>
    </row>
    <row r="7" spans="1:10" ht="15.75" thickBot="1">
      <c r="A7" s="2">
        <v>4.0000000000000001E-3</v>
      </c>
      <c r="B7" s="2">
        <v>-5.1650000000000003E-3</v>
      </c>
      <c r="C7" s="2">
        <v>0.32850000000000001</v>
      </c>
      <c r="D7" s="2">
        <v>-12.81</v>
      </c>
      <c r="E7" s="23">
        <f t="shared" si="0"/>
        <v>0</v>
      </c>
      <c r="F7" s="23">
        <f t="shared" si="1"/>
        <v>0</v>
      </c>
      <c r="H7" s="18" t="s">
        <v>64</v>
      </c>
      <c r="I7">
        <f ca="1">IF(I3=1,MAX(D4:D421),"")</f>
        <v>110</v>
      </c>
    </row>
    <row r="8" spans="1:10">
      <c r="A8" s="26">
        <v>5.0000000000000001E-3</v>
      </c>
      <c r="B8" s="2">
        <v>-4.2729999999999999E-3</v>
      </c>
      <c r="C8" s="2">
        <v>0.32850000000000001</v>
      </c>
      <c r="D8" s="2">
        <v>-12.78</v>
      </c>
      <c r="E8" s="23">
        <f t="shared" si="0"/>
        <v>0</v>
      </c>
      <c r="F8" s="23">
        <f t="shared" si="1"/>
        <v>0</v>
      </c>
    </row>
    <row r="9" spans="1:10">
      <c r="A9" s="26">
        <v>6.0000000000000001E-3</v>
      </c>
      <c r="B9" s="2">
        <v>-1.9589999999999998E-3</v>
      </c>
      <c r="C9" s="2">
        <v>0.32850000000000001</v>
      </c>
      <c r="D9" s="2">
        <v>-12.74</v>
      </c>
      <c r="E9" s="23">
        <f t="shared" si="0"/>
        <v>0</v>
      </c>
      <c r="F9" s="23">
        <f t="shared" si="1"/>
        <v>0</v>
      </c>
    </row>
    <row r="10" spans="1:10">
      <c r="A10" s="2">
        <v>7.0000000000000001E-3</v>
      </c>
      <c r="B10" s="2">
        <v>-7.4529999999999996E-4</v>
      </c>
      <c r="C10" s="2">
        <v>0.32850000000000001</v>
      </c>
      <c r="D10" s="2">
        <v>-12.7</v>
      </c>
      <c r="E10" s="23">
        <f t="shared" si="0"/>
        <v>0</v>
      </c>
      <c r="F10" s="23">
        <f t="shared" si="1"/>
        <v>0</v>
      </c>
    </row>
    <row r="11" spans="1:10">
      <c r="A11" s="2">
        <v>8.0000000000000002E-3</v>
      </c>
      <c r="B11" s="2">
        <v>1.0139999999999999E-3</v>
      </c>
      <c r="C11" s="2">
        <v>0.32850000000000001</v>
      </c>
      <c r="D11" s="2">
        <v>-12.65</v>
      </c>
      <c r="E11" s="23">
        <f t="shared" si="0"/>
        <v>0</v>
      </c>
      <c r="F11" s="23">
        <f t="shared" si="1"/>
        <v>0</v>
      </c>
    </row>
    <row r="12" spans="1:10">
      <c r="A12" s="2">
        <v>8.9999999999999993E-3</v>
      </c>
      <c r="B12" s="2">
        <v>3.6489999999999999E-3</v>
      </c>
      <c r="C12" s="2">
        <v>0.32850000000000001</v>
      </c>
      <c r="D12" s="2">
        <v>-12.6</v>
      </c>
      <c r="E12" s="23">
        <f t="shared" si="0"/>
        <v>0</v>
      </c>
      <c r="F12" s="23">
        <f t="shared" si="1"/>
        <v>0</v>
      </c>
    </row>
    <row r="13" spans="1:10">
      <c r="A13">
        <v>0.01</v>
      </c>
      <c r="B13" s="2">
        <v>8.9960000000000005E-3</v>
      </c>
      <c r="C13" s="2">
        <v>0.32850000000000001</v>
      </c>
      <c r="D13" s="2">
        <v>-12.55</v>
      </c>
      <c r="E13" s="23">
        <f t="shared" si="0"/>
        <v>0</v>
      </c>
      <c r="F13" s="23">
        <f t="shared" si="1"/>
        <v>0</v>
      </c>
    </row>
    <row r="14" spans="1:10">
      <c r="A14">
        <v>1.0999999999999999E-2</v>
      </c>
      <c r="B14" s="2">
        <v>1.6070000000000001E-2</v>
      </c>
      <c r="C14" s="2">
        <v>0.32850000000000001</v>
      </c>
      <c r="D14" s="2">
        <v>-12.49</v>
      </c>
      <c r="E14" s="23">
        <f t="shared" si="0"/>
        <v>0</v>
      </c>
      <c r="F14" s="23">
        <f t="shared" si="1"/>
        <v>0</v>
      </c>
    </row>
    <row r="15" spans="1:10">
      <c r="A15">
        <v>1.2E-2</v>
      </c>
      <c r="B15" s="2">
        <v>2.4049999999999998E-2</v>
      </c>
      <c r="C15" s="2">
        <v>0.32850000000000001</v>
      </c>
      <c r="D15" s="2">
        <v>-12.44</v>
      </c>
      <c r="E15" s="23">
        <f t="shared" si="0"/>
        <v>0</v>
      </c>
      <c r="F15" s="23">
        <f t="shared" si="1"/>
        <v>0</v>
      </c>
    </row>
    <row r="16" spans="1:10">
      <c r="A16">
        <v>1.2999999999999999E-2</v>
      </c>
      <c r="B16" s="2">
        <v>3.252E-2</v>
      </c>
      <c r="C16" s="2">
        <v>0.32850000000000001</v>
      </c>
      <c r="D16" s="2">
        <v>-12.38</v>
      </c>
      <c r="E16" s="23">
        <f t="shared" si="0"/>
        <v>0</v>
      </c>
      <c r="F16" s="23">
        <f t="shared" si="1"/>
        <v>0</v>
      </c>
    </row>
    <row r="17" spans="1:6">
      <c r="A17">
        <v>1.4E-2</v>
      </c>
      <c r="B17" s="2">
        <v>4.0559999999999999E-2</v>
      </c>
      <c r="C17" s="2">
        <v>0.32850000000000001</v>
      </c>
      <c r="D17" s="2">
        <v>-12.33</v>
      </c>
      <c r="E17" s="23">
        <f t="shared" si="0"/>
        <v>0</v>
      </c>
      <c r="F17" s="23">
        <f t="shared" si="1"/>
        <v>0</v>
      </c>
    </row>
    <row r="18" spans="1:6">
      <c r="A18">
        <v>1.4999999999999999E-2</v>
      </c>
      <c r="B18" s="2">
        <v>4.8210000000000003E-2</v>
      </c>
      <c r="C18" s="2">
        <v>0.32850000000000001</v>
      </c>
      <c r="D18" s="2">
        <v>-12.27</v>
      </c>
      <c r="E18" s="23">
        <f t="shared" si="0"/>
        <v>0</v>
      </c>
      <c r="F18" s="23">
        <f t="shared" si="1"/>
        <v>0</v>
      </c>
    </row>
    <row r="19" spans="1:6">
      <c r="A19">
        <v>1.6E-2</v>
      </c>
      <c r="B19" s="2">
        <v>5.6140000000000002E-2</v>
      </c>
      <c r="C19" s="2">
        <v>0.32850000000000001</v>
      </c>
      <c r="D19" s="2">
        <v>-12.22</v>
      </c>
      <c r="E19" s="23">
        <f t="shared" si="0"/>
        <v>0</v>
      </c>
      <c r="F19" s="23">
        <f t="shared" si="1"/>
        <v>0</v>
      </c>
    </row>
    <row r="20" spans="1:6">
      <c r="A20">
        <v>1.7000000000000001E-2</v>
      </c>
      <c r="B20" s="2">
        <v>6.5439999999999998E-2</v>
      </c>
      <c r="C20" s="2">
        <v>0.32850000000000001</v>
      </c>
      <c r="D20" s="2">
        <v>-12.16</v>
      </c>
      <c r="E20" s="23">
        <f t="shared" si="0"/>
        <v>0</v>
      </c>
      <c r="F20" s="23">
        <f t="shared" si="1"/>
        <v>0</v>
      </c>
    </row>
    <row r="21" spans="1:6">
      <c r="A21">
        <v>1.7999999999999999E-2</v>
      </c>
      <c r="B21" s="2">
        <v>7.4120000000000005E-2</v>
      </c>
      <c r="C21" s="2">
        <v>0.32850000000000001</v>
      </c>
      <c r="D21" s="2">
        <v>-12.11</v>
      </c>
      <c r="E21" s="23">
        <f t="shared" si="0"/>
        <v>0</v>
      </c>
      <c r="F21" s="23">
        <f t="shared" si="1"/>
        <v>0</v>
      </c>
    </row>
    <row r="22" spans="1:6">
      <c r="A22">
        <v>1.9E-2</v>
      </c>
      <c r="B22" s="2">
        <v>8.2530000000000006E-2</v>
      </c>
      <c r="C22" s="2">
        <v>0.32850000000000001</v>
      </c>
      <c r="D22" s="2">
        <v>-12.05</v>
      </c>
      <c r="E22" s="23">
        <f t="shared" si="0"/>
        <v>0</v>
      </c>
      <c r="F22" s="23">
        <f t="shared" si="1"/>
        <v>0</v>
      </c>
    </row>
    <row r="23" spans="1:6">
      <c r="A23">
        <v>0.02</v>
      </c>
      <c r="B23" s="2">
        <v>9.1120000000000007E-2</v>
      </c>
      <c r="C23" s="2">
        <v>0.32850000000000001</v>
      </c>
      <c r="D23" s="2">
        <v>-12</v>
      </c>
      <c r="E23" s="23">
        <f t="shared" si="0"/>
        <v>0</v>
      </c>
      <c r="F23" s="23">
        <f t="shared" si="1"/>
        <v>0</v>
      </c>
    </row>
    <row r="24" spans="1:6">
      <c r="A24">
        <v>2.1000000000000001E-2</v>
      </c>
      <c r="B24" s="2">
        <v>9.8699999999999996E-2</v>
      </c>
      <c r="C24" s="2">
        <v>0.32850000000000001</v>
      </c>
      <c r="D24" s="2">
        <v>-11.94</v>
      </c>
      <c r="E24" s="23">
        <f t="shared" si="0"/>
        <v>0</v>
      </c>
      <c r="F24" s="23">
        <f t="shared" si="1"/>
        <v>0</v>
      </c>
    </row>
    <row r="25" spans="1:6">
      <c r="A25">
        <v>2.1999999999999999E-2</v>
      </c>
      <c r="B25" s="2">
        <v>0.104</v>
      </c>
      <c r="C25" s="2">
        <v>0.32850000000000001</v>
      </c>
      <c r="D25" s="2">
        <v>-11.89</v>
      </c>
      <c r="E25" s="23">
        <f t="shared" si="0"/>
        <v>0</v>
      </c>
      <c r="F25" s="23">
        <f t="shared" si="1"/>
        <v>0</v>
      </c>
    </row>
    <row r="26" spans="1:6">
      <c r="A26">
        <v>2.3E-2</v>
      </c>
      <c r="B26" s="2">
        <v>0.109</v>
      </c>
      <c r="C26" s="2">
        <v>0.32850000000000001</v>
      </c>
      <c r="D26" s="2">
        <v>-11.84</v>
      </c>
      <c r="E26" s="23">
        <f t="shared" si="0"/>
        <v>0</v>
      </c>
      <c r="F26" s="23">
        <f t="shared" si="1"/>
        <v>0</v>
      </c>
    </row>
    <row r="27" spans="1:6">
      <c r="A27">
        <v>2.4E-2</v>
      </c>
      <c r="B27">
        <v>0.1129</v>
      </c>
      <c r="C27" s="2">
        <v>0.32850000000000001</v>
      </c>
      <c r="D27" s="2">
        <v>-11.78</v>
      </c>
      <c r="E27" s="23">
        <f t="shared" si="0"/>
        <v>0</v>
      </c>
      <c r="F27" s="23">
        <f t="shared" si="1"/>
        <v>0</v>
      </c>
    </row>
    <row r="28" spans="1:6">
      <c r="A28">
        <v>2.5000000000000001E-2</v>
      </c>
      <c r="B28">
        <v>0.11559999999999999</v>
      </c>
      <c r="C28" s="2">
        <v>0.32850000000000001</v>
      </c>
      <c r="D28" s="2">
        <v>-11.72</v>
      </c>
      <c r="E28" s="23">
        <f t="shared" si="0"/>
        <v>0</v>
      </c>
      <c r="F28" s="23">
        <f t="shared" si="1"/>
        <v>0</v>
      </c>
    </row>
    <row r="29" spans="1:6">
      <c r="A29">
        <v>2.5999999999999999E-2</v>
      </c>
      <c r="B29">
        <v>0.1173</v>
      </c>
      <c r="C29" s="2">
        <v>0.32850000000000001</v>
      </c>
      <c r="D29" s="2">
        <v>-11.66</v>
      </c>
      <c r="E29" s="23">
        <f t="shared" si="0"/>
        <v>0</v>
      </c>
      <c r="F29" s="23">
        <f t="shared" si="1"/>
        <v>0</v>
      </c>
    </row>
    <row r="30" spans="1:6">
      <c r="A30">
        <v>2.7E-2</v>
      </c>
      <c r="B30" s="2">
        <v>0.1188</v>
      </c>
      <c r="C30" s="2">
        <v>0.32850000000000001</v>
      </c>
      <c r="D30" s="2">
        <v>-11.6</v>
      </c>
      <c r="E30" s="23">
        <f t="shared" si="0"/>
        <v>0</v>
      </c>
      <c r="F30" s="23">
        <f t="shared" si="1"/>
        <v>0</v>
      </c>
    </row>
    <row r="31" spans="1:6">
      <c r="A31">
        <v>2.8000000000000001E-2</v>
      </c>
      <c r="B31" s="2">
        <v>0.1203</v>
      </c>
      <c r="C31" s="2">
        <v>0.32850000000000001</v>
      </c>
      <c r="D31" s="2">
        <v>-11.54</v>
      </c>
      <c r="E31" s="23">
        <f t="shared" si="0"/>
        <v>0</v>
      </c>
      <c r="F31" s="23">
        <f t="shared" si="1"/>
        <v>0</v>
      </c>
    </row>
    <row r="32" spans="1:6">
      <c r="A32">
        <v>2.9000000000000001E-2</v>
      </c>
      <c r="B32" s="2">
        <v>0.121</v>
      </c>
      <c r="C32" s="2">
        <v>0.32850000000000001</v>
      </c>
      <c r="D32" s="2">
        <v>-11.47</v>
      </c>
      <c r="E32" s="23">
        <f t="shared" si="0"/>
        <v>0</v>
      </c>
      <c r="F32" s="23">
        <f t="shared" si="1"/>
        <v>0</v>
      </c>
    </row>
    <row r="33" spans="1:6">
      <c r="A33">
        <v>0.03</v>
      </c>
      <c r="B33" s="2">
        <v>0.1217</v>
      </c>
      <c r="C33" s="2">
        <v>0.32850000000000001</v>
      </c>
      <c r="D33" s="2">
        <v>-11.41</v>
      </c>
      <c r="E33" s="23">
        <f t="shared" si="0"/>
        <v>0</v>
      </c>
      <c r="F33" s="23">
        <f t="shared" si="1"/>
        <v>0</v>
      </c>
    </row>
    <row r="34" spans="1:6">
      <c r="A34">
        <v>3.1E-2</v>
      </c>
      <c r="B34" s="2">
        <v>0.1197</v>
      </c>
      <c r="C34" s="2">
        <v>0.32850000000000001</v>
      </c>
      <c r="D34" s="2">
        <v>-11.34</v>
      </c>
      <c r="E34" s="23">
        <f t="shared" si="0"/>
        <v>0</v>
      </c>
      <c r="F34" s="23">
        <f t="shared" si="1"/>
        <v>0</v>
      </c>
    </row>
    <row r="35" spans="1:6">
      <c r="A35">
        <v>3.2000000000000001E-2</v>
      </c>
      <c r="B35" s="2">
        <v>0.1162</v>
      </c>
      <c r="C35" s="2">
        <v>0.32850000000000001</v>
      </c>
      <c r="D35" s="2">
        <v>-11.27</v>
      </c>
      <c r="E35" s="23">
        <f t="shared" si="0"/>
        <v>0</v>
      </c>
      <c r="F35" s="23">
        <f t="shared" si="1"/>
        <v>0</v>
      </c>
    </row>
    <row r="36" spans="1:6">
      <c r="A36">
        <v>3.3000000000000002E-2</v>
      </c>
      <c r="B36" s="2">
        <v>0.11020000000000001</v>
      </c>
      <c r="C36" s="2">
        <v>0.32850000000000001</v>
      </c>
      <c r="D36" s="2">
        <v>-11.2</v>
      </c>
      <c r="E36" s="23">
        <f t="shared" si="0"/>
        <v>0</v>
      </c>
      <c r="F36" s="23">
        <f t="shared" si="1"/>
        <v>0</v>
      </c>
    </row>
    <row r="37" spans="1:6">
      <c r="A37">
        <v>3.4000000000000002E-2</v>
      </c>
      <c r="B37" s="2">
        <v>0.1065</v>
      </c>
      <c r="C37" s="2">
        <v>0.32850000000000001</v>
      </c>
      <c r="D37" s="2">
        <v>-11.12</v>
      </c>
      <c r="E37" s="23">
        <f t="shared" si="0"/>
        <v>0</v>
      </c>
      <c r="F37" s="23">
        <f t="shared" si="1"/>
        <v>0</v>
      </c>
    </row>
    <row r="38" spans="1:6">
      <c r="A38">
        <v>3.5000000000000003E-2</v>
      </c>
      <c r="B38" s="2">
        <v>0.1023</v>
      </c>
      <c r="C38" s="2">
        <v>0.32850000000000001</v>
      </c>
      <c r="D38" s="2">
        <v>-11.04</v>
      </c>
      <c r="E38" s="23">
        <f t="shared" si="0"/>
        <v>0</v>
      </c>
      <c r="F38" s="23">
        <f t="shared" si="1"/>
        <v>0</v>
      </c>
    </row>
    <row r="39" spans="1:6">
      <c r="A39">
        <v>3.5999999999999997E-2</v>
      </c>
      <c r="B39" s="2">
        <v>0.10009999999999999</v>
      </c>
      <c r="C39" s="2">
        <v>0.32850000000000001</v>
      </c>
      <c r="D39" s="2">
        <v>-10.96</v>
      </c>
      <c r="E39" s="23">
        <f t="shared" si="0"/>
        <v>0</v>
      </c>
      <c r="F39" s="23">
        <f t="shared" si="1"/>
        <v>0</v>
      </c>
    </row>
    <row r="40" spans="1:6">
      <c r="A40">
        <v>3.6999999999999998E-2</v>
      </c>
      <c r="B40" s="2">
        <v>9.7670000000000007E-2</v>
      </c>
      <c r="C40" s="2">
        <v>0.32850000000000001</v>
      </c>
      <c r="D40" s="2">
        <v>-10.88</v>
      </c>
      <c r="E40" s="23">
        <f t="shared" si="0"/>
        <v>0</v>
      </c>
      <c r="F40" s="23">
        <f t="shared" si="1"/>
        <v>0</v>
      </c>
    </row>
    <row r="41" spans="1:6">
      <c r="A41">
        <v>3.7999999999999999E-2</v>
      </c>
      <c r="B41" s="2">
        <v>9.5049999999999996E-2</v>
      </c>
      <c r="C41" s="2">
        <v>0.32850000000000001</v>
      </c>
      <c r="D41" s="2">
        <v>-10.8</v>
      </c>
      <c r="E41" s="23">
        <f t="shared" si="0"/>
        <v>0</v>
      </c>
      <c r="F41" s="23">
        <f t="shared" si="1"/>
        <v>0</v>
      </c>
    </row>
    <row r="42" spans="1:6">
      <c r="A42">
        <v>3.9E-2</v>
      </c>
      <c r="B42" s="2">
        <v>8.9969999999999994E-2</v>
      </c>
      <c r="C42" s="2">
        <v>0.32850000000000001</v>
      </c>
      <c r="D42" s="2">
        <v>-10.72</v>
      </c>
      <c r="E42" s="23">
        <f t="shared" si="0"/>
        <v>0</v>
      </c>
      <c r="F42" s="23">
        <f t="shared" si="1"/>
        <v>0</v>
      </c>
    </row>
    <row r="43" spans="1:6">
      <c r="A43">
        <v>0.04</v>
      </c>
      <c r="B43" s="2">
        <v>8.652E-2</v>
      </c>
      <c r="C43" s="2">
        <v>0.32850000000000001</v>
      </c>
      <c r="D43" s="2">
        <v>-10.64</v>
      </c>
      <c r="E43" s="23">
        <f t="shared" si="0"/>
        <v>0</v>
      </c>
      <c r="F43" s="23">
        <f t="shared" si="1"/>
        <v>0</v>
      </c>
    </row>
    <row r="44" spans="1:6">
      <c r="A44">
        <v>4.1500000000000002E-2</v>
      </c>
      <c r="B44" s="2">
        <v>8.3699999999999997E-2</v>
      </c>
      <c r="C44" s="2">
        <v>0.32850000000000001</v>
      </c>
      <c r="D44" s="2">
        <v>-10.51</v>
      </c>
      <c r="E44" s="23">
        <f t="shared" si="0"/>
        <v>0</v>
      </c>
      <c r="F44" s="23">
        <f t="shared" si="1"/>
        <v>0</v>
      </c>
    </row>
    <row r="45" spans="1:6">
      <c r="A45">
        <v>4.3499999999999997E-2</v>
      </c>
      <c r="B45" s="2">
        <v>8.1689999999999999E-2</v>
      </c>
      <c r="C45" s="2">
        <v>0.32850000000000001</v>
      </c>
      <c r="D45" s="2">
        <v>-10.35</v>
      </c>
      <c r="E45" s="23">
        <f t="shared" si="0"/>
        <v>0</v>
      </c>
      <c r="F45" s="23">
        <f t="shared" si="1"/>
        <v>0</v>
      </c>
    </row>
    <row r="46" spans="1:6">
      <c r="A46">
        <v>4.5499999999999999E-2</v>
      </c>
      <c r="B46" s="2">
        <v>8.3830000000000002E-2</v>
      </c>
      <c r="C46" s="2">
        <v>0.32850000000000001</v>
      </c>
      <c r="D46" s="2">
        <v>-10.18</v>
      </c>
      <c r="E46" s="23">
        <f t="shared" si="0"/>
        <v>0</v>
      </c>
      <c r="F46" s="23">
        <f t="shared" si="1"/>
        <v>0</v>
      </c>
    </row>
    <row r="47" spans="1:6">
      <c r="A47">
        <v>4.7500000000000001E-2</v>
      </c>
      <c r="B47" s="2">
        <v>8.652E-2</v>
      </c>
      <c r="C47" s="2">
        <v>0.32850000000000001</v>
      </c>
      <c r="D47" s="2">
        <v>-10.02</v>
      </c>
      <c r="E47" s="23">
        <f t="shared" si="0"/>
        <v>0</v>
      </c>
      <c r="F47" s="23">
        <f t="shared" si="1"/>
        <v>0</v>
      </c>
    </row>
    <row r="48" spans="1:6">
      <c r="A48">
        <v>4.9500000000000002E-2</v>
      </c>
      <c r="B48" s="2">
        <v>8.7559999999999999E-2</v>
      </c>
      <c r="C48" s="2">
        <v>0.32850000000000001</v>
      </c>
      <c r="D48" s="2">
        <v>-9.8670000000000009</v>
      </c>
      <c r="E48" s="23">
        <f t="shared" si="0"/>
        <v>0</v>
      </c>
      <c r="F48" s="23">
        <f t="shared" si="1"/>
        <v>0</v>
      </c>
    </row>
    <row r="49" spans="1:6">
      <c r="A49">
        <v>5.1499999999999997E-2</v>
      </c>
      <c r="B49" s="2">
        <v>9.0480000000000005E-2</v>
      </c>
      <c r="C49" s="2">
        <v>0.32850000000000001</v>
      </c>
      <c r="D49" s="2">
        <v>-9.7110000000000003</v>
      </c>
      <c r="E49" s="23">
        <f t="shared" si="0"/>
        <v>0</v>
      </c>
      <c r="F49" s="23">
        <f t="shared" si="1"/>
        <v>0</v>
      </c>
    </row>
    <row r="50" spans="1:6">
      <c r="A50">
        <v>5.3499999999999999E-2</v>
      </c>
      <c r="B50" s="2">
        <v>9.8150000000000001E-2</v>
      </c>
      <c r="C50" s="2">
        <v>0.32979999999999998</v>
      </c>
      <c r="D50" s="2">
        <v>-9.5579999999999998</v>
      </c>
      <c r="E50" s="23">
        <f t="shared" si="0"/>
        <v>0</v>
      </c>
      <c r="F50" s="23">
        <f t="shared" si="1"/>
        <v>0</v>
      </c>
    </row>
    <row r="51" spans="1:6">
      <c r="A51">
        <v>5.5500000000000001E-2</v>
      </c>
      <c r="B51" s="2">
        <v>0.1042</v>
      </c>
      <c r="C51" s="2">
        <v>0.32979999999999998</v>
      </c>
      <c r="D51" s="2">
        <v>-9.4120000000000008</v>
      </c>
      <c r="E51" s="23">
        <f t="shared" si="0"/>
        <v>0</v>
      </c>
      <c r="F51" s="23">
        <f t="shared" si="1"/>
        <v>0</v>
      </c>
    </row>
    <row r="52" spans="1:6">
      <c r="A52">
        <v>5.7500000000000002E-2</v>
      </c>
      <c r="B52" s="2">
        <v>0.10440000000000001</v>
      </c>
      <c r="C52" s="2">
        <v>0.32979999999999998</v>
      </c>
      <c r="D52" s="2">
        <v>-9.266</v>
      </c>
      <c r="E52" s="23">
        <f t="shared" si="0"/>
        <v>0</v>
      </c>
      <c r="F52" s="23">
        <f t="shared" si="1"/>
        <v>0</v>
      </c>
    </row>
    <row r="53" spans="1:6">
      <c r="A53">
        <v>5.9499999999999997E-2</v>
      </c>
      <c r="B53" s="2">
        <v>0.10630000000000001</v>
      </c>
      <c r="C53" s="2">
        <v>0.32979999999999998</v>
      </c>
      <c r="D53" s="2">
        <v>-9.1159999999999997</v>
      </c>
      <c r="E53" s="23">
        <f t="shared" si="0"/>
        <v>0</v>
      </c>
      <c r="F53" s="23">
        <f t="shared" si="1"/>
        <v>0</v>
      </c>
    </row>
    <row r="54" spans="1:6">
      <c r="A54">
        <v>6.1499999999999999E-2</v>
      </c>
      <c r="B54" s="2">
        <v>0.1114</v>
      </c>
      <c r="C54" s="2">
        <v>0.32979999999999998</v>
      </c>
      <c r="D54" s="2">
        <v>-8.968</v>
      </c>
      <c r="E54" s="23">
        <f t="shared" si="0"/>
        <v>0</v>
      </c>
      <c r="F54" s="23">
        <f t="shared" si="1"/>
        <v>0</v>
      </c>
    </row>
    <row r="55" spans="1:6">
      <c r="A55">
        <v>6.3500000000000001E-2</v>
      </c>
      <c r="B55" s="2">
        <v>0.1138</v>
      </c>
      <c r="C55" s="2">
        <v>0.32979999999999998</v>
      </c>
      <c r="D55" s="2">
        <v>-8.8219999999999992</v>
      </c>
      <c r="E55" s="23">
        <f t="shared" si="0"/>
        <v>0</v>
      </c>
      <c r="F55" s="23">
        <f t="shared" si="1"/>
        <v>0</v>
      </c>
    </row>
    <row r="56" spans="1:6">
      <c r="A56">
        <v>6.5500000000000003E-2</v>
      </c>
      <c r="B56" s="2">
        <v>0.1125</v>
      </c>
      <c r="C56" s="2">
        <v>0.32979999999999998</v>
      </c>
      <c r="D56" s="2">
        <v>-8.673</v>
      </c>
      <c r="E56" s="23">
        <f t="shared" si="0"/>
        <v>0</v>
      </c>
      <c r="F56" s="23">
        <f t="shared" si="1"/>
        <v>0</v>
      </c>
    </row>
    <row r="57" spans="1:6">
      <c r="A57">
        <v>6.7500000000000004E-2</v>
      </c>
      <c r="B57" s="2">
        <v>0.1118</v>
      </c>
      <c r="C57" s="2">
        <v>0.32979999999999998</v>
      </c>
      <c r="D57" s="2">
        <v>-8.5190000000000001</v>
      </c>
      <c r="E57" s="23">
        <f t="shared" si="0"/>
        <v>0</v>
      </c>
      <c r="F57" s="23">
        <f t="shared" si="1"/>
        <v>0</v>
      </c>
    </row>
    <row r="58" spans="1:6">
      <c r="A58">
        <v>6.9500000000000006E-2</v>
      </c>
      <c r="B58" s="2">
        <v>0.1114</v>
      </c>
      <c r="C58" s="2">
        <v>0.32979999999999998</v>
      </c>
      <c r="D58" s="2">
        <v>-8.3629999999999995</v>
      </c>
      <c r="E58" s="23">
        <f t="shared" si="0"/>
        <v>0</v>
      </c>
      <c r="F58" s="23">
        <f t="shared" si="1"/>
        <v>0</v>
      </c>
    </row>
    <row r="59" spans="1:6">
      <c r="A59">
        <v>7.1499999999999994E-2</v>
      </c>
      <c r="B59" s="2">
        <v>0.11219999999999999</v>
      </c>
      <c r="C59" s="2">
        <v>0.32979999999999998</v>
      </c>
      <c r="D59" s="2">
        <v>-8.2050000000000001</v>
      </c>
      <c r="E59" s="23">
        <f t="shared" si="0"/>
        <v>0</v>
      </c>
      <c r="F59" s="23">
        <f t="shared" si="1"/>
        <v>0</v>
      </c>
    </row>
    <row r="60" spans="1:6">
      <c r="A60">
        <v>7.3499999999999996E-2</v>
      </c>
      <c r="B60" s="2">
        <v>0.1108</v>
      </c>
      <c r="C60" s="2">
        <v>0.32979999999999998</v>
      </c>
      <c r="D60" s="2">
        <v>-8.0489999999999995</v>
      </c>
      <c r="E60" s="23">
        <f t="shared" si="0"/>
        <v>0</v>
      </c>
      <c r="F60" s="23">
        <f t="shared" si="1"/>
        <v>0</v>
      </c>
    </row>
    <row r="61" spans="1:6">
      <c r="A61">
        <v>7.5499999999999998E-2</v>
      </c>
      <c r="B61">
        <v>0.107</v>
      </c>
      <c r="C61" s="2">
        <v>0.32979999999999998</v>
      </c>
      <c r="D61" s="2">
        <v>-7.891</v>
      </c>
      <c r="E61" s="23">
        <f t="shared" si="0"/>
        <v>0</v>
      </c>
      <c r="F61" s="23">
        <f t="shared" si="1"/>
        <v>0</v>
      </c>
    </row>
    <row r="62" spans="1:6">
      <c r="A62">
        <v>7.7499999999999999E-2</v>
      </c>
      <c r="B62">
        <v>0.10879999999999999</v>
      </c>
      <c r="C62" s="2">
        <v>0.32979999999999998</v>
      </c>
      <c r="D62" s="2">
        <v>-7.7309999999999999</v>
      </c>
      <c r="E62" s="23">
        <f t="shared" si="0"/>
        <v>0</v>
      </c>
      <c r="F62" s="23">
        <f t="shared" si="1"/>
        <v>0</v>
      </c>
    </row>
    <row r="63" spans="1:6">
      <c r="A63">
        <v>7.9500000000000001E-2</v>
      </c>
      <c r="B63" s="2">
        <v>0.1105</v>
      </c>
      <c r="C63" s="2">
        <v>0.32979999999999998</v>
      </c>
      <c r="D63" s="2">
        <v>-7.5759999999999996</v>
      </c>
      <c r="E63" s="23">
        <f t="shared" si="0"/>
        <v>0</v>
      </c>
      <c r="F63" s="23">
        <f t="shared" si="1"/>
        <v>0</v>
      </c>
    </row>
    <row r="64" spans="1:6">
      <c r="A64">
        <v>8.1500000000000003E-2</v>
      </c>
      <c r="B64" s="2">
        <v>0.1085</v>
      </c>
      <c r="C64" s="2">
        <v>0.32979999999999998</v>
      </c>
      <c r="D64" s="2">
        <v>-7.42</v>
      </c>
      <c r="E64" s="23">
        <f t="shared" si="0"/>
        <v>0</v>
      </c>
      <c r="F64" s="23">
        <f t="shared" si="1"/>
        <v>0</v>
      </c>
    </row>
    <row r="65" spans="1:6">
      <c r="A65">
        <v>8.3500000000000005E-2</v>
      </c>
      <c r="B65" s="2">
        <v>0.10639999999999999</v>
      </c>
      <c r="C65" s="2">
        <v>0.32979999999999998</v>
      </c>
      <c r="D65" s="2">
        <v>-7.2619999999999996</v>
      </c>
      <c r="E65" s="23">
        <f t="shared" si="0"/>
        <v>0</v>
      </c>
      <c r="F65" s="23">
        <f t="shared" si="1"/>
        <v>0</v>
      </c>
    </row>
    <row r="66" spans="1:6">
      <c r="A66">
        <v>8.5500000000000007E-2</v>
      </c>
      <c r="B66" s="2">
        <v>0.10489999999999999</v>
      </c>
      <c r="C66" s="2">
        <v>0.32979999999999998</v>
      </c>
      <c r="D66" s="2">
        <v>-7.1029999999999998</v>
      </c>
      <c r="E66" s="23">
        <f t="shared" si="0"/>
        <v>0</v>
      </c>
      <c r="F66" s="23">
        <f t="shared" si="1"/>
        <v>0</v>
      </c>
    </row>
    <row r="67" spans="1:6">
      <c r="A67">
        <v>8.7499999999999994E-2</v>
      </c>
      <c r="B67" s="2">
        <v>0.1057</v>
      </c>
      <c r="C67" s="2">
        <v>0.32979999999999998</v>
      </c>
      <c r="D67" s="2">
        <v>-6.9420000000000002</v>
      </c>
      <c r="E67" s="23">
        <f t="shared" si="0"/>
        <v>0</v>
      </c>
      <c r="F67" s="23">
        <f t="shared" si="1"/>
        <v>0</v>
      </c>
    </row>
    <row r="68" spans="1:6">
      <c r="A68">
        <v>8.9499999999999996E-2</v>
      </c>
      <c r="B68">
        <v>0.10580000000000001</v>
      </c>
      <c r="C68" s="2">
        <v>0.32979999999999998</v>
      </c>
      <c r="D68" s="2">
        <v>-6.7830000000000004</v>
      </c>
      <c r="E68" s="23">
        <f t="shared" si="0"/>
        <v>0</v>
      </c>
      <c r="F68" s="23">
        <f t="shared" si="1"/>
        <v>0</v>
      </c>
    </row>
    <row r="69" spans="1:6">
      <c r="A69">
        <v>9.1499999999999998E-2</v>
      </c>
      <c r="B69">
        <v>0.1026</v>
      </c>
      <c r="C69" s="2">
        <v>0.32979999999999998</v>
      </c>
      <c r="D69" s="2">
        <v>-6.6230000000000002</v>
      </c>
      <c r="E69" s="23">
        <f t="shared" ref="E69:E132" si="2">IF(B69=MEDIAN($J$1-0.05,$J$1+0.05,B69),B69,0)</f>
        <v>0</v>
      </c>
      <c r="F69" s="23">
        <f t="shared" ref="F69:F132" si="3">IF(E69=0,0,D69)</f>
        <v>0</v>
      </c>
    </row>
    <row r="70" spans="1:6">
      <c r="A70">
        <v>9.35E-2</v>
      </c>
      <c r="B70">
        <v>0.1024</v>
      </c>
      <c r="C70" s="2">
        <v>0.32979999999999998</v>
      </c>
      <c r="D70" s="2">
        <v>-6.4589999999999996</v>
      </c>
      <c r="E70" s="23">
        <f t="shared" si="2"/>
        <v>0</v>
      </c>
      <c r="F70" s="23">
        <f t="shared" si="3"/>
        <v>0</v>
      </c>
    </row>
    <row r="71" spans="1:6">
      <c r="A71">
        <v>9.5500000000000002E-2</v>
      </c>
      <c r="B71">
        <v>0.1069</v>
      </c>
      <c r="C71" s="2">
        <v>0.32979999999999998</v>
      </c>
      <c r="D71" s="2">
        <v>-6.298</v>
      </c>
      <c r="E71" s="23">
        <f t="shared" si="2"/>
        <v>0</v>
      </c>
      <c r="F71" s="23">
        <f t="shared" si="3"/>
        <v>0</v>
      </c>
    </row>
    <row r="72" spans="1:6">
      <c r="A72">
        <v>9.7500000000000003E-2</v>
      </c>
      <c r="B72">
        <v>0.1094</v>
      </c>
      <c r="C72" s="2">
        <v>0.32979999999999998</v>
      </c>
      <c r="D72" s="2">
        <v>-6.14</v>
      </c>
      <c r="E72" s="23">
        <f t="shared" si="2"/>
        <v>0</v>
      </c>
      <c r="F72" s="23">
        <f t="shared" si="3"/>
        <v>0</v>
      </c>
    </row>
    <row r="73" spans="1:6">
      <c r="A73">
        <v>9.9500000000000005E-2</v>
      </c>
      <c r="B73" s="2">
        <v>0.10979999999999999</v>
      </c>
      <c r="C73" s="2">
        <v>0.32979999999999998</v>
      </c>
      <c r="D73" s="2">
        <v>-5.9809999999999999</v>
      </c>
      <c r="E73" s="23">
        <f t="shared" si="2"/>
        <v>0</v>
      </c>
      <c r="F73" s="23">
        <f t="shared" si="3"/>
        <v>0</v>
      </c>
    </row>
    <row r="74" spans="1:6">
      <c r="A74">
        <v>0.10150000000000001</v>
      </c>
      <c r="B74" s="2">
        <v>0.1105</v>
      </c>
      <c r="C74" s="2">
        <v>0.32979999999999998</v>
      </c>
      <c r="D74" s="2">
        <v>-5.82</v>
      </c>
      <c r="E74" s="23">
        <f t="shared" si="2"/>
        <v>0</v>
      </c>
      <c r="F74" s="23">
        <f t="shared" si="3"/>
        <v>0</v>
      </c>
    </row>
    <row r="75" spans="1:6">
      <c r="A75">
        <v>0.10349999999999999</v>
      </c>
      <c r="B75" s="2">
        <v>0.1135</v>
      </c>
      <c r="C75" s="2">
        <v>0.32979999999999998</v>
      </c>
      <c r="D75" s="2">
        <v>-5.641</v>
      </c>
      <c r="E75" s="23">
        <f t="shared" si="2"/>
        <v>0</v>
      </c>
      <c r="F75" s="23">
        <f t="shared" si="3"/>
        <v>0</v>
      </c>
    </row>
    <row r="76" spans="1:6">
      <c r="A76">
        <v>0.1055</v>
      </c>
      <c r="B76" s="2">
        <v>0.11749999999999999</v>
      </c>
      <c r="C76" s="2">
        <v>0.32979999999999998</v>
      </c>
      <c r="D76" s="2">
        <v>-5.4509999999999996</v>
      </c>
      <c r="E76" s="23">
        <f t="shared" si="2"/>
        <v>0</v>
      </c>
      <c r="F76" s="23">
        <f t="shared" si="3"/>
        <v>0</v>
      </c>
    </row>
    <row r="77" spans="1:6">
      <c r="A77">
        <v>0.1075</v>
      </c>
      <c r="B77" s="2">
        <v>0.1193</v>
      </c>
      <c r="C77" s="2">
        <v>0.32979999999999998</v>
      </c>
      <c r="D77" s="2">
        <v>-5.2619999999999996</v>
      </c>
      <c r="E77" s="23">
        <f t="shared" si="2"/>
        <v>0</v>
      </c>
      <c r="F77" s="23">
        <f t="shared" si="3"/>
        <v>0</v>
      </c>
    </row>
    <row r="78" spans="1:6">
      <c r="A78">
        <v>0.1095</v>
      </c>
      <c r="B78" s="2">
        <v>0.1207</v>
      </c>
      <c r="C78" s="2">
        <v>0.32979999999999998</v>
      </c>
      <c r="D78" s="2">
        <v>-5.077</v>
      </c>
      <c r="E78" s="23">
        <f t="shared" si="2"/>
        <v>0</v>
      </c>
      <c r="F78" s="23">
        <f t="shared" si="3"/>
        <v>0</v>
      </c>
    </row>
    <row r="79" spans="1:6">
      <c r="A79">
        <v>0.1115</v>
      </c>
      <c r="B79" s="2">
        <v>0.1249</v>
      </c>
      <c r="C79" s="2">
        <v>0.32979999999999998</v>
      </c>
      <c r="D79" s="2">
        <v>-4.8979999999999997</v>
      </c>
      <c r="E79" s="23">
        <f t="shared" si="2"/>
        <v>0</v>
      </c>
      <c r="F79" s="23">
        <f t="shared" si="3"/>
        <v>0</v>
      </c>
    </row>
    <row r="80" spans="1:6">
      <c r="A80">
        <v>0.1135</v>
      </c>
      <c r="B80" s="2">
        <v>0.13089999999999999</v>
      </c>
      <c r="C80" s="2">
        <v>0.32979999999999998</v>
      </c>
      <c r="D80" s="2">
        <v>-4.7279999999999998</v>
      </c>
      <c r="E80" s="23">
        <f t="shared" si="2"/>
        <v>0</v>
      </c>
      <c r="F80" s="23">
        <f t="shared" si="3"/>
        <v>0</v>
      </c>
    </row>
    <row r="81" spans="1:6">
      <c r="A81">
        <v>0.11550000000000001</v>
      </c>
      <c r="B81" s="2">
        <v>0.1326</v>
      </c>
      <c r="C81" s="2">
        <v>0.32979999999999998</v>
      </c>
      <c r="D81" s="2">
        <v>-4.5640000000000001</v>
      </c>
      <c r="E81" s="23">
        <f t="shared" si="2"/>
        <v>0</v>
      </c>
      <c r="F81" s="23">
        <f t="shared" si="3"/>
        <v>0</v>
      </c>
    </row>
    <row r="82" spans="1:6">
      <c r="A82">
        <v>0.11749999999999999</v>
      </c>
      <c r="B82" s="2">
        <v>0.13220000000000001</v>
      </c>
      <c r="C82" s="2">
        <v>0.32979999999999998</v>
      </c>
      <c r="D82" s="2">
        <v>-4.399</v>
      </c>
      <c r="E82" s="23">
        <f t="shared" si="2"/>
        <v>0</v>
      </c>
      <c r="F82" s="23">
        <f t="shared" si="3"/>
        <v>0</v>
      </c>
    </row>
    <row r="83" spans="1:6">
      <c r="A83">
        <v>0.1195</v>
      </c>
      <c r="B83">
        <v>0.13439999999999999</v>
      </c>
      <c r="C83" s="2">
        <v>0.32979999999999998</v>
      </c>
      <c r="D83" s="2">
        <v>-4.2350000000000003</v>
      </c>
      <c r="E83" s="23">
        <f t="shared" si="2"/>
        <v>0</v>
      </c>
      <c r="F83" s="23">
        <f t="shared" si="3"/>
        <v>0</v>
      </c>
    </row>
    <row r="84" spans="1:6">
      <c r="A84">
        <v>0.1225</v>
      </c>
      <c r="B84" s="2">
        <v>0.13339999999999999</v>
      </c>
      <c r="C84" s="2">
        <v>0.32979999999999998</v>
      </c>
      <c r="D84" s="2">
        <v>-3.9910000000000001</v>
      </c>
      <c r="E84" s="23">
        <f t="shared" si="2"/>
        <v>0</v>
      </c>
      <c r="F84" s="23">
        <f t="shared" si="3"/>
        <v>0</v>
      </c>
    </row>
    <row r="85" spans="1:6">
      <c r="A85">
        <v>0.1265</v>
      </c>
      <c r="B85" s="2">
        <v>0.12429999999999999</v>
      </c>
      <c r="C85" s="2">
        <v>0.32979999999999998</v>
      </c>
      <c r="D85" s="2">
        <v>-3.657</v>
      </c>
      <c r="E85" s="23">
        <f t="shared" si="2"/>
        <v>0</v>
      </c>
      <c r="F85" s="23">
        <f t="shared" si="3"/>
        <v>0</v>
      </c>
    </row>
    <row r="86" spans="1:6">
      <c r="A86">
        <v>0.1305</v>
      </c>
      <c r="B86" s="2">
        <v>0.1186</v>
      </c>
      <c r="C86" s="2">
        <v>0.32979999999999998</v>
      </c>
      <c r="D86" s="2">
        <v>-3.3109999999999999</v>
      </c>
      <c r="E86" s="23">
        <f t="shared" si="2"/>
        <v>0</v>
      </c>
      <c r="F86" s="23">
        <f t="shared" si="3"/>
        <v>0</v>
      </c>
    </row>
    <row r="87" spans="1:6">
      <c r="A87">
        <v>0.13450000000000001</v>
      </c>
      <c r="B87" s="2">
        <v>0.1135</v>
      </c>
      <c r="C87" s="2">
        <v>0.32979999999999998</v>
      </c>
      <c r="D87" s="2">
        <v>-2.9649999999999999</v>
      </c>
      <c r="E87" s="23">
        <f t="shared" si="2"/>
        <v>0</v>
      </c>
      <c r="F87" s="23">
        <f t="shared" si="3"/>
        <v>0</v>
      </c>
    </row>
    <row r="88" spans="1:6">
      <c r="A88">
        <v>0.13850000000000001</v>
      </c>
      <c r="B88" s="2">
        <v>0.1157</v>
      </c>
      <c r="C88" s="2">
        <v>0.32979999999999998</v>
      </c>
      <c r="D88" s="2">
        <v>-2.6230000000000002</v>
      </c>
      <c r="E88" s="23">
        <f t="shared" si="2"/>
        <v>0</v>
      </c>
      <c r="F88" s="23">
        <f t="shared" si="3"/>
        <v>0</v>
      </c>
    </row>
    <row r="89" spans="1:6">
      <c r="A89">
        <v>0.14249999999999999</v>
      </c>
      <c r="B89" s="2">
        <v>0.11550000000000001</v>
      </c>
      <c r="C89" s="2">
        <v>0.32979999999999998</v>
      </c>
      <c r="D89" s="2">
        <v>-2.2890000000000001</v>
      </c>
      <c r="E89" s="23">
        <f t="shared" si="2"/>
        <v>0</v>
      </c>
      <c r="F89" s="23">
        <f t="shared" si="3"/>
        <v>0</v>
      </c>
    </row>
    <row r="90" spans="1:6">
      <c r="A90">
        <v>0.14649999999999999</v>
      </c>
      <c r="B90" s="2">
        <v>0.11899999999999999</v>
      </c>
      <c r="C90" s="2">
        <v>0.32979999999999998</v>
      </c>
      <c r="D90" s="2">
        <v>-1.9570000000000001</v>
      </c>
      <c r="E90" s="23">
        <f t="shared" si="2"/>
        <v>0</v>
      </c>
      <c r="F90" s="23">
        <f t="shared" si="3"/>
        <v>0</v>
      </c>
    </row>
    <row r="91" spans="1:6">
      <c r="A91">
        <v>0.15049999999999999</v>
      </c>
      <c r="B91" s="2">
        <v>0.12</v>
      </c>
      <c r="C91" s="2">
        <v>0.32979999999999998</v>
      </c>
      <c r="D91" s="2">
        <v>-1.629</v>
      </c>
      <c r="E91" s="23">
        <f t="shared" si="2"/>
        <v>0</v>
      </c>
      <c r="F91" s="23">
        <f t="shared" si="3"/>
        <v>0</v>
      </c>
    </row>
    <row r="92" spans="1:6">
      <c r="A92">
        <v>0.1545</v>
      </c>
      <c r="B92" s="2">
        <v>0.1235</v>
      </c>
      <c r="C92" s="2">
        <v>0.32979999999999998</v>
      </c>
      <c r="D92" s="2">
        <v>-1.3009999999999999</v>
      </c>
      <c r="E92" s="23">
        <f t="shared" si="2"/>
        <v>0</v>
      </c>
      <c r="F92" s="23">
        <f t="shared" si="3"/>
        <v>0</v>
      </c>
    </row>
    <row r="93" spans="1:6">
      <c r="A93">
        <v>0.1585</v>
      </c>
      <c r="B93" s="2">
        <v>0.123</v>
      </c>
      <c r="C93" s="2">
        <v>0.32979999999999998</v>
      </c>
      <c r="D93" s="2">
        <v>-0.97550000000000003</v>
      </c>
      <c r="E93" s="23">
        <f t="shared" si="2"/>
        <v>0</v>
      </c>
      <c r="F93" s="23">
        <f t="shared" si="3"/>
        <v>0</v>
      </c>
    </row>
    <row r="94" spans="1:6">
      <c r="A94">
        <v>0.16250000000000001</v>
      </c>
      <c r="B94" s="2">
        <v>0.12959999999999999</v>
      </c>
      <c r="C94" s="2">
        <v>0.32979999999999998</v>
      </c>
      <c r="D94" s="2">
        <v>-0.64590000000000003</v>
      </c>
      <c r="E94" s="23">
        <f t="shared" si="2"/>
        <v>0</v>
      </c>
      <c r="F94" s="23">
        <f t="shared" si="3"/>
        <v>0</v>
      </c>
    </row>
    <row r="95" spans="1:6">
      <c r="A95">
        <v>0.16650000000000001</v>
      </c>
      <c r="B95" s="2">
        <v>0.12470000000000001</v>
      </c>
      <c r="C95" s="2">
        <v>0.32979999999999998</v>
      </c>
      <c r="D95" s="2">
        <v>-0.32869999999999999</v>
      </c>
      <c r="E95" s="23">
        <f t="shared" si="2"/>
        <v>0</v>
      </c>
      <c r="F95" s="23">
        <f t="shared" si="3"/>
        <v>0</v>
      </c>
    </row>
    <row r="96" spans="1:6">
      <c r="A96">
        <v>0.17050000000000001</v>
      </c>
      <c r="B96" s="2">
        <v>0.1195</v>
      </c>
      <c r="C96" s="2">
        <v>0.32979999999999998</v>
      </c>
      <c r="D96" s="2">
        <v>1.6799999999999999E-2</v>
      </c>
      <c r="E96" s="23">
        <f t="shared" si="2"/>
        <v>0</v>
      </c>
      <c r="F96" s="23">
        <f t="shared" si="3"/>
        <v>0</v>
      </c>
    </row>
    <row r="97" spans="1:6">
      <c r="A97">
        <v>0.17449999999999999</v>
      </c>
      <c r="B97" s="2">
        <v>0.11840000000000001</v>
      </c>
      <c r="C97" s="2">
        <v>0.32979999999999998</v>
      </c>
      <c r="D97" s="2">
        <v>0.3503</v>
      </c>
      <c r="E97" s="23">
        <f t="shared" si="2"/>
        <v>0</v>
      </c>
      <c r="F97" s="23">
        <f t="shared" si="3"/>
        <v>0</v>
      </c>
    </row>
    <row r="98" spans="1:6">
      <c r="A98">
        <v>0.17849999999999999</v>
      </c>
      <c r="B98" s="2">
        <v>0.1149</v>
      </c>
      <c r="C98" s="2">
        <v>0.32979999999999998</v>
      </c>
      <c r="D98" s="2">
        <v>0.69220000000000004</v>
      </c>
      <c r="E98" s="23">
        <f t="shared" si="2"/>
        <v>0</v>
      </c>
      <c r="F98" s="23">
        <f t="shared" si="3"/>
        <v>0</v>
      </c>
    </row>
    <row r="99" spans="1:6">
      <c r="A99">
        <v>0.1825</v>
      </c>
      <c r="B99" s="2">
        <v>0.1152</v>
      </c>
      <c r="C99" s="2">
        <v>0.32979999999999998</v>
      </c>
      <c r="D99" s="2">
        <v>1.03</v>
      </c>
      <c r="E99" s="23">
        <f t="shared" si="2"/>
        <v>0</v>
      </c>
      <c r="F99" s="23">
        <f t="shared" si="3"/>
        <v>0</v>
      </c>
    </row>
    <row r="100" spans="1:6">
      <c r="A100">
        <v>0.1865</v>
      </c>
      <c r="B100" s="2">
        <v>0.1206</v>
      </c>
      <c r="C100" s="2">
        <v>0.32979999999999998</v>
      </c>
      <c r="D100" s="2">
        <v>1.3620000000000001</v>
      </c>
      <c r="E100" s="23">
        <f t="shared" si="2"/>
        <v>0</v>
      </c>
      <c r="F100" s="23">
        <f t="shared" si="3"/>
        <v>0</v>
      </c>
    </row>
    <row r="101" spans="1:6">
      <c r="A101">
        <v>0.1905</v>
      </c>
      <c r="B101" s="2">
        <v>0.12659999999999999</v>
      </c>
      <c r="C101" s="2">
        <v>0.32979999999999998</v>
      </c>
      <c r="D101" s="2">
        <v>1.6830000000000001</v>
      </c>
      <c r="E101" s="23">
        <f t="shared" si="2"/>
        <v>0</v>
      </c>
      <c r="F101" s="23">
        <f t="shared" si="3"/>
        <v>0</v>
      </c>
    </row>
    <row r="102" spans="1:6">
      <c r="A102">
        <v>0.19450000000000001</v>
      </c>
      <c r="B102" s="2">
        <v>0.12520000000000001</v>
      </c>
      <c r="C102" s="2">
        <v>0.32979999999999998</v>
      </c>
      <c r="D102" s="2">
        <v>2.0059999999999998</v>
      </c>
      <c r="E102" s="23">
        <f t="shared" si="2"/>
        <v>0</v>
      </c>
      <c r="F102" s="23">
        <f t="shared" si="3"/>
        <v>0</v>
      </c>
    </row>
    <row r="103" spans="1:6">
      <c r="A103">
        <v>0.19850000000000001</v>
      </c>
      <c r="B103" s="2">
        <v>0.1231</v>
      </c>
      <c r="C103" s="2">
        <v>0.32979999999999998</v>
      </c>
      <c r="D103" s="2">
        <v>2.3370000000000002</v>
      </c>
      <c r="E103" s="23">
        <f t="shared" si="2"/>
        <v>0</v>
      </c>
      <c r="F103" s="23">
        <f t="shared" si="3"/>
        <v>0</v>
      </c>
    </row>
    <row r="104" spans="1:6">
      <c r="A104">
        <v>0.20250000000000001</v>
      </c>
      <c r="B104" s="2">
        <v>0.12180000000000001</v>
      </c>
      <c r="C104" s="2">
        <v>0.32979999999999998</v>
      </c>
      <c r="D104" s="2">
        <v>2.673</v>
      </c>
      <c r="E104" s="23">
        <f t="shared" si="2"/>
        <v>0</v>
      </c>
      <c r="F104" s="23">
        <f t="shared" si="3"/>
        <v>0</v>
      </c>
    </row>
    <row r="105" spans="1:6">
      <c r="A105">
        <v>0.20649999999999999</v>
      </c>
      <c r="B105" s="2">
        <v>0.12230000000000001</v>
      </c>
      <c r="C105" s="2">
        <v>0.32979999999999998</v>
      </c>
      <c r="D105" s="2">
        <v>3.004</v>
      </c>
      <c r="E105" s="23">
        <f t="shared" si="2"/>
        <v>0</v>
      </c>
      <c r="F105" s="23">
        <f t="shared" si="3"/>
        <v>0</v>
      </c>
    </row>
    <row r="106" spans="1:6">
      <c r="A106">
        <v>0.21049999999999999</v>
      </c>
      <c r="B106" s="2">
        <v>0.12239999999999999</v>
      </c>
      <c r="C106" s="2">
        <v>0.32979999999999998</v>
      </c>
      <c r="D106" s="2">
        <v>3.3370000000000002</v>
      </c>
      <c r="E106" s="23">
        <f t="shared" si="2"/>
        <v>0</v>
      </c>
      <c r="F106" s="23">
        <f t="shared" si="3"/>
        <v>0</v>
      </c>
    </row>
    <row r="107" spans="1:6">
      <c r="A107">
        <v>0.2145</v>
      </c>
      <c r="B107" s="2">
        <v>0.124</v>
      </c>
      <c r="C107" s="2">
        <v>0.32979999999999998</v>
      </c>
      <c r="D107" s="2">
        <v>3.6669999999999998</v>
      </c>
      <c r="E107" s="23">
        <f t="shared" si="2"/>
        <v>0</v>
      </c>
      <c r="F107" s="23">
        <f t="shared" si="3"/>
        <v>0</v>
      </c>
    </row>
    <row r="108" spans="1:6">
      <c r="A108">
        <v>0.2185</v>
      </c>
      <c r="B108" s="2">
        <v>0.1245</v>
      </c>
      <c r="C108" s="2">
        <v>0.32979999999999998</v>
      </c>
      <c r="D108" s="2">
        <v>3.9950000000000001</v>
      </c>
      <c r="E108" s="23">
        <f t="shared" si="2"/>
        <v>0</v>
      </c>
      <c r="F108" s="23">
        <f t="shared" si="3"/>
        <v>0</v>
      </c>
    </row>
    <row r="109" spans="1:6">
      <c r="A109">
        <v>0.2225</v>
      </c>
      <c r="B109" s="2">
        <v>0.12520000000000001</v>
      </c>
      <c r="C109" s="2">
        <v>0.32979999999999998</v>
      </c>
      <c r="D109" s="2">
        <v>4.3230000000000004</v>
      </c>
      <c r="E109" s="23">
        <f t="shared" si="2"/>
        <v>0</v>
      </c>
      <c r="F109" s="23">
        <f t="shared" si="3"/>
        <v>0</v>
      </c>
    </row>
    <row r="110" spans="1:6">
      <c r="A110">
        <v>0.22650000000000001</v>
      </c>
      <c r="B110" s="2">
        <v>0.12130000000000001</v>
      </c>
      <c r="C110" s="2">
        <v>0.32979999999999998</v>
      </c>
      <c r="D110" s="2">
        <v>4.657</v>
      </c>
      <c r="E110" s="23">
        <f t="shared" si="2"/>
        <v>0</v>
      </c>
      <c r="F110" s="23">
        <f t="shared" si="3"/>
        <v>0</v>
      </c>
    </row>
    <row r="111" spans="1:6">
      <c r="A111">
        <v>0.23050000000000001</v>
      </c>
      <c r="B111" s="2">
        <v>0.12570000000000001</v>
      </c>
      <c r="C111" s="2">
        <v>0.32979999999999998</v>
      </c>
      <c r="D111" s="2">
        <v>4.9880000000000004</v>
      </c>
      <c r="E111" s="23">
        <f t="shared" si="2"/>
        <v>0</v>
      </c>
      <c r="F111" s="23">
        <f t="shared" si="3"/>
        <v>0</v>
      </c>
    </row>
    <row r="112" spans="1:6">
      <c r="A112">
        <v>0.23449999999999999</v>
      </c>
      <c r="B112" s="2">
        <v>0.12520000000000001</v>
      </c>
      <c r="C112" s="2">
        <v>0.32979999999999998</v>
      </c>
      <c r="D112" s="2">
        <v>5.3159999999999998</v>
      </c>
      <c r="E112" s="23">
        <f t="shared" si="2"/>
        <v>0</v>
      </c>
      <c r="F112" s="23">
        <f t="shared" si="3"/>
        <v>0</v>
      </c>
    </row>
    <row r="113" spans="1:6">
      <c r="A113">
        <v>0.23849999999999999</v>
      </c>
      <c r="B113" s="2">
        <v>0.12720000000000001</v>
      </c>
      <c r="C113" s="2">
        <v>0.32979999999999998</v>
      </c>
      <c r="D113" s="2">
        <v>5.6429999999999998</v>
      </c>
      <c r="E113" s="23">
        <f t="shared" si="2"/>
        <v>0</v>
      </c>
      <c r="F113" s="23">
        <f t="shared" si="3"/>
        <v>0</v>
      </c>
    </row>
    <row r="114" spans="1:6">
      <c r="A114">
        <v>0.24249999999999999</v>
      </c>
      <c r="B114" s="2">
        <v>0.12239999999999999</v>
      </c>
      <c r="C114" s="2">
        <v>0.32979999999999998</v>
      </c>
      <c r="D114" s="2">
        <v>5.9740000000000002</v>
      </c>
      <c r="E114" s="23">
        <f t="shared" si="2"/>
        <v>0</v>
      </c>
      <c r="F114" s="23">
        <f t="shared" si="3"/>
        <v>0</v>
      </c>
    </row>
    <row r="115" spans="1:6">
      <c r="A115">
        <v>0.2465</v>
      </c>
      <c r="B115" s="2">
        <v>0.1197</v>
      </c>
      <c r="C115" s="2">
        <v>0.32979999999999998</v>
      </c>
      <c r="D115" s="2">
        <v>6.3120000000000003</v>
      </c>
      <c r="E115" s="23">
        <f t="shared" si="2"/>
        <v>0</v>
      </c>
      <c r="F115" s="23">
        <f t="shared" si="3"/>
        <v>0</v>
      </c>
    </row>
    <row r="116" spans="1:6">
      <c r="A116">
        <v>0.2505</v>
      </c>
      <c r="B116" s="2">
        <v>0.1142</v>
      </c>
      <c r="C116" s="2">
        <v>0.32979999999999998</v>
      </c>
      <c r="D116" s="2">
        <v>6.6529999999999996</v>
      </c>
      <c r="E116" s="23">
        <f t="shared" si="2"/>
        <v>0</v>
      </c>
      <c r="F116" s="23">
        <f t="shared" si="3"/>
        <v>0</v>
      </c>
    </row>
    <row r="117" spans="1:6">
      <c r="A117">
        <v>0.2545</v>
      </c>
      <c r="B117" s="2">
        <v>0.11550000000000001</v>
      </c>
      <c r="C117" s="2">
        <v>0.32979999999999998</v>
      </c>
      <c r="D117" s="2">
        <v>6.9950000000000001</v>
      </c>
      <c r="E117" s="23">
        <f t="shared" si="2"/>
        <v>0</v>
      </c>
      <c r="F117" s="23">
        <f t="shared" si="3"/>
        <v>0</v>
      </c>
    </row>
    <row r="118" spans="1:6">
      <c r="A118">
        <v>0.25850000000000001</v>
      </c>
      <c r="B118" s="2">
        <v>0.12089999999999999</v>
      </c>
      <c r="C118" s="2">
        <v>0.32979999999999998</v>
      </c>
      <c r="D118" s="2">
        <v>7.3250000000000002</v>
      </c>
      <c r="E118" s="23">
        <f t="shared" si="2"/>
        <v>0</v>
      </c>
      <c r="F118" s="23">
        <f t="shared" si="3"/>
        <v>0</v>
      </c>
    </row>
    <row r="119" spans="1:6">
      <c r="A119">
        <v>0.26250000000000001</v>
      </c>
      <c r="B119" s="2">
        <v>0.1303</v>
      </c>
      <c r="C119" s="2">
        <v>0.32979999999999998</v>
      </c>
      <c r="D119" s="2">
        <v>7.6459999999999999</v>
      </c>
      <c r="E119" s="23">
        <f t="shared" si="2"/>
        <v>0</v>
      </c>
      <c r="F119" s="23">
        <f t="shared" si="3"/>
        <v>0</v>
      </c>
    </row>
    <row r="120" spans="1:6">
      <c r="A120">
        <v>0.26650000000000001</v>
      </c>
      <c r="B120" s="2">
        <v>0.13289999999999999</v>
      </c>
      <c r="C120" s="2">
        <v>0.32979999999999998</v>
      </c>
      <c r="D120" s="2">
        <v>7.9580000000000002</v>
      </c>
      <c r="E120" s="23">
        <f t="shared" si="2"/>
        <v>0</v>
      </c>
      <c r="F120" s="23">
        <f t="shared" si="3"/>
        <v>0</v>
      </c>
    </row>
    <row r="121" spans="1:6">
      <c r="A121">
        <v>0.27050000000000002</v>
      </c>
      <c r="B121" s="2">
        <v>0.1313</v>
      </c>
      <c r="C121" s="2">
        <v>0.32979999999999998</v>
      </c>
      <c r="D121" s="2">
        <v>8.2810000000000006</v>
      </c>
      <c r="E121" s="23">
        <f t="shared" si="2"/>
        <v>0</v>
      </c>
      <c r="F121" s="23">
        <f t="shared" si="3"/>
        <v>0</v>
      </c>
    </row>
    <row r="122" spans="1:6">
      <c r="A122">
        <v>0.27450000000000002</v>
      </c>
      <c r="B122" s="2">
        <v>0.1265</v>
      </c>
      <c r="C122" s="2">
        <v>0.32979999999999998</v>
      </c>
      <c r="D122" s="2">
        <v>8.6129999999999995</v>
      </c>
      <c r="E122" s="23">
        <f t="shared" si="2"/>
        <v>0</v>
      </c>
      <c r="F122" s="23">
        <f t="shared" si="3"/>
        <v>0</v>
      </c>
    </row>
    <row r="123" spans="1:6">
      <c r="A123">
        <v>0.27850000000000003</v>
      </c>
      <c r="B123" s="2">
        <v>0.1273</v>
      </c>
      <c r="C123" s="2">
        <v>0.32979999999999998</v>
      </c>
      <c r="D123" s="2">
        <v>8.9480000000000004</v>
      </c>
      <c r="E123" s="23">
        <f t="shared" si="2"/>
        <v>0</v>
      </c>
      <c r="F123" s="23">
        <f t="shared" si="3"/>
        <v>0</v>
      </c>
    </row>
    <row r="124" spans="1:6">
      <c r="A124">
        <v>0.28449999999999998</v>
      </c>
      <c r="B124" s="2">
        <v>0.1313</v>
      </c>
      <c r="C124" s="2">
        <v>0.32979999999999998</v>
      </c>
      <c r="D124" s="2">
        <v>9.4350000000000005</v>
      </c>
      <c r="E124" s="23">
        <f t="shared" si="2"/>
        <v>0</v>
      </c>
      <c r="F124" s="23">
        <f t="shared" si="3"/>
        <v>0</v>
      </c>
    </row>
    <row r="125" spans="1:6">
      <c r="A125">
        <v>0.29249999999999998</v>
      </c>
      <c r="B125" s="2">
        <v>0.1273</v>
      </c>
      <c r="C125" s="2">
        <v>0.3332</v>
      </c>
      <c r="D125" s="2">
        <v>10.09</v>
      </c>
      <c r="E125" s="23">
        <f t="shared" si="2"/>
        <v>0</v>
      </c>
      <c r="F125" s="23">
        <f t="shared" si="3"/>
        <v>0</v>
      </c>
    </row>
    <row r="126" spans="1:6">
      <c r="A126">
        <v>0.30049999999999999</v>
      </c>
      <c r="B126" s="2">
        <v>0.1237</v>
      </c>
      <c r="C126" s="2">
        <v>0.3332</v>
      </c>
      <c r="D126" s="2">
        <v>10.76</v>
      </c>
      <c r="E126" s="23">
        <f t="shared" si="2"/>
        <v>0</v>
      </c>
      <c r="F126" s="23">
        <f t="shared" si="3"/>
        <v>0</v>
      </c>
    </row>
    <row r="127" spans="1:6">
      <c r="A127">
        <v>0.3085</v>
      </c>
      <c r="B127" s="2">
        <v>0.12620000000000001</v>
      </c>
      <c r="C127" s="2">
        <v>0.3332</v>
      </c>
      <c r="D127" s="2">
        <v>11.42</v>
      </c>
      <c r="E127" s="23">
        <f t="shared" si="2"/>
        <v>0</v>
      </c>
      <c r="F127" s="23">
        <f t="shared" si="3"/>
        <v>0</v>
      </c>
    </row>
    <row r="128" spans="1:6">
      <c r="A128">
        <v>0.3165</v>
      </c>
      <c r="B128" s="2">
        <v>0.13830000000000001</v>
      </c>
      <c r="C128" s="2">
        <v>0.3332</v>
      </c>
      <c r="D128" s="2">
        <v>12.39</v>
      </c>
      <c r="E128" s="23">
        <f t="shared" si="2"/>
        <v>0</v>
      </c>
      <c r="F128" s="23">
        <f t="shared" si="3"/>
        <v>0</v>
      </c>
    </row>
    <row r="129" spans="1:6">
      <c r="A129">
        <v>0.32450000000000001</v>
      </c>
      <c r="B129" s="2">
        <v>0.42580000000000001</v>
      </c>
      <c r="C129" s="2">
        <v>0.3332</v>
      </c>
      <c r="D129" s="2">
        <v>17.170000000000002</v>
      </c>
      <c r="E129" s="23">
        <f t="shared" si="2"/>
        <v>0</v>
      </c>
      <c r="F129" s="23">
        <f t="shared" si="3"/>
        <v>0</v>
      </c>
    </row>
    <row r="130" spans="1:6">
      <c r="A130">
        <v>0.33250000000000002</v>
      </c>
      <c r="B130">
        <v>1.284</v>
      </c>
      <c r="C130" s="2">
        <v>0.3332</v>
      </c>
      <c r="D130" s="2">
        <v>24.73</v>
      </c>
      <c r="E130" s="23">
        <f t="shared" si="2"/>
        <v>0</v>
      </c>
      <c r="F130" s="23">
        <f t="shared" si="3"/>
        <v>0</v>
      </c>
    </row>
    <row r="131" spans="1:6">
      <c r="A131">
        <v>0.34050000000000002</v>
      </c>
      <c r="B131">
        <v>1.946</v>
      </c>
      <c r="C131" s="2">
        <v>0.3332</v>
      </c>
      <c r="D131" s="2">
        <v>32.03</v>
      </c>
      <c r="E131" s="23">
        <f t="shared" si="2"/>
        <v>0</v>
      </c>
      <c r="F131" s="23">
        <f t="shared" si="3"/>
        <v>0</v>
      </c>
    </row>
    <row r="132" spans="1:6">
      <c r="A132">
        <v>0.34849999999999998</v>
      </c>
      <c r="B132">
        <v>2.0739999999999998</v>
      </c>
      <c r="C132" s="2">
        <v>0.3332</v>
      </c>
      <c r="D132" s="2">
        <v>40.659999999999997</v>
      </c>
      <c r="E132" s="23">
        <f t="shared" si="2"/>
        <v>0</v>
      </c>
      <c r="F132" s="23">
        <f t="shared" si="3"/>
        <v>0</v>
      </c>
    </row>
    <row r="133" spans="1:6">
      <c r="A133">
        <v>0.35649999999999998</v>
      </c>
      <c r="B133" s="2">
        <v>2.02</v>
      </c>
      <c r="C133" s="2">
        <v>0.3332</v>
      </c>
      <c r="D133" s="2">
        <v>50.08</v>
      </c>
      <c r="E133" s="23">
        <f t="shared" ref="E133:E196" si="4">IF(B133=MEDIAN($J$1-0.05,$J$1+0.05,B133),B133,0)</f>
        <v>0</v>
      </c>
      <c r="F133" s="23">
        <f t="shared" ref="F133:F196" si="5">IF(E133=0,0,D133)</f>
        <v>0</v>
      </c>
    </row>
    <row r="134" spans="1:6">
      <c r="A134">
        <v>0.36449999999999999</v>
      </c>
      <c r="B134" s="2">
        <v>2.0529999999999999</v>
      </c>
      <c r="C134" s="2">
        <v>0.3332</v>
      </c>
      <c r="D134" s="2">
        <v>58.87</v>
      </c>
      <c r="E134" s="23">
        <f t="shared" si="4"/>
        <v>0</v>
      </c>
      <c r="F134" s="23">
        <f t="shared" si="5"/>
        <v>0</v>
      </c>
    </row>
    <row r="135" spans="1:6">
      <c r="A135">
        <v>0.3725</v>
      </c>
      <c r="B135" s="2">
        <v>2.08</v>
      </c>
      <c r="C135" s="2">
        <v>0.3332</v>
      </c>
      <c r="D135" s="2">
        <v>65.459999999999994</v>
      </c>
      <c r="E135" s="23">
        <f t="shared" si="4"/>
        <v>0</v>
      </c>
      <c r="F135" s="23">
        <f t="shared" si="5"/>
        <v>0</v>
      </c>
    </row>
    <row r="136" spans="1:6">
      <c r="A136">
        <v>0.3805</v>
      </c>
      <c r="B136" s="2">
        <v>1.9710000000000001</v>
      </c>
      <c r="C136" s="2">
        <v>0.3332</v>
      </c>
      <c r="D136" s="2">
        <v>72.13</v>
      </c>
      <c r="E136" s="23">
        <f t="shared" si="4"/>
        <v>0</v>
      </c>
      <c r="F136" s="23">
        <f t="shared" si="5"/>
        <v>0</v>
      </c>
    </row>
    <row r="137" spans="1:6">
      <c r="A137">
        <v>0.38850000000000001</v>
      </c>
      <c r="B137" s="2">
        <v>1.929</v>
      </c>
      <c r="C137" s="2">
        <v>0.3332</v>
      </c>
      <c r="D137" s="2">
        <v>76.83</v>
      </c>
      <c r="E137" s="23">
        <f t="shared" si="4"/>
        <v>0</v>
      </c>
      <c r="F137" s="23">
        <f t="shared" si="5"/>
        <v>0</v>
      </c>
    </row>
    <row r="138" spans="1:6">
      <c r="A138">
        <v>0.39650000000000002</v>
      </c>
      <c r="B138">
        <v>1.798</v>
      </c>
      <c r="C138" s="2">
        <v>0.3332</v>
      </c>
      <c r="D138" s="2">
        <v>81.260000000000005</v>
      </c>
      <c r="E138" s="23">
        <f t="shared" si="4"/>
        <v>0</v>
      </c>
      <c r="F138" s="23">
        <f t="shared" si="5"/>
        <v>0</v>
      </c>
    </row>
    <row r="139" spans="1:6">
      <c r="A139">
        <v>0.40450000000000003</v>
      </c>
      <c r="B139">
        <v>1.736</v>
      </c>
      <c r="C139" s="2">
        <v>0.3332</v>
      </c>
      <c r="D139" s="2">
        <v>84.26</v>
      </c>
      <c r="E139" s="23">
        <f t="shared" si="4"/>
        <v>0</v>
      </c>
      <c r="F139" s="23">
        <f t="shared" si="5"/>
        <v>0</v>
      </c>
    </row>
    <row r="140" spans="1:6">
      <c r="A140">
        <v>0.41249999999999998</v>
      </c>
      <c r="B140">
        <v>1.613</v>
      </c>
      <c r="C140" s="2">
        <v>0.3332</v>
      </c>
      <c r="D140" s="2">
        <v>86.94</v>
      </c>
      <c r="E140" s="23">
        <f t="shared" si="4"/>
        <v>0</v>
      </c>
      <c r="F140" s="23">
        <f t="shared" si="5"/>
        <v>0</v>
      </c>
    </row>
    <row r="141" spans="1:6">
      <c r="A141">
        <v>0.42049999999999998</v>
      </c>
      <c r="B141">
        <v>1.399</v>
      </c>
      <c r="C141" s="2">
        <v>0.3332</v>
      </c>
      <c r="D141" s="2">
        <v>86.97</v>
      </c>
      <c r="E141" s="23">
        <f t="shared" si="4"/>
        <v>0</v>
      </c>
      <c r="F141" s="23">
        <f t="shared" si="5"/>
        <v>0</v>
      </c>
    </row>
    <row r="142" spans="1:6">
      <c r="A142">
        <v>0.42849999999999999</v>
      </c>
      <c r="B142">
        <v>1.079</v>
      </c>
      <c r="C142" s="2">
        <v>0.3332</v>
      </c>
      <c r="D142" s="2">
        <v>87.56</v>
      </c>
      <c r="E142" s="23">
        <f t="shared" si="4"/>
        <v>0</v>
      </c>
      <c r="F142" s="23">
        <f t="shared" si="5"/>
        <v>0</v>
      </c>
    </row>
    <row r="143" spans="1:6">
      <c r="A143">
        <v>0.4365</v>
      </c>
      <c r="B143">
        <v>1.0209999999999999</v>
      </c>
      <c r="C143" s="2">
        <v>0.3332</v>
      </c>
      <c r="D143" s="2">
        <v>87.86</v>
      </c>
      <c r="E143" s="23">
        <f t="shared" si="4"/>
        <v>1.0209999999999999</v>
      </c>
      <c r="F143" s="23">
        <f t="shared" si="5"/>
        <v>87.86</v>
      </c>
    </row>
    <row r="144" spans="1:6">
      <c r="A144">
        <v>0.44450000000000001</v>
      </c>
      <c r="B144">
        <v>1.002</v>
      </c>
      <c r="C144" s="2">
        <v>0.3332</v>
      </c>
      <c r="D144" s="2">
        <v>87.83</v>
      </c>
      <c r="E144" s="23">
        <f t="shared" si="4"/>
        <v>1.002</v>
      </c>
      <c r="F144" s="23">
        <f t="shared" si="5"/>
        <v>87.83</v>
      </c>
    </row>
    <row r="145" spans="1:6">
      <c r="A145">
        <v>0.45250000000000001</v>
      </c>
      <c r="B145">
        <v>0.99150000000000005</v>
      </c>
      <c r="C145" s="2">
        <v>0.3332</v>
      </c>
      <c r="D145" s="2">
        <v>88.02</v>
      </c>
      <c r="E145" s="23">
        <f t="shared" si="4"/>
        <v>0.99150000000000005</v>
      </c>
      <c r="F145" s="23">
        <f t="shared" si="5"/>
        <v>88.02</v>
      </c>
    </row>
    <row r="146" spans="1:6">
      <c r="A146">
        <v>0.46050000000000002</v>
      </c>
      <c r="B146">
        <v>0.98960000000000004</v>
      </c>
      <c r="C146" s="2">
        <v>0.3332</v>
      </c>
      <c r="D146" s="2">
        <v>88.25</v>
      </c>
      <c r="E146" s="23">
        <f t="shared" si="4"/>
        <v>0.98960000000000004</v>
      </c>
      <c r="F146" s="23">
        <f t="shared" si="5"/>
        <v>88.25</v>
      </c>
    </row>
    <row r="147" spans="1:6">
      <c r="A147">
        <v>0.46850000000000003</v>
      </c>
      <c r="B147" s="2">
        <v>0.98839999999999995</v>
      </c>
      <c r="C147" s="2">
        <v>0.3332</v>
      </c>
      <c r="D147" s="2">
        <v>88.45</v>
      </c>
      <c r="E147" s="23">
        <f t="shared" si="4"/>
        <v>0.98839999999999995</v>
      </c>
      <c r="F147" s="23">
        <f t="shared" si="5"/>
        <v>88.45</v>
      </c>
    </row>
    <row r="148" spans="1:6">
      <c r="A148">
        <v>0.47649999999999998</v>
      </c>
      <c r="B148" s="2">
        <v>0.9839</v>
      </c>
      <c r="C148" s="2">
        <v>0.3332</v>
      </c>
      <c r="D148" s="2">
        <v>88.75</v>
      </c>
      <c r="E148" s="23">
        <f t="shared" si="4"/>
        <v>0.9839</v>
      </c>
      <c r="F148" s="23">
        <f t="shared" si="5"/>
        <v>88.75</v>
      </c>
    </row>
    <row r="149" spans="1:6">
      <c r="A149">
        <v>0.48449999999999999</v>
      </c>
      <c r="B149" s="2">
        <v>0.9728</v>
      </c>
      <c r="C149" s="2">
        <v>0.3332</v>
      </c>
      <c r="D149" s="2">
        <v>89.27</v>
      </c>
      <c r="E149" s="23">
        <f t="shared" si="4"/>
        <v>0.9728</v>
      </c>
      <c r="F149" s="23">
        <f t="shared" si="5"/>
        <v>89.27</v>
      </c>
    </row>
    <row r="150" spans="1:6">
      <c r="A150">
        <v>0.49249999999999999</v>
      </c>
      <c r="B150" s="2">
        <v>0.9829</v>
      </c>
      <c r="C150" s="2">
        <v>0.3332</v>
      </c>
      <c r="D150" s="2">
        <v>89.59</v>
      </c>
      <c r="E150" s="23">
        <f t="shared" si="4"/>
        <v>0.9829</v>
      </c>
      <c r="F150" s="23">
        <f t="shared" si="5"/>
        <v>89.59</v>
      </c>
    </row>
    <row r="151" spans="1:6">
      <c r="A151">
        <v>0.50049999999999994</v>
      </c>
      <c r="B151" s="2">
        <v>0.98019999999999996</v>
      </c>
      <c r="C151" s="2">
        <v>0.3332</v>
      </c>
      <c r="D151" s="2">
        <v>90.03</v>
      </c>
      <c r="E151" s="23">
        <f t="shared" si="4"/>
        <v>0.98019999999999996</v>
      </c>
      <c r="F151" s="23">
        <f t="shared" si="5"/>
        <v>90.03</v>
      </c>
    </row>
    <row r="152" spans="1:6">
      <c r="A152">
        <v>0.50849999999999995</v>
      </c>
      <c r="B152" s="2">
        <v>0.97629999999999995</v>
      </c>
      <c r="C152" s="2">
        <v>0.3332</v>
      </c>
      <c r="D152" s="2">
        <v>90.4</v>
      </c>
      <c r="E152" s="23">
        <f t="shared" si="4"/>
        <v>0.97629999999999995</v>
      </c>
      <c r="F152" s="23">
        <f t="shared" si="5"/>
        <v>90.4</v>
      </c>
    </row>
    <row r="153" spans="1:6">
      <c r="A153">
        <v>0.51649999999999996</v>
      </c>
      <c r="B153">
        <v>0.96899999999999997</v>
      </c>
      <c r="C153" s="2">
        <v>0.3332</v>
      </c>
      <c r="D153" s="2">
        <v>91.03</v>
      </c>
      <c r="E153" s="23">
        <f t="shared" si="4"/>
        <v>0.96899999999999997</v>
      </c>
      <c r="F153" s="23">
        <f t="shared" si="5"/>
        <v>91.03</v>
      </c>
    </row>
    <row r="154" spans="1:6">
      <c r="A154">
        <v>0.52449999999999997</v>
      </c>
      <c r="B154" s="2">
        <v>0.97450000000000003</v>
      </c>
      <c r="C154" s="2">
        <v>0.3332</v>
      </c>
      <c r="D154" s="2">
        <v>91.58</v>
      </c>
      <c r="E154" s="23">
        <f t="shared" si="4"/>
        <v>0.97450000000000003</v>
      </c>
      <c r="F154" s="23">
        <f t="shared" si="5"/>
        <v>91.58</v>
      </c>
    </row>
    <row r="155" spans="1:6">
      <c r="A155">
        <v>0.53249999999999997</v>
      </c>
      <c r="B155" s="2">
        <v>1.0960000000000001</v>
      </c>
      <c r="C155" s="2">
        <v>0.3332</v>
      </c>
      <c r="D155" s="2">
        <v>93.77</v>
      </c>
      <c r="E155" s="23">
        <f t="shared" si="4"/>
        <v>0</v>
      </c>
      <c r="F155" s="23">
        <f t="shared" si="5"/>
        <v>0</v>
      </c>
    </row>
    <row r="156" spans="1:6">
      <c r="A156">
        <v>0.54049999999999998</v>
      </c>
      <c r="B156" s="2">
        <v>1.3160000000000001</v>
      </c>
      <c r="C156" s="2">
        <v>0.3332</v>
      </c>
      <c r="D156" s="2">
        <v>94.65</v>
      </c>
      <c r="E156" s="23">
        <f t="shared" si="4"/>
        <v>0</v>
      </c>
      <c r="F156" s="23">
        <f t="shared" si="5"/>
        <v>0</v>
      </c>
    </row>
    <row r="157" spans="1:6">
      <c r="A157">
        <v>0.54849999999999999</v>
      </c>
      <c r="B157" s="2">
        <v>1.2949999999999999</v>
      </c>
      <c r="C157" s="2">
        <v>0.3332</v>
      </c>
      <c r="D157" s="2">
        <v>96.33</v>
      </c>
      <c r="E157" s="23">
        <f t="shared" si="4"/>
        <v>0</v>
      </c>
      <c r="F157" s="23">
        <f t="shared" si="5"/>
        <v>0</v>
      </c>
    </row>
    <row r="158" spans="1:6">
      <c r="A158">
        <v>0.55649999999999999</v>
      </c>
      <c r="B158" s="2">
        <v>1.282</v>
      </c>
      <c r="C158" s="2">
        <v>0.3332</v>
      </c>
      <c r="D158" s="2">
        <v>98.19</v>
      </c>
      <c r="E158" s="23">
        <f t="shared" si="4"/>
        <v>0</v>
      </c>
      <c r="F158" s="23">
        <f t="shared" si="5"/>
        <v>0</v>
      </c>
    </row>
    <row r="159" spans="1:6">
      <c r="A159">
        <v>0.5645</v>
      </c>
      <c r="B159" s="2">
        <v>1.274</v>
      </c>
      <c r="C159" s="2">
        <v>0.315</v>
      </c>
      <c r="D159" s="2">
        <v>99.21</v>
      </c>
      <c r="E159" s="23">
        <f t="shared" si="4"/>
        <v>0</v>
      </c>
      <c r="F159" s="23">
        <f t="shared" si="5"/>
        <v>0</v>
      </c>
    </row>
    <row r="160" spans="1:6">
      <c r="A160">
        <v>0.57250000000000001</v>
      </c>
      <c r="B160" s="2">
        <v>1.248</v>
      </c>
      <c r="C160" s="2">
        <v>0.315</v>
      </c>
      <c r="D160" s="2">
        <v>99.94</v>
      </c>
      <c r="E160" s="23">
        <f t="shared" si="4"/>
        <v>0</v>
      </c>
      <c r="F160" s="23">
        <f t="shared" si="5"/>
        <v>0</v>
      </c>
    </row>
    <row r="161" spans="1:6">
      <c r="A161">
        <v>0.58050000000000002</v>
      </c>
      <c r="B161" s="2">
        <v>1.2190000000000001</v>
      </c>
      <c r="C161" s="2">
        <v>0.315</v>
      </c>
      <c r="D161" s="2">
        <v>101</v>
      </c>
      <c r="E161" s="23">
        <f t="shared" si="4"/>
        <v>0</v>
      </c>
      <c r="F161" s="23">
        <f t="shared" si="5"/>
        <v>0</v>
      </c>
    </row>
    <row r="162" spans="1:6">
      <c r="A162">
        <v>0.58850000000000002</v>
      </c>
      <c r="B162" s="2">
        <v>1.208</v>
      </c>
      <c r="C162" s="2">
        <v>0.315</v>
      </c>
      <c r="D162" s="2">
        <v>101.5</v>
      </c>
      <c r="E162" s="23">
        <f t="shared" si="4"/>
        <v>0</v>
      </c>
      <c r="F162" s="23">
        <f t="shared" si="5"/>
        <v>0</v>
      </c>
    </row>
    <row r="163" spans="1:6">
      <c r="A163">
        <v>0.59650000000000003</v>
      </c>
      <c r="B163" s="2">
        <v>1.1990000000000001</v>
      </c>
      <c r="C163" s="2">
        <v>0.315</v>
      </c>
      <c r="D163" s="2">
        <v>101.6</v>
      </c>
      <c r="E163" s="23">
        <f t="shared" si="4"/>
        <v>0</v>
      </c>
      <c r="F163" s="23">
        <f t="shared" si="5"/>
        <v>0</v>
      </c>
    </row>
    <row r="164" spans="1:6">
      <c r="A164">
        <v>0.60850000000000004</v>
      </c>
      <c r="B164" s="2">
        <v>1.1599999999999999</v>
      </c>
      <c r="C164" s="2">
        <v>0.315</v>
      </c>
      <c r="D164" s="2">
        <v>102.2</v>
      </c>
      <c r="E164" s="23">
        <f t="shared" si="4"/>
        <v>0</v>
      </c>
      <c r="F164" s="23">
        <f t="shared" si="5"/>
        <v>0</v>
      </c>
    </row>
    <row r="165" spans="1:6">
      <c r="A165">
        <v>0.62450000000000006</v>
      </c>
      <c r="B165" s="2">
        <v>1.131</v>
      </c>
      <c r="C165" s="2">
        <v>0.315</v>
      </c>
      <c r="D165" s="2">
        <v>102.3</v>
      </c>
      <c r="E165" s="23">
        <f t="shared" si="4"/>
        <v>0</v>
      </c>
      <c r="F165" s="23">
        <f t="shared" si="5"/>
        <v>0</v>
      </c>
    </row>
    <row r="166" spans="1:6">
      <c r="A166">
        <v>0.64049999999999996</v>
      </c>
      <c r="B166" s="2">
        <v>1.016</v>
      </c>
      <c r="C166" s="2">
        <v>0.315</v>
      </c>
      <c r="D166" s="2">
        <v>102.1</v>
      </c>
      <c r="E166" s="23">
        <f t="shared" si="4"/>
        <v>1.016</v>
      </c>
      <c r="F166" s="23">
        <f t="shared" si="5"/>
        <v>102.1</v>
      </c>
    </row>
    <row r="167" spans="1:6">
      <c r="A167">
        <v>0.65649999999999997</v>
      </c>
      <c r="B167">
        <v>1.004</v>
      </c>
      <c r="C167" s="2">
        <v>0.315</v>
      </c>
      <c r="D167" s="2">
        <v>101.8</v>
      </c>
      <c r="E167" s="23">
        <f t="shared" si="4"/>
        <v>1.004</v>
      </c>
      <c r="F167" s="23">
        <f t="shared" si="5"/>
        <v>101.8</v>
      </c>
    </row>
    <row r="168" spans="1:6">
      <c r="A168">
        <v>0.67249999999999999</v>
      </c>
      <c r="B168">
        <v>1.002</v>
      </c>
      <c r="C168" s="2">
        <v>0.315</v>
      </c>
      <c r="D168" s="2">
        <v>101.5</v>
      </c>
      <c r="E168" s="23">
        <f t="shared" si="4"/>
        <v>1.002</v>
      </c>
      <c r="F168" s="23">
        <f t="shared" si="5"/>
        <v>101.5</v>
      </c>
    </row>
    <row r="169" spans="1:6">
      <c r="A169">
        <v>0.6885</v>
      </c>
      <c r="B169" s="2">
        <v>0.99860000000000004</v>
      </c>
      <c r="C169" s="2">
        <v>0.315</v>
      </c>
      <c r="D169" s="2">
        <v>101.5</v>
      </c>
      <c r="E169" s="23">
        <f t="shared" si="4"/>
        <v>0.99860000000000004</v>
      </c>
      <c r="F169" s="23">
        <f t="shared" si="5"/>
        <v>101.5</v>
      </c>
    </row>
    <row r="170" spans="1:6">
      <c r="A170">
        <v>0.70450000000000002</v>
      </c>
      <c r="B170" s="2">
        <v>0.99709999999999999</v>
      </c>
      <c r="C170" s="2">
        <v>0.315</v>
      </c>
      <c r="D170" s="2">
        <v>101.8</v>
      </c>
      <c r="E170" s="23">
        <f t="shared" si="4"/>
        <v>0.99709999999999999</v>
      </c>
      <c r="F170" s="23">
        <f t="shared" si="5"/>
        <v>101.8</v>
      </c>
    </row>
    <row r="171" spans="1:6">
      <c r="A171">
        <v>0.72050000000000003</v>
      </c>
      <c r="B171" s="2">
        <v>0.99460000000000004</v>
      </c>
      <c r="C171" s="2">
        <v>0.315</v>
      </c>
      <c r="D171" s="2">
        <v>102.2</v>
      </c>
      <c r="E171" s="23">
        <f t="shared" si="4"/>
        <v>0.99460000000000004</v>
      </c>
      <c r="F171" s="23">
        <f t="shared" si="5"/>
        <v>102.2</v>
      </c>
    </row>
    <row r="172" spans="1:6">
      <c r="A172">
        <v>0.73650000000000004</v>
      </c>
      <c r="B172" s="2">
        <v>1</v>
      </c>
      <c r="C172" s="2">
        <v>0.315</v>
      </c>
      <c r="D172" s="2">
        <v>102.4</v>
      </c>
      <c r="E172" s="23">
        <f t="shared" si="4"/>
        <v>1</v>
      </c>
      <c r="F172" s="23">
        <f t="shared" si="5"/>
        <v>102.4</v>
      </c>
    </row>
    <row r="173" spans="1:6">
      <c r="A173">
        <v>0.75249999999999995</v>
      </c>
      <c r="B173" s="2">
        <v>0.99680000000000002</v>
      </c>
      <c r="C173" s="2">
        <v>0.315</v>
      </c>
      <c r="D173" s="2">
        <v>102.5</v>
      </c>
      <c r="E173" s="23">
        <f t="shared" si="4"/>
        <v>0.99680000000000002</v>
      </c>
      <c r="F173" s="23">
        <f t="shared" si="5"/>
        <v>102.5</v>
      </c>
    </row>
    <row r="174" spans="1:6">
      <c r="A174">
        <v>0.76849999999999996</v>
      </c>
      <c r="B174" s="2">
        <v>0.99580000000000002</v>
      </c>
      <c r="C174" s="2">
        <v>0.315</v>
      </c>
      <c r="D174" s="2">
        <v>103</v>
      </c>
      <c r="E174" s="23">
        <f t="shared" si="4"/>
        <v>0.99580000000000002</v>
      </c>
      <c r="F174" s="23">
        <f t="shared" si="5"/>
        <v>103</v>
      </c>
    </row>
    <row r="175" spans="1:6">
      <c r="A175">
        <v>0.78449999999999998</v>
      </c>
      <c r="B175" s="2">
        <v>0.99670000000000003</v>
      </c>
      <c r="C175" s="2">
        <v>0.30890000000000001</v>
      </c>
      <c r="D175" s="2">
        <v>103.3</v>
      </c>
      <c r="E175" s="23">
        <f t="shared" si="4"/>
        <v>0.99670000000000003</v>
      </c>
      <c r="F175" s="23">
        <f t="shared" si="5"/>
        <v>103.3</v>
      </c>
    </row>
    <row r="176" spans="1:6">
      <c r="A176">
        <v>0.80049999999999999</v>
      </c>
      <c r="B176" s="2">
        <v>0.996</v>
      </c>
      <c r="C176" s="2">
        <v>0.30890000000000001</v>
      </c>
      <c r="D176" s="2">
        <v>103.8</v>
      </c>
      <c r="E176" s="23">
        <f t="shared" si="4"/>
        <v>0.996</v>
      </c>
      <c r="F176" s="23">
        <f t="shared" si="5"/>
        <v>103.8</v>
      </c>
    </row>
    <row r="177" spans="1:6">
      <c r="A177">
        <v>0.8165</v>
      </c>
      <c r="B177" s="2">
        <v>0.99960000000000004</v>
      </c>
      <c r="C177" s="2">
        <v>0.30890000000000001</v>
      </c>
      <c r="D177" s="2">
        <v>103.8</v>
      </c>
      <c r="E177" s="23">
        <f t="shared" si="4"/>
        <v>0.99960000000000004</v>
      </c>
      <c r="F177" s="23">
        <f t="shared" si="5"/>
        <v>103.8</v>
      </c>
    </row>
    <row r="178" spans="1:6">
      <c r="A178">
        <v>0.83250000000000002</v>
      </c>
      <c r="B178" s="2">
        <v>0.99390000000000001</v>
      </c>
      <c r="C178" s="2">
        <v>0.30890000000000001</v>
      </c>
      <c r="D178" s="2">
        <v>104.3</v>
      </c>
      <c r="E178" s="23">
        <f t="shared" si="4"/>
        <v>0.99390000000000001</v>
      </c>
      <c r="F178" s="23">
        <f t="shared" si="5"/>
        <v>104.3</v>
      </c>
    </row>
    <row r="179" spans="1:6">
      <c r="A179">
        <v>0.84850000000000003</v>
      </c>
      <c r="B179" s="2">
        <v>1.0009999999999999</v>
      </c>
      <c r="C179" s="2">
        <v>0.30890000000000001</v>
      </c>
      <c r="D179" s="2">
        <v>104.4</v>
      </c>
      <c r="E179" s="23">
        <f t="shared" si="4"/>
        <v>1.0009999999999999</v>
      </c>
      <c r="F179" s="23">
        <f t="shared" si="5"/>
        <v>104.4</v>
      </c>
    </row>
    <row r="180" spans="1:6">
      <c r="A180">
        <v>0.86450000000000005</v>
      </c>
      <c r="B180">
        <v>0.99339999999999995</v>
      </c>
      <c r="C180" s="2">
        <v>0.30890000000000001</v>
      </c>
      <c r="D180" s="2">
        <v>104.8</v>
      </c>
      <c r="E180" s="23">
        <f t="shared" si="4"/>
        <v>0.99339999999999995</v>
      </c>
      <c r="F180" s="23">
        <f t="shared" si="5"/>
        <v>104.8</v>
      </c>
    </row>
    <row r="181" spans="1:6">
      <c r="A181">
        <v>0.88049999999999995</v>
      </c>
      <c r="B181">
        <v>0.99829999999999997</v>
      </c>
      <c r="C181" s="2">
        <v>0.30890000000000001</v>
      </c>
      <c r="D181" s="2">
        <v>105.2</v>
      </c>
      <c r="E181" s="23">
        <f t="shared" si="4"/>
        <v>0.99829999999999997</v>
      </c>
      <c r="F181" s="23">
        <f t="shared" si="5"/>
        <v>105.2</v>
      </c>
    </row>
    <row r="182" spans="1:6">
      <c r="A182">
        <v>0.89649999999999996</v>
      </c>
      <c r="B182">
        <v>0.99760000000000004</v>
      </c>
      <c r="C182" s="2">
        <v>0.30890000000000001</v>
      </c>
      <c r="D182" s="2">
        <v>105.3</v>
      </c>
      <c r="E182" s="23">
        <f t="shared" si="4"/>
        <v>0.99760000000000004</v>
      </c>
      <c r="F182" s="23">
        <f t="shared" si="5"/>
        <v>105.3</v>
      </c>
    </row>
    <row r="183" spans="1:6">
      <c r="A183">
        <v>0.91249999999999998</v>
      </c>
      <c r="B183" s="2">
        <v>0.99929999999999997</v>
      </c>
      <c r="C183" s="2">
        <v>0.30890000000000001</v>
      </c>
      <c r="D183" s="2">
        <v>105.4</v>
      </c>
      <c r="E183" s="23">
        <f t="shared" si="4"/>
        <v>0.99929999999999997</v>
      </c>
      <c r="F183" s="23">
        <f t="shared" si="5"/>
        <v>105.4</v>
      </c>
    </row>
    <row r="184" spans="1:6">
      <c r="A184">
        <v>0.92849999999999999</v>
      </c>
      <c r="B184" s="2">
        <v>0.99339999999999995</v>
      </c>
      <c r="C184" s="2">
        <v>0.30890000000000001</v>
      </c>
      <c r="D184" s="2">
        <v>105.9</v>
      </c>
      <c r="E184" s="23">
        <f t="shared" si="4"/>
        <v>0.99339999999999995</v>
      </c>
      <c r="F184" s="23">
        <f t="shared" si="5"/>
        <v>105.9</v>
      </c>
    </row>
    <row r="185" spans="1:6">
      <c r="A185">
        <v>0.94450000000000001</v>
      </c>
      <c r="B185" s="2">
        <v>0.99839999999999995</v>
      </c>
      <c r="C185" s="2">
        <v>0.30890000000000001</v>
      </c>
      <c r="D185" s="2">
        <v>106.4</v>
      </c>
      <c r="E185" s="23">
        <f t="shared" si="4"/>
        <v>0.99839999999999995</v>
      </c>
      <c r="F185" s="23">
        <f t="shared" si="5"/>
        <v>106.4</v>
      </c>
    </row>
    <row r="186" spans="1:6">
      <c r="A186">
        <v>0.96050000000000002</v>
      </c>
      <c r="B186" s="2">
        <v>1.0009999999999999</v>
      </c>
      <c r="C186" s="2">
        <v>0.30890000000000001</v>
      </c>
      <c r="D186" s="2">
        <v>106.2</v>
      </c>
      <c r="E186" s="23">
        <f t="shared" si="4"/>
        <v>1.0009999999999999</v>
      </c>
      <c r="F186" s="23">
        <f t="shared" si="5"/>
        <v>106.2</v>
      </c>
    </row>
    <row r="187" spans="1:6">
      <c r="A187">
        <v>0.97650000000000003</v>
      </c>
      <c r="B187" s="2">
        <v>0.99670000000000003</v>
      </c>
      <c r="C187" s="2">
        <v>0.30890000000000001</v>
      </c>
      <c r="D187" s="2">
        <v>106.4</v>
      </c>
      <c r="E187" s="23">
        <f t="shared" si="4"/>
        <v>0.99670000000000003</v>
      </c>
      <c r="F187" s="23">
        <f t="shared" si="5"/>
        <v>106.4</v>
      </c>
    </row>
    <row r="188" spans="1:6">
      <c r="A188">
        <v>0.99250000000000005</v>
      </c>
      <c r="B188" s="2">
        <v>0.99770000000000003</v>
      </c>
      <c r="C188" s="2">
        <v>0.30890000000000001</v>
      </c>
      <c r="D188" s="2">
        <v>106.7</v>
      </c>
      <c r="E188" s="23">
        <f t="shared" si="4"/>
        <v>0.99770000000000003</v>
      </c>
      <c r="F188" s="23">
        <f t="shared" si="5"/>
        <v>106.7</v>
      </c>
    </row>
    <row r="189" spans="1:6">
      <c r="A189">
        <v>1.0085</v>
      </c>
      <c r="B189" s="2">
        <v>0.99670000000000003</v>
      </c>
      <c r="C189" s="2">
        <v>0.30890000000000001</v>
      </c>
      <c r="D189" s="2">
        <v>107</v>
      </c>
      <c r="E189" s="23">
        <f t="shared" si="4"/>
        <v>0.99670000000000003</v>
      </c>
      <c r="F189" s="23">
        <f t="shared" si="5"/>
        <v>107</v>
      </c>
    </row>
    <row r="190" spans="1:6">
      <c r="A190">
        <v>1.0245</v>
      </c>
      <c r="B190" s="2">
        <v>0.99990000000000001</v>
      </c>
      <c r="C190" s="2">
        <v>0.30890000000000001</v>
      </c>
      <c r="D190" s="2">
        <v>107.1</v>
      </c>
      <c r="E190" s="23">
        <f t="shared" si="4"/>
        <v>0.99990000000000001</v>
      </c>
      <c r="F190" s="23">
        <f t="shared" si="5"/>
        <v>107.1</v>
      </c>
    </row>
    <row r="191" spans="1:6">
      <c r="A191">
        <v>1.0405</v>
      </c>
      <c r="B191" s="2">
        <v>0.99919999999999998</v>
      </c>
      <c r="C191" s="2">
        <v>0.312</v>
      </c>
      <c r="D191" s="2">
        <v>107.2</v>
      </c>
      <c r="E191" s="23">
        <f t="shared" si="4"/>
        <v>0.99919999999999998</v>
      </c>
      <c r="F191" s="23">
        <f t="shared" si="5"/>
        <v>107.2</v>
      </c>
    </row>
    <row r="192" spans="1:6">
      <c r="A192">
        <v>1.0565</v>
      </c>
      <c r="B192" s="2">
        <v>0.99690000000000001</v>
      </c>
      <c r="C192" s="2">
        <v>0.312</v>
      </c>
      <c r="D192" s="2">
        <v>107.2</v>
      </c>
      <c r="E192" s="23">
        <f t="shared" si="4"/>
        <v>0.99690000000000001</v>
      </c>
      <c r="F192" s="23">
        <f t="shared" si="5"/>
        <v>107.2</v>
      </c>
    </row>
    <row r="193" spans="1:6">
      <c r="A193">
        <v>1.0725</v>
      </c>
      <c r="B193" s="2">
        <v>0.99960000000000004</v>
      </c>
      <c r="C193" s="2">
        <v>0.312</v>
      </c>
      <c r="D193" s="2">
        <v>107.4</v>
      </c>
      <c r="E193" s="23">
        <f t="shared" si="4"/>
        <v>0.99960000000000004</v>
      </c>
      <c r="F193" s="23">
        <f t="shared" si="5"/>
        <v>107.4</v>
      </c>
    </row>
    <row r="194" spans="1:6">
      <c r="A194">
        <v>1.0885</v>
      </c>
      <c r="B194" s="2">
        <v>0.99729999999999996</v>
      </c>
      <c r="C194" s="2">
        <v>0.312</v>
      </c>
      <c r="D194" s="2">
        <v>107.7</v>
      </c>
      <c r="E194" s="23">
        <f t="shared" si="4"/>
        <v>0.99729999999999996</v>
      </c>
      <c r="F194" s="23">
        <f t="shared" si="5"/>
        <v>107.7</v>
      </c>
    </row>
    <row r="195" spans="1:6">
      <c r="A195">
        <v>1.1045</v>
      </c>
      <c r="B195" s="2">
        <v>0.99890000000000001</v>
      </c>
      <c r="C195" s="2">
        <v>0.312</v>
      </c>
      <c r="D195" s="2">
        <v>107.8</v>
      </c>
      <c r="E195" s="23">
        <f t="shared" si="4"/>
        <v>0.99890000000000001</v>
      </c>
      <c r="F195" s="23">
        <f t="shared" si="5"/>
        <v>107.8</v>
      </c>
    </row>
    <row r="196" spans="1:6">
      <c r="A196">
        <v>1.1205000000000001</v>
      </c>
      <c r="B196" s="2">
        <v>1.0009999999999999</v>
      </c>
      <c r="C196" s="2">
        <v>0.312</v>
      </c>
      <c r="D196" s="2">
        <v>107.7</v>
      </c>
      <c r="E196" s="23">
        <f t="shared" si="4"/>
        <v>1.0009999999999999</v>
      </c>
      <c r="F196" s="23">
        <f t="shared" si="5"/>
        <v>107.7</v>
      </c>
    </row>
    <row r="197" spans="1:6">
      <c r="A197">
        <v>1.1365000000000001</v>
      </c>
      <c r="B197" s="2">
        <v>0.99850000000000005</v>
      </c>
      <c r="C197" s="2">
        <v>0.312</v>
      </c>
      <c r="D197" s="2">
        <v>107.9</v>
      </c>
      <c r="E197" s="23">
        <f t="shared" ref="E197:E260" si="6">IF(B197=MEDIAN($J$1-0.05,$J$1+0.05,B197),B197,0)</f>
        <v>0.99850000000000005</v>
      </c>
      <c r="F197" s="23">
        <f t="shared" ref="F197:F260" si="7">IF(E197=0,0,D197)</f>
        <v>107.9</v>
      </c>
    </row>
    <row r="198" spans="1:6">
      <c r="A198">
        <v>1.1525000000000001</v>
      </c>
      <c r="B198" s="2">
        <v>0.99560000000000004</v>
      </c>
      <c r="C198" s="2">
        <v>0.312</v>
      </c>
      <c r="D198" s="2">
        <v>108.2</v>
      </c>
      <c r="E198" s="23">
        <f t="shared" si="6"/>
        <v>0.99560000000000004</v>
      </c>
      <c r="F198" s="23">
        <f t="shared" si="7"/>
        <v>108.2</v>
      </c>
    </row>
    <row r="199" spans="1:6">
      <c r="A199">
        <v>1.1685000000000001</v>
      </c>
      <c r="B199" s="2">
        <v>1.0009999999999999</v>
      </c>
      <c r="C199" s="2">
        <v>0.312</v>
      </c>
      <c r="D199" s="2">
        <v>108.4</v>
      </c>
      <c r="E199" s="23">
        <f t="shared" si="6"/>
        <v>1.0009999999999999</v>
      </c>
      <c r="F199" s="23">
        <f t="shared" si="7"/>
        <v>108.4</v>
      </c>
    </row>
    <row r="200" spans="1:6">
      <c r="A200">
        <v>1.1845000000000001</v>
      </c>
      <c r="B200" s="2">
        <v>1.002</v>
      </c>
      <c r="C200" s="2">
        <v>0.312</v>
      </c>
      <c r="D200" s="2">
        <v>108.2</v>
      </c>
      <c r="E200" s="23">
        <f t="shared" si="6"/>
        <v>1.002</v>
      </c>
      <c r="F200" s="23">
        <f t="shared" si="7"/>
        <v>108.2</v>
      </c>
    </row>
    <row r="201" spans="1:6">
      <c r="A201">
        <v>1.2004999999999999</v>
      </c>
      <c r="B201" s="2">
        <v>0.99660000000000004</v>
      </c>
      <c r="C201" s="2">
        <v>0.312</v>
      </c>
      <c r="D201" s="2">
        <v>108.2</v>
      </c>
      <c r="E201" s="23">
        <f t="shared" si="6"/>
        <v>0.99660000000000004</v>
      </c>
      <c r="F201" s="23">
        <f t="shared" si="7"/>
        <v>108.2</v>
      </c>
    </row>
    <row r="202" spans="1:6">
      <c r="A202">
        <v>1.2164999999999999</v>
      </c>
      <c r="B202" s="2">
        <v>0.99750000000000005</v>
      </c>
      <c r="C202" s="2">
        <v>0.312</v>
      </c>
      <c r="D202" s="2">
        <v>108.6</v>
      </c>
      <c r="E202" s="23">
        <f t="shared" si="6"/>
        <v>0.99750000000000005</v>
      </c>
      <c r="F202" s="23">
        <f t="shared" si="7"/>
        <v>108.6</v>
      </c>
    </row>
    <row r="203" spans="1:6">
      <c r="A203">
        <v>1.2324999999999999</v>
      </c>
      <c r="B203" s="2">
        <v>0.99929999999999997</v>
      </c>
      <c r="C203" s="2">
        <v>0.312</v>
      </c>
      <c r="D203" s="2">
        <v>108.7</v>
      </c>
      <c r="E203" s="23">
        <f t="shared" si="6"/>
        <v>0.99929999999999997</v>
      </c>
      <c r="F203" s="23">
        <f t="shared" si="7"/>
        <v>108.7</v>
      </c>
    </row>
    <row r="204" spans="1:6">
      <c r="A204">
        <v>1.2565</v>
      </c>
      <c r="B204">
        <v>1</v>
      </c>
      <c r="C204" s="2">
        <v>0.312</v>
      </c>
      <c r="D204">
        <v>108.6</v>
      </c>
      <c r="E204" s="23">
        <f t="shared" si="6"/>
        <v>1</v>
      </c>
      <c r="F204" s="23">
        <f t="shared" si="7"/>
        <v>108.6</v>
      </c>
    </row>
    <row r="205" spans="1:6">
      <c r="A205">
        <v>1.2885</v>
      </c>
      <c r="B205">
        <v>0.99850000000000005</v>
      </c>
      <c r="C205">
        <v>0.31390000000000001</v>
      </c>
      <c r="D205">
        <v>108.9</v>
      </c>
      <c r="E205" s="23">
        <f t="shared" si="6"/>
        <v>0.99850000000000005</v>
      </c>
      <c r="F205" s="23">
        <f t="shared" si="7"/>
        <v>108.9</v>
      </c>
    </row>
    <row r="206" spans="1:6">
      <c r="A206">
        <v>1.3205</v>
      </c>
      <c r="B206">
        <v>0.99970000000000003</v>
      </c>
      <c r="C206">
        <v>0.31390000000000001</v>
      </c>
      <c r="D206">
        <v>109</v>
      </c>
      <c r="E206" s="23">
        <f t="shared" si="6"/>
        <v>0.99970000000000003</v>
      </c>
      <c r="F206" s="23">
        <f t="shared" si="7"/>
        <v>109</v>
      </c>
    </row>
    <row r="207" spans="1:6">
      <c r="A207">
        <v>1.3525</v>
      </c>
      <c r="B207">
        <v>0.99939999999999996</v>
      </c>
      <c r="C207">
        <v>0.31390000000000001</v>
      </c>
      <c r="D207">
        <v>109.1</v>
      </c>
      <c r="E207" s="23">
        <f t="shared" si="6"/>
        <v>0.99939999999999996</v>
      </c>
      <c r="F207" s="23">
        <f t="shared" si="7"/>
        <v>109.1</v>
      </c>
    </row>
    <row r="208" spans="1:6">
      <c r="A208">
        <v>1.3845000000000001</v>
      </c>
      <c r="B208">
        <v>0.99990000000000001</v>
      </c>
      <c r="C208">
        <v>0.31390000000000001</v>
      </c>
      <c r="D208">
        <v>109.3</v>
      </c>
      <c r="E208" s="23">
        <f t="shared" si="6"/>
        <v>0.99990000000000001</v>
      </c>
      <c r="F208" s="23">
        <f t="shared" si="7"/>
        <v>109.3</v>
      </c>
    </row>
    <row r="209" spans="1:6">
      <c r="A209">
        <v>1.4165000000000001</v>
      </c>
      <c r="B209">
        <v>0.99860000000000004</v>
      </c>
      <c r="C209">
        <v>0.31390000000000001</v>
      </c>
      <c r="D209">
        <v>109.3</v>
      </c>
      <c r="E209" s="23">
        <f t="shared" si="6"/>
        <v>0.99860000000000004</v>
      </c>
      <c r="F209" s="23">
        <f t="shared" si="7"/>
        <v>109.3</v>
      </c>
    </row>
    <row r="210" spans="1:6">
      <c r="A210">
        <v>1.4484999999999999</v>
      </c>
      <c r="B210">
        <v>1</v>
      </c>
      <c r="C210">
        <v>0.31390000000000001</v>
      </c>
      <c r="D210">
        <v>109.4</v>
      </c>
      <c r="E210" s="23">
        <f t="shared" si="6"/>
        <v>1</v>
      </c>
      <c r="F210" s="23">
        <f t="shared" si="7"/>
        <v>109.4</v>
      </c>
    </row>
    <row r="211" spans="1:6">
      <c r="A211">
        <v>1.4804999999999999</v>
      </c>
      <c r="B211">
        <v>0.998</v>
      </c>
      <c r="C211">
        <v>0.31390000000000001</v>
      </c>
      <c r="D211">
        <v>109.4</v>
      </c>
      <c r="E211" s="23">
        <f t="shared" si="6"/>
        <v>0.998</v>
      </c>
      <c r="F211" s="23">
        <f t="shared" si="7"/>
        <v>109.4</v>
      </c>
    </row>
    <row r="212" spans="1:6">
      <c r="A212">
        <v>1.5125</v>
      </c>
      <c r="B212">
        <v>0.99970000000000003</v>
      </c>
      <c r="C212">
        <v>0.31390000000000001</v>
      </c>
      <c r="D212">
        <v>109.5</v>
      </c>
      <c r="E212" s="23">
        <f t="shared" si="6"/>
        <v>0.99970000000000003</v>
      </c>
      <c r="F212" s="23">
        <f t="shared" si="7"/>
        <v>109.5</v>
      </c>
    </row>
    <row r="213" spans="1:6">
      <c r="A213">
        <v>1.5445</v>
      </c>
      <c r="B213">
        <v>1</v>
      </c>
      <c r="C213">
        <v>0.311</v>
      </c>
      <c r="D213">
        <v>109.6</v>
      </c>
      <c r="E213" s="23">
        <f t="shared" si="6"/>
        <v>1</v>
      </c>
      <c r="F213" s="23">
        <f t="shared" si="7"/>
        <v>109.6</v>
      </c>
    </row>
    <row r="214" spans="1:6">
      <c r="A214">
        <v>1.5765</v>
      </c>
      <c r="B214">
        <v>0.99919999999999998</v>
      </c>
      <c r="C214">
        <v>0.311</v>
      </c>
      <c r="D214">
        <v>109.7</v>
      </c>
      <c r="E214" s="23">
        <f t="shared" si="6"/>
        <v>0.99919999999999998</v>
      </c>
      <c r="F214" s="23">
        <f t="shared" si="7"/>
        <v>109.7</v>
      </c>
    </row>
    <row r="215" spans="1:6">
      <c r="A215">
        <v>1.6085</v>
      </c>
      <c r="B215">
        <v>1.0009999999999999</v>
      </c>
      <c r="C215">
        <v>0.311</v>
      </c>
      <c r="D215">
        <v>109.7</v>
      </c>
      <c r="E215" s="23">
        <f t="shared" si="6"/>
        <v>1.0009999999999999</v>
      </c>
      <c r="F215" s="23">
        <f t="shared" si="7"/>
        <v>109.7</v>
      </c>
    </row>
    <row r="216" spans="1:6">
      <c r="A216">
        <v>1.6405000000000001</v>
      </c>
      <c r="B216">
        <v>0.99970000000000003</v>
      </c>
      <c r="C216">
        <v>0.311</v>
      </c>
      <c r="D216">
        <v>109.7</v>
      </c>
      <c r="E216" s="23">
        <f t="shared" si="6"/>
        <v>0.99970000000000003</v>
      </c>
      <c r="F216" s="23">
        <f t="shared" si="7"/>
        <v>109.7</v>
      </c>
    </row>
    <row r="217" spans="1:6">
      <c r="A217">
        <v>1.6725000000000001</v>
      </c>
      <c r="B217">
        <v>0.99909999999999999</v>
      </c>
      <c r="C217">
        <v>0.311</v>
      </c>
      <c r="D217">
        <v>109.8</v>
      </c>
      <c r="E217" s="23">
        <f t="shared" si="6"/>
        <v>0.99909999999999999</v>
      </c>
      <c r="F217" s="23">
        <f t="shared" si="7"/>
        <v>109.8</v>
      </c>
    </row>
    <row r="218" spans="1:6">
      <c r="A218">
        <v>1.7044999999999999</v>
      </c>
      <c r="B218">
        <v>1</v>
      </c>
      <c r="C218">
        <v>0.311</v>
      </c>
      <c r="D218">
        <v>109.8</v>
      </c>
      <c r="E218" s="23">
        <f t="shared" si="6"/>
        <v>1</v>
      </c>
      <c r="F218" s="23">
        <f t="shared" si="7"/>
        <v>109.8</v>
      </c>
    </row>
    <row r="219" spans="1:6">
      <c r="A219">
        <v>1.7364999999999999</v>
      </c>
      <c r="B219">
        <v>0.99970000000000003</v>
      </c>
      <c r="C219">
        <v>0.311</v>
      </c>
      <c r="D219">
        <v>109.9</v>
      </c>
      <c r="E219" s="23">
        <f t="shared" si="6"/>
        <v>0.99970000000000003</v>
      </c>
      <c r="F219" s="23">
        <f t="shared" si="7"/>
        <v>109.9</v>
      </c>
    </row>
    <row r="220" spans="1:6">
      <c r="A220">
        <v>1.7685</v>
      </c>
      <c r="B220">
        <v>0.99980000000000002</v>
      </c>
      <c r="C220">
        <v>0.311</v>
      </c>
      <c r="D220">
        <v>109.8</v>
      </c>
      <c r="E220" s="23">
        <f t="shared" si="6"/>
        <v>0.99980000000000002</v>
      </c>
      <c r="F220" s="23">
        <f t="shared" si="7"/>
        <v>109.8</v>
      </c>
    </row>
    <row r="221" spans="1:6">
      <c r="A221">
        <v>1.8005</v>
      </c>
      <c r="B221">
        <v>0.99990000000000001</v>
      </c>
      <c r="C221">
        <v>0.30890000000000001</v>
      </c>
      <c r="D221">
        <v>109.9</v>
      </c>
      <c r="E221" s="23">
        <f t="shared" si="6"/>
        <v>0.99990000000000001</v>
      </c>
      <c r="F221" s="23">
        <f t="shared" si="7"/>
        <v>109.9</v>
      </c>
    </row>
    <row r="222" spans="1:6">
      <c r="A222">
        <v>1.8325</v>
      </c>
      <c r="B222">
        <v>0.99990000000000001</v>
      </c>
      <c r="C222">
        <v>0.30890000000000001</v>
      </c>
      <c r="D222">
        <v>109.9</v>
      </c>
      <c r="E222" s="23">
        <f t="shared" si="6"/>
        <v>0.99990000000000001</v>
      </c>
      <c r="F222" s="23">
        <f t="shared" si="7"/>
        <v>109.9</v>
      </c>
    </row>
    <row r="223" spans="1:6">
      <c r="A223">
        <v>1.8645</v>
      </c>
      <c r="B223">
        <v>1</v>
      </c>
      <c r="C223">
        <v>0.30890000000000001</v>
      </c>
      <c r="D223">
        <v>109.8</v>
      </c>
      <c r="E223" s="23">
        <f t="shared" si="6"/>
        <v>1</v>
      </c>
      <c r="F223" s="23">
        <f t="shared" si="7"/>
        <v>109.8</v>
      </c>
    </row>
    <row r="224" spans="1:6">
      <c r="A224">
        <v>1.8965000000000001</v>
      </c>
      <c r="B224">
        <v>0.99980000000000002</v>
      </c>
      <c r="C224">
        <v>0.30890000000000001</v>
      </c>
      <c r="D224">
        <v>110</v>
      </c>
      <c r="E224" s="23">
        <f t="shared" si="6"/>
        <v>0.99980000000000002</v>
      </c>
      <c r="F224" s="23">
        <f t="shared" si="7"/>
        <v>110</v>
      </c>
    </row>
    <row r="225" spans="1:6">
      <c r="A225">
        <v>1.9285000000000001</v>
      </c>
      <c r="B225">
        <v>1.0009999999999999</v>
      </c>
      <c r="C225">
        <v>0.30890000000000001</v>
      </c>
      <c r="D225">
        <v>109.8</v>
      </c>
      <c r="E225" s="23">
        <f t="shared" si="6"/>
        <v>1.0009999999999999</v>
      </c>
      <c r="F225" s="23">
        <f t="shared" si="7"/>
        <v>109.8</v>
      </c>
    </row>
    <row r="226" spans="1:6">
      <c r="A226">
        <v>1.9604999999999999</v>
      </c>
      <c r="B226">
        <v>0.99880000000000002</v>
      </c>
      <c r="C226">
        <v>0.30890000000000001</v>
      </c>
      <c r="D226">
        <v>110</v>
      </c>
      <c r="E226" s="23">
        <f t="shared" si="6"/>
        <v>0.99880000000000002</v>
      </c>
      <c r="F226" s="23">
        <f t="shared" si="7"/>
        <v>110</v>
      </c>
    </row>
    <row r="227" spans="1:6">
      <c r="A227">
        <v>1.9924999999999999</v>
      </c>
      <c r="B227">
        <v>1</v>
      </c>
      <c r="C227">
        <v>0.30890000000000001</v>
      </c>
      <c r="D227">
        <v>109.9</v>
      </c>
      <c r="E227" s="23">
        <f t="shared" si="6"/>
        <v>1</v>
      </c>
      <c r="F227" s="23">
        <f t="shared" si="7"/>
        <v>109.9</v>
      </c>
    </row>
    <row r="228" spans="1:6">
      <c r="A228">
        <v>2.0245000000000002</v>
      </c>
      <c r="B228">
        <v>0.99919999999999998</v>
      </c>
      <c r="C228" s="2">
        <v>0.3044</v>
      </c>
      <c r="D228">
        <v>109.9</v>
      </c>
      <c r="E228" s="23">
        <f t="shared" si="6"/>
        <v>0.99919999999999998</v>
      </c>
      <c r="F228" s="23">
        <f t="shared" si="7"/>
        <v>109.9</v>
      </c>
    </row>
    <row r="229" spans="1:6">
      <c r="A229">
        <v>2.0565000000000002</v>
      </c>
      <c r="B229">
        <v>1.002</v>
      </c>
      <c r="C229" s="2">
        <v>0.3044</v>
      </c>
      <c r="D229">
        <v>109.9</v>
      </c>
      <c r="E229" s="23">
        <f t="shared" si="6"/>
        <v>1.002</v>
      </c>
      <c r="F229" s="23">
        <f t="shared" si="7"/>
        <v>109.9</v>
      </c>
    </row>
    <row r="230" spans="1:6">
      <c r="A230">
        <v>2.0884999999999998</v>
      </c>
      <c r="B230">
        <v>0.99809999999999999</v>
      </c>
      <c r="C230" s="2">
        <v>0.3044</v>
      </c>
      <c r="D230">
        <v>109.9</v>
      </c>
      <c r="E230" s="23">
        <f t="shared" si="6"/>
        <v>0.99809999999999999</v>
      </c>
      <c r="F230" s="23">
        <f t="shared" si="7"/>
        <v>109.9</v>
      </c>
    </row>
    <row r="231" spans="1:6">
      <c r="A231">
        <v>2.1204999999999998</v>
      </c>
      <c r="B231">
        <v>1.002</v>
      </c>
      <c r="C231" s="2">
        <v>0.3044</v>
      </c>
      <c r="D231">
        <v>109.8</v>
      </c>
      <c r="E231" s="23">
        <f t="shared" si="6"/>
        <v>1.002</v>
      </c>
      <c r="F231" s="23">
        <f t="shared" si="7"/>
        <v>109.8</v>
      </c>
    </row>
    <row r="232" spans="1:6">
      <c r="A232">
        <v>2.1524999999999999</v>
      </c>
      <c r="B232">
        <v>0.99990000000000001</v>
      </c>
      <c r="C232" s="2">
        <v>0.3044</v>
      </c>
      <c r="D232">
        <v>109.9</v>
      </c>
      <c r="E232" s="23">
        <f t="shared" si="6"/>
        <v>0.99990000000000001</v>
      </c>
      <c r="F232" s="23">
        <f t="shared" si="7"/>
        <v>109.9</v>
      </c>
    </row>
    <row r="233" spans="1:6">
      <c r="A233">
        <v>2.1844999999999999</v>
      </c>
      <c r="B233">
        <v>0.99960000000000004</v>
      </c>
      <c r="C233" s="2">
        <v>0.3044</v>
      </c>
      <c r="D233">
        <v>109.9</v>
      </c>
      <c r="E233" s="23">
        <f t="shared" si="6"/>
        <v>0.99960000000000004</v>
      </c>
      <c r="F233" s="23">
        <f t="shared" si="7"/>
        <v>109.9</v>
      </c>
    </row>
    <row r="234" spans="1:6">
      <c r="A234">
        <v>2.2164999999999999</v>
      </c>
      <c r="B234">
        <v>1.0009999999999999</v>
      </c>
      <c r="C234" s="2">
        <v>0.3044</v>
      </c>
      <c r="D234">
        <v>109.8</v>
      </c>
      <c r="E234" s="23">
        <f t="shared" si="6"/>
        <v>1.0009999999999999</v>
      </c>
      <c r="F234" s="23">
        <f t="shared" si="7"/>
        <v>109.8</v>
      </c>
    </row>
    <row r="235" spans="1:6">
      <c r="A235">
        <v>2.2484999999999999</v>
      </c>
      <c r="B235">
        <v>0.99880000000000002</v>
      </c>
      <c r="C235" s="2">
        <v>0.3044</v>
      </c>
      <c r="D235">
        <v>110</v>
      </c>
      <c r="E235" s="23">
        <f t="shared" si="6"/>
        <v>0.99880000000000002</v>
      </c>
      <c r="F235" s="23">
        <f t="shared" si="7"/>
        <v>110</v>
      </c>
    </row>
    <row r="236" spans="1:6">
      <c r="A236">
        <v>2.2805</v>
      </c>
      <c r="B236">
        <v>1</v>
      </c>
      <c r="C236" s="2">
        <v>0.3044</v>
      </c>
      <c r="D236">
        <v>109.7</v>
      </c>
      <c r="E236" s="23">
        <f t="shared" si="6"/>
        <v>1</v>
      </c>
      <c r="F236" s="23">
        <f t="shared" si="7"/>
        <v>109.7</v>
      </c>
    </row>
    <row r="237" spans="1:6">
      <c r="A237">
        <v>2.3125</v>
      </c>
      <c r="B237">
        <v>0.99970000000000003</v>
      </c>
      <c r="C237" s="2">
        <v>0.3044</v>
      </c>
      <c r="D237">
        <v>109.8</v>
      </c>
      <c r="E237" s="23">
        <f t="shared" si="6"/>
        <v>0.99970000000000003</v>
      </c>
      <c r="F237" s="23">
        <f t="shared" si="7"/>
        <v>109.8</v>
      </c>
    </row>
    <row r="238" spans="1:6">
      <c r="A238">
        <v>2.3445</v>
      </c>
      <c r="B238">
        <v>0.99960000000000004</v>
      </c>
      <c r="C238" s="2">
        <v>0.3044</v>
      </c>
      <c r="D238">
        <v>109.8</v>
      </c>
      <c r="E238" s="23">
        <f t="shared" si="6"/>
        <v>0.99960000000000004</v>
      </c>
      <c r="F238" s="23">
        <f t="shared" si="7"/>
        <v>109.8</v>
      </c>
    </row>
    <row r="239" spans="1:6">
      <c r="A239">
        <v>2.3765000000000001</v>
      </c>
      <c r="B239">
        <v>1.0009999999999999</v>
      </c>
      <c r="C239" s="2">
        <v>0.3044</v>
      </c>
      <c r="D239">
        <v>109.7</v>
      </c>
      <c r="E239" s="23">
        <f t="shared" si="6"/>
        <v>1.0009999999999999</v>
      </c>
      <c r="F239" s="23">
        <f t="shared" si="7"/>
        <v>109.7</v>
      </c>
    </row>
    <row r="240" spans="1:6">
      <c r="A240">
        <v>2.4085000000000001</v>
      </c>
      <c r="B240">
        <v>1.0009999999999999</v>
      </c>
      <c r="C240" s="2">
        <v>0.3044</v>
      </c>
      <c r="D240">
        <v>109.8</v>
      </c>
      <c r="E240" s="23">
        <f t="shared" si="6"/>
        <v>1.0009999999999999</v>
      </c>
      <c r="F240" s="23">
        <f t="shared" si="7"/>
        <v>109.8</v>
      </c>
    </row>
    <row r="241" spans="1:6">
      <c r="A241">
        <v>2.4405000000000001</v>
      </c>
      <c r="B241">
        <v>0.99970000000000003</v>
      </c>
      <c r="C241" s="2">
        <v>0.3044</v>
      </c>
      <c r="D241">
        <v>109.6</v>
      </c>
      <c r="E241" s="23">
        <f t="shared" si="6"/>
        <v>0.99970000000000003</v>
      </c>
      <c r="F241" s="23">
        <f t="shared" si="7"/>
        <v>109.6</v>
      </c>
    </row>
    <row r="242" spans="1:6">
      <c r="A242">
        <v>2.4725000000000001</v>
      </c>
      <c r="B242">
        <v>1</v>
      </c>
      <c r="C242" s="2">
        <v>0.3044</v>
      </c>
      <c r="D242">
        <v>109.8</v>
      </c>
      <c r="E242" s="23">
        <f t="shared" si="6"/>
        <v>1</v>
      </c>
      <c r="F242" s="23">
        <f t="shared" si="7"/>
        <v>109.8</v>
      </c>
    </row>
    <row r="243" spans="1:6">
      <c r="A243">
        <v>2.5045000000000002</v>
      </c>
      <c r="B243">
        <v>0.99950000000000006</v>
      </c>
      <c r="C243" s="2">
        <v>0.30320000000000003</v>
      </c>
      <c r="D243">
        <v>109.6</v>
      </c>
      <c r="E243" s="23">
        <f t="shared" si="6"/>
        <v>0.99950000000000006</v>
      </c>
      <c r="F243" s="23">
        <f t="shared" si="7"/>
        <v>109.6</v>
      </c>
    </row>
    <row r="244" spans="1:6">
      <c r="A244">
        <v>2.5525000000000002</v>
      </c>
      <c r="B244">
        <v>0.99990000000000001</v>
      </c>
      <c r="C244" s="2">
        <v>0.30320000000000003</v>
      </c>
      <c r="D244">
        <v>109.6</v>
      </c>
      <c r="E244" s="23">
        <f t="shared" si="6"/>
        <v>0.99990000000000001</v>
      </c>
      <c r="F244" s="23">
        <f t="shared" si="7"/>
        <v>109.6</v>
      </c>
    </row>
    <row r="245" spans="1:6">
      <c r="A245">
        <v>2.6164999999999998</v>
      </c>
      <c r="B245">
        <v>1</v>
      </c>
      <c r="C245" s="2">
        <v>0.30320000000000003</v>
      </c>
      <c r="D245">
        <v>109.6</v>
      </c>
      <c r="E245" s="23">
        <f t="shared" si="6"/>
        <v>1</v>
      </c>
      <c r="F245" s="23">
        <f t="shared" si="7"/>
        <v>109.6</v>
      </c>
    </row>
    <row r="246" spans="1:6">
      <c r="A246">
        <v>2.6804999999999999</v>
      </c>
      <c r="B246">
        <v>1</v>
      </c>
      <c r="C246" s="2">
        <v>0.30320000000000003</v>
      </c>
      <c r="D246">
        <v>109.6</v>
      </c>
      <c r="E246" s="23">
        <f t="shared" si="6"/>
        <v>1</v>
      </c>
      <c r="F246" s="23">
        <f t="shared" si="7"/>
        <v>109.6</v>
      </c>
    </row>
    <row r="247" spans="1:6">
      <c r="A247">
        <v>2.7444999999999999</v>
      </c>
      <c r="B247">
        <v>0.99970000000000003</v>
      </c>
      <c r="C247" s="2">
        <v>0.30109999999999998</v>
      </c>
      <c r="D247">
        <v>109.5</v>
      </c>
      <c r="E247" s="23">
        <f t="shared" si="6"/>
        <v>0.99970000000000003</v>
      </c>
      <c r="F247" s="23">
        <f t="shared" si="7"/>
        <v>109.5</v>
      </c>
    </row>
    <row r="248" spans="1:6">
      <c r="A248">
        <v>2.8085</v>
      </c>
      <c r="B248">
        <v>1</v>
      </c>
      <c r="C248" s="2">
        <v>0.30109999999999998</v>
      </c>
      <c r="D248">
        <v>109.4</v>
      </c>
      <c r="E248" s="23">
        <f t="shared" si="6"/>
        <v>1</v>
      </c>
      <c r="F248" s="23">
        <f t="shared" si="7"/>
        <v>109.4</v>
      </c>
    </row>
    <row r="249" spans="1:6">
      <c r="A249">
        <v>2.8725000000000001</v>
      </c>
      <c r="B249">
        <v>1</v>
      </c>
      <c r="C249" s="2">
        <v>0.30109999999999998</v>
      </c>
      <c r="D249">
        <v>109.4</v>
      </c>
      <c r="E249" s="23">
        <f t="shared" si="6"/>
        <v>1</v>
      </c>
      <c r="F249" s="23">
        <f t="shared" si="7"/>
        <v>109.4</v>
      </c>
    </row>
    <row r="250" spans="1:6">
      <c r="A250">
        <v>2.9365000000000001</v>
      </c>
      <c r="B250">
        <v>1</v>
      </c>
      <c r="C250" s="2">
        <v>0.30109999999999998</v>
      </c>
      <c r="D250">
        <v>109.4</v>
      </c>
      <c r="E250" s="23">
        <f t="shared" si="6"/>
        <v>1</v>
      </c>
      <c r="F250" s="23">
        <f t="shared" si="7"/>
        <v>109.4</v>
      </c>
    </row>
    <row r="251" spans="1:6">
      <c r="A251">
        <v>3.0005000000000002</v>
      </c>
      <c r="B251">
        <v>1.0009999999999999</v>
      </c>
      <c r="C251" s="2">
        <v>0.30020000000000002</v>
      </c>
      <c r="D251">
        <v>109.3</v>
      </c>
      <c r="E251" s="23">
        <f t="shared" si="6"/>
        <v>1.0009999999999999</v>
      </c>
      <c r="F251" s="23">
        <f t="shared" si="7"/>
        <v>109.3</v>
      </c>
    </row>
    <row r="252" spans="1:6">
      <c r="A252">
        <v>3.0644999999999998</v>
      </c>
      <c r="B252">
        <v>0.99950000000000006</v>
      </c>
      <c r="C252" s="2">
        <v>0.30020000000000002</v>
      </c>
      <c r="D252">
        <v>109.3</v>
      </c>
      <c r="E252" s="23">
        <f t="shared" si="6"/>
        <v>0.99950000000000006</v>
      </c>
      <c r="F252" s="23">
        <f t="shared" si="7"/>
        <v>109.3</v>
      </c>
    </row>
    <row r="253" spans="1:6">
      <c r="A253">
        <v>3.1284999999999998</v>
      </c>
      <c r="B253">
        <v>1</v>
      </c>
      <c r="C253" s="2">
        <v>0.30020000000000002</v>
      </c>
      <c r="D253">
        <v>109.2</v>
      </c>
      <c r="E253" s="23">
        <f t="shared" si="6"/>
        <v>1</v>
      </c>
      <c r="F253" s="23">
        <f t="shared" si="7"/>
        <v>109.2</v>
      </c>
    </row>
    <row r="254" spans="1:6">
      <c r="A254">
        <v>3.1924999999999999</v>
      </c>
      <c r="B254">
        <v>1</v>
      </c>
      <c r="C254" s="2">
        <v>0.30020000000000002</v>
      </c>
      <c r="D254">
        <v>109.2</v>
      </c>
      <c r="E254" s="23">
        <f t="shared" si="6"/>
        <v>1</v>
      </c>
      <c r="F254" s="23">
        <f t="shared" si="7"/>
        <v>109.2</v>
      </c>
    </row>
    <row r="255" spans="1:6">
      <c r="A255">
        <v>3.2565</v>
      </c>
      <c r="B255">
        <v>0.99990000000000001</v>
      </c>
      <c r="C255" s="2">
        <v>0.30059999999999998</v>
      </c>
      <c r="D255">
        <v>109.2</v>
      </c>
      <c r="E255" s="23">
        <f t="shared" si="6"/>
        <v>0.99990000000000001</v>
      </c>
      <c r="F255" s="23">
        <f t="shared" si="7"/>
        <v>109.2</v>
      </c>
    </row>
    <row r="256" spans="1:6">
      <c r="A256">
        <v>3.3205</v>
      </c>
      <c r="B256">
        <v>1</v>
      </c>
      <c r="C256" s="2">
        <v>0.30059999999999998</v>
      </c>
      <c r="D256">
        <v>109.1</v>
      </c>
      <c r="E256" s="23">
        <f t="shared" si="6"/>
        <v>1</v>
      </c>
      <c r="F256" s="23">
        <f t="shared" si="7"/>
        <v>109.1</v>
      </c>
    </row>
    <row r="257" spans="1:6">
      <c r="A257">
        <v>3.3845000000000001</v>
      </c>
      <c r="B257">
        <v>1</v>
      </c>
      <c r="C257" s="2">
        <v>0.30059999999999998</v>
      </c>
      <c r="D257">
        <v>109</v>
      </c>
      <c r="E257" s="23">
        <f t="shared" si="6"/>
        <v>1</v>
      </c>
      <c r="F257" s="23">
        <f t="shared" si="7"/>
        <v>109</v>
      </c>
    </row>
    <row r="258" spans="1:6">
      <c r="A258">
        <v>3.4485000000000001</v>
      </c>
      <c r="B258">
        <v>1</v>
      </c>
      <c r="C258" s="2">
        <v>0.30059999999999998</v>
      </c>
      <c r="D258">
        <v>109</v>
      </c>
      <c r="E258" s="23">
        <f t="shared" si="6"/>
        <v>1</v>
      </c>
      <c r="F258" s="23">
        <f t="shared" si="7"/>
        <v>109</v>
      </c>
    </row>
    <row r="259" spans="1:6">
      <c r="A259">
        <v>3.5125000000000002</v>
      </c>
      <c r="B259">
        <v>0.99990000000000001</v>
      </c>
      <c r="C259" s="2">
        <v>0.29880000000000001</v>
      </c>
      <c r="D259">
        <v>109</v>
      </c>
      <c r="E259" s="23">
        <f t="shared" si="6"/>
        <v>0.99990000000000001</v>
      </c>
      <c r="F259" s="23">
        <f t="shared" si="7"/>
        <v>109</v>
      </c>
    </row>
    <row r="260" spans="1:6">
      <c r="A260">
        <v>3.5764999999999998</v>
      </c>
      <c r="B260">
        <v>1</v>
      </c>
      <c r="C260" s="2">
        <v>0.29880000000000001</v>
      </c>
      <c r="D260">
        <v>109</v>
      </c>
      <c r="E260" s="23">
        <f t="shared" si="6"/>
        <v>1</v>
      </c>
      <c r="F260" s="23">
        <f t="shared" si="7"/>
        <v>109</v>
      </c>
    </row>
    <row r="261" spans="1:6">
      <c r="A261">
        <v>3.6404999999999998</v>
      </c>
      <c r="B261">
        <v>1</v>
      </c>
      <c r="C261" s="2">
        <v>0.29880000000000001</v>
      </c>
      <c r="D261">
        <v>108.9</v>
      </c>
      <c r="E261" s="23">
        <f t="shared" ref="E261:E324" si="8">IF(B261=MEDIAN($J$1-0.05,$J$1+0.05,B261),B261,0)</f>
        <v>1</v>
      </c>
      <c r="F261" s="23">
        <f t="shared" ref="F261:F324" si="9">IF(E261=0,0,D261)</f>
        <v>108.9</v>
      </c>
    </row>
    <row r="262" spans="1:6">
      <c r="A262">
        <v>3.7044999999999999</v>
      </c>
      <c r="B262">
        <v>1</v>
      </c>
      <c r="C262" s="2">
        <v>0.29880000000000001</v>
      </c>
      <c r="D262">
        <v>108.9</v>
      </c>
      <c r="E262" s="23">
        <f t="shared" si="8"/>
        <v>1</v>
      </c>
      <c r="F262" s="23">
        <f t="shared" si="9"/>
        <v>108.9</v>
      </c>
    </row>
    <row r="263" spans="1:6">
      <c r="A263">
        <v>3.7685</v>
      </c>
      <c r="B263">
        <v>1</v>
      </c>
      <c r="C263" s="2">
        <v>0.29670000000000002</v>
      </c>
      <c r="D263">
        <v>108.8</v>
      </c>
      <c r="E263" s="23">
        <f t="shared" si="8"/>
        <v>1</v>
      </c>
      <c r="F263" s="23">
        <f t="shared" si="9"/>
        <v>108.8</v>
      </c>
    </row>
    <row r="264" spans="1:6">
      <c r="A264">
        <v>3.8325</v>
      </c>
      <c r="B264">
        <v>0.99990000000000001</v>
      </c>
      <c r="C264" s="2">
        <v>0.29670000000000002</v>
      </c>
      <c r="D264">
        <v>108.8</v>
      </c>
      <c r="E264" s="23">
        <f t="shared" si="8"/>
        <v>0.99990000000000001</v>
      </c>
      <c r="F264" s="23">
        <f t="shared" si="9"/>
        <v>108.8</v>
      </c>
    </row>
    <row r="265" spans="1:6">
      <c r="A265">
        <v>3.8965000000000001</v>
      </c>
      <c r="B265">
        <v>0.99960000000000004</v>
      </c>
      <c r="C265" s="2">
        <v>0.29670000000000002</v>
      </c>
      <c r="D265">
        <v>108.7</v>
      </c>
      <c r="E265" s="23">
        <f t="shared" si="8"/>
        <v>0.99960000000000004</v>
      </c>
      <c r="F265" s="23">
        <f t="shared" si="9"/>
        <v>108.7</v>
      </c>
    </row>
    <row r="266" spans="1:6">
      <c r="A266">
        <v>3.9605000000000001</v>
      </c>
      <c r="B266">
        <v>1</v>
      </c>
      <c r="C266" s="2">
        <v>0.29670000000000002</v>
      </c>
      <c r="D266">
        <v>108.7</v>
      </c>
      <c r="E266" s="23">
        <f t="shared" si="8"/>
        <v>1</v>
      </c>
      <c r="F266" s="23">
        <f t="shared" si="9"/>
        <v>108.7</v>
      </c>
    </row>
    <row r="267" spans="1:6">
      <c r="A267">
        <v>4.0244999999999997</v>
      </c>
      <c r="B267">
        <v>1</v>
      </c>
      <c r="C267" s="2">
        <v>0.29699999999999999</v>
      </c>
      <c r="D267">
        <v>108.7</v>
      </c>
      <c r="E267" s="23">
        <f t="shared" si="8"/>
        <v>1</v>
      </c>
      <c r="F267" s="23">
        <f t="shared" si="9"/>
        <v>108.7</v>
      </c>
    </row>
    <row r="268" spans="1:6">
      <c r="A268">
        <v>4.0884999999999998</v>
      </c>
      <c r="B268">
        <v>1</v>
      </c>
      <c r="C268" s="2">
        <v>0.29699999999999999</v>
      </c>
      <c r="D268">
        <v>108.7</v>
      </c>
      <c r="E268" s="23">
        <f t="shared" si="8"/>
        <v>1</v>
      </c>
      <c r="F268" s="23">
        <f t="shared" si="9"/>
        <v>108.7</v>
      </c>
    </row>
    <row r="269" spans="1:6">
      <c r="A269">
        <v>4.1524999999999999</v>
      </c>
      <c r="B269">
        <v>0.99980000000000002</v>
      </c>
      <c r="C269" s="2">
        <v>0.29699999999999999</v>
      </c>
      <c r="D269">
        <v>108.6</v>
      </c>
      <c r="E269" s="23">
        <f t="shared" si="8"/>
        <v>0.99980000000000002</v>
      </c>
      <c r="F269" s="23">
        <f t="shared" si="9"/>
        <v>108.6</v>
      </c>
    </row>
    <row r="270" spans="1:6">
      <c r="A270">
        <v>4.2164999999999999</v>
      </c>
      <c r="B270">
        <v>1</v>
      </c>
      <c r="C270" s="2">
        <v>0.29699999999999999</v>
      </c>
      <c r="D270">
        <v>108.6</v>
      </c>
      <c r="E270" s="23">
        <f t="shared" si="8"/>
        <v>1</v>
      </c>
      <c r="F270" s="23">
        <f t="shared" si="9"/>
        <v>108.6</v>
      </c>
    </row>
    <row r="271" spans="1:6">
      <c r="A271">
        <v>4.2805</v>
      </c>
      <c r="B271">
        <v>0.99990000000000001</v>
      </c>
      <c r="C271" s="2">
        <v>0.29709999999999998</v>
      </c>
      <c r="D271">
        <v>108.5</v>
      </c>
      <c r="E271" s="23">
        <f t="shared" si="8"/>
        <v>0.99990000000000001</v>
      </c>
      <c r="F271" s="23">
        <f t="shared" si="9"/>
        <v>108.5</v>
      </c>
    </row>
    <row r="272" spans="1:6">
      <c r="A272">
        <v>4.3445</v>
      </c>
      <c r="B272">
        <v>1</v>
      </c>
      <c r="C272" s="2">
        <v>0.29709999999999998</v>
      </c>
      <c r="D272">
        <v>108.5</v>
      </c>
      <c r="E272" s="23">
        <f t="shared" si="8"/>
        <v>1</v>
      </c>
      <c r="F272" s="23">
        <f t="shared" si="9"/>
        <v>108.5</v>
      </c>
    </row>
    <row r="273" spans="1:6">
      <c r="A273">
        <v>4.4085000000000001</v>
      </c>
      <c r="B273">
        <v>0.99970000000000003</v>
      </c>
      <c r="C273" s="2">
        <v>0.29709999999999998</v>
      </c>
      <c r="D273">
        <v>108.5</v>
      </c>
      <c r="E273" s="23">
        <f t="shared" si="8"/>
        <v>0.99970000000000003</v>
      </c>
      <c r="F273" s="23">
        <f t="shared" si="9"/>
        <v>108.5</v>
      </c>
    </row>
    <row r="274" spans="1:6">
      <c r="A274">
        <v>4.4725000000000001</v>
      </c>
      <c r="B274">
        <v>0.99980000000000002</v>
      </c>
      <c r="C274" s="2">
        <v>0.29470000000000002</v>
      </c>
      <c r="D274">
        <v>108.4</v>
      </c>
      <c r="E274" s="23">
        <f t="shared" si="8"/>
        <v>0.99980000000000002</v>
      </c>
      <c r="F274" s="23">
        <f t="shared" si="9"/>
        <v>108.4</v>
      </c>
    </row>
    <row r="275" spans="1:6">
      <c r="A275">
        <v>4.5365000000000002</v>
      </c>
      <c r="B275">
        <v>1</v>
      </c>
      <c r="C275" s="2">
        <v>0.29470000000000002</v>
      </c>
      <c r="D275">
        <v>108.4</v>
      </c>
      <c r="E275" s="23">
        <f t="shared" si="8"/>
        <v>1</v>
      </c>
      <c r="F275" s="23">
        <f t="shared" si="9"/>
        <v>108.4</v>
      </c>
    </row>
    <row r="276" spans="1:6">
      <c r="A276">
        <v>4.6005000000000003</v>
      </c>
      <c r="B276">
        <v>1</v>
      </c>
      <c r="C276" s="2">
        <v>0.29470000000000002</v>
      </c>
      <c r="D276">
        <v>108.4</v>
      </c>
      <c r="E276" s="23">
        <f t="shared" si="8"/>
        <v>1</v>
      </c>
      <c r="F276" s="23">
        <f t="shared" si="9"/>
        <v>108.4</v>
      </c>
    </row>
    <row r="277" spans="1:6">
      <c r="A277">
        <v>4.6645000000000003</v>
      </c>
      <c r="B277">
        <v>0.99990000000000001</v>
      </c>
      <c r="C277" s="2">
        <v>0.29470000000000002</v>
      </c>
      <c r="D277">
        <v>108.4</v>
      </c>
      <c r="E277" s="23">
        <f t="shared" si="8"/>
        <v>0.99990000000000001</v>
      </c>
      <c r="F277" s="23">
        <f t="shared" si="9"/>
        <v>108.4</v>
      </c>
    </row>
    <row r="278" spans="1:6">
      <c r="A278">
        <v>4.7285000000000004</v>
      </c>
      <c r="B278">
        <v>1.0009999999999999</v>
      </c>
      <c r="C278" s="2">
        <v>0.29599999999999999</v>
      </c>
      <c r="D278">
        <v>108.3</v>
      </c>
      <c r="E278" s="23">
        <f t="shared" si="8"/>
        <v>1.0009999999999999</v>
      </c>
      <c r="F278" s="23">
        <f t="shared" si="9"/>
        <v>108.3</v>
      </c>
    </row>
    <row r="279" spans="1:6">
      <c r="A279">
        <v>4.7925000000000004</v>
      </c>
      <c r="B279">
        <v>0.99970000000000003</v>
      </c>
      <c r="C279" s="2">
        <v>0.29599999999999999</v>
      </c>
      <c r="D279">
        <v>108.3</v>
      </c>
      <c r="E279" s="23">
        <f t="shared" si="8"/>
        <v>0.99970000000000003</v>
      </c>
      <c r="F279" s="23">
        <f t="shared" si="9"/>
        <v>108.3</v>
      </c>
    </row>
    <row r="280" spans="1:6">
      <c r="A280">
        <v>4.8564999999999996</v>
      </c>
      <c r="B280">
        <v>0.99980000000000002</v>
      </c>
      <c r="C280" s="2">
        <v>0.29599999999999999</v>
      </c>
      <c r="D280">
        <v>108.3</v>
      </c>
      <c r="E280" s="23">
        <f t="shared" si="8"/>
        <v>0.99980000000000002</v>
      </c>
      <c r="F280" s="23">
        <f t="shared" si="9"/>
        <v>108.3</v>
      </c>
    </row>
    <row r="281" spans="1:6">
      <c r="A281">
        <v>4.9204999999999997</v>
      </c>
      <c r="B281">
        <v>0.99960000000000004</v>
      </c>
      <c r="C281" s="2">
        <v>0.29599999999999999</v>
      </c>
      <c r="D281">
        <v>108.3</v>
      </c>
      <c r="E281" s="23">
        <f t="shared" si="8"/>
        <v>0.99960000000000004</v>
      </c>
      <c r="F281" s="23">
        <f t="shared" si="9"/>
        <v>108.3</v>
      </c>
    </row>
    <row r="282" spans="1:6">
      <c r="A282">
        <v>4.9844999999999997</v>
      </c>
      <c r="B282">
        <v>0.99960000000000004</v>
      </c>
      <c r="C282" s="2">
        <v>0.2928</v>
      </c>
      <c r="D282">
        <v>108.3</v>
      </c>
      <c r="E282" s="23">
        <f t="shared" si="8"/>
        <v>0.99960000000000004</v>
      </c>
      <c r="F282" s="23">
        <f t="shared" si="9"/>
        <v>108.3</v>
      </c>
    </row>
    <row r="283" spans="1:6">
      <c r="A283">
        <v>5.0484999999999998</v>
      </c>
      <c r="B283">
        <v>1</v>
      </c>
      <c r="C283" s="2">
        <v>0.2928</v>
      </c>
      <c r="D283">
        <v>108.2</v>
      </c>
      <c r="E283" s="23">
        <f t="shared" si="8"/>
        <v>1</v>
      </c>
      <c r="F283" s="23">
        <f t="shared" si="9"/>
        <v>108.2</v>
      </c>
    </row>
    <row r="284" spans="1:6">
      <c r="A284">
        <v>5.1444999999999999</v>
      </c>
      <c r="B284">
        <v>1</v>
      </c>
      <c r="C284" s="2">
        <v>0.2928</v>
      </c>
      <c r="D284">
        <v>108.3</v>
      </c>
      <c r="E284" s="23">
        <f t="shared" si="8"/>
        <v>1</v>
      </c>
      <c r="F284" s="23">
        <f t="shared" si="9"/>
        <v>108.3</v>
      </c>
    </row>
    <row r="285" spans="1:6">
      <c r="A285">
        <v>5.2725</v>
      </c>
      <c r="B285">
        <v>0.99980000000000002</v>
      </c>
      <c r="C285" s="2">
        <v>0.29509999999999997</v>
      </c>
      <c r="D285">
        <v>108.2</v>
      </c>
      <c r="E285" s="23">
        <f t="shared" si="8"/>
        <v>0.99980000000000002</v>
      </c>
      <c r="F285" s="23">
        <f t="shared" si="9"/>
        <v>108.2</v>
      </c>
    </row>
    <row r="286" spans="1:6">
      <c r="A286">
        <v>5.4005000000000001</v>
      </c>
      <c r="B286">
        <v>1</v>
      </c>
      <c r="C286" s="2">
        <v>0.29509999999999997</v>
      </c>
      <c r="D286">
        <v>108.1</v>
      </c>
      <c r="E286" s="23">
        <f t="shared" si="8"/>
        <v>1</v>
      </c>
      <c r="F286" s="23">
        <f t="shared" si="9"/>
        <v>108.1</v>
      </c>
    </row>
    <row r="287" spans="1:6">
      <c r="A287">
        <v>5.5285000000000002</v>
      </c>
      <c r="B287">
        <v>0.99980000000000002</v>
      </c>
      <c r="C287" s="2">
        <v>0.29389999999999999</v>
      </c>
      <c r="D287">
        <v>108.1</v>
      </c>
      <c r="E287" s="23">
        <f t="shared" si="8"/>
        <v>0.99980000000000002</v>
      </c>
      <c r="F287" s="23">
        <f t="shared" si="9"/>
        <v>108.1</v>
      </c>
    </row>
    <row r="288" spans="1:6">
      <c r="A288">
        <v>5.6565000000000003</v>
      </c>
      <c r="B288">
        <v>1</v>
      </c>
      <c r="C288" s="2">
        <v>0.29370000000000002</v>
      </c>
      <c r="D288">
        <v>108.1</v>
      </c>
      <c r="E288" s="23">
        <f t="shared" si="8"/>
        <v>1</v>
      </c>
      <c r="F288" s="23">
        <f t="shared" si="9"/>
        <v>108.1</v>
      </c>
    </row>
    <row r="289" spans="1:6">
      <c r="A289">
        <v>5.7845000000000004</v>
      </c>
      <c r="B289">
        <v>0.99990000000000001</v>
      </c>
      <c r="C289" s="2">
        <v>0.29370000000000002</v>
      </c>
      <c r="D289">
        <v>108</v>
      </c>
      <c r="E289" s="23">
        <f t="shared" si="8"/>
        <v>0.99990000000000001</v>
      </c>
      <c r="F289" s="23">
        <f t="shared" si="9"/>
        <v>108</v>
      </c>
    </row>
    <row r="290" spans="1:6">
      <c r="A290">
        <v>5.9124999999999996</v>
      </c>
      <c r="B290">
        <v>1</v>
      </c>
      <c r="C290" s="2">
        <v>0.29370000000000002</v>
      </c>
      <c r="D290">
        <v>108</v>
      </c>
      <c r="E290" s="23">
        <f t="shared" si="8"/>
        <v>1</v>
      </c>
      <c r="F290" s="23">
        <f t="shared" si="9"/>
        <v>108</v>
      </c>
    </row>
    <row r="291" spans="1:6">
      <c r="A291">
        <v>6.0404999999999998</v>
      </c>
      <c r="B291">
        <v>0.99970000000000003</v>
      </c>
      <c r="C291" s="2">
        <v>0.29370000000000002</v>
      </c>
      <c r="D291">
        <v>108</v>
      </c>
      <c r="E291" s="23">
        <f t="shared" si="8"/>
        <v>0.99970000000000003</v>
      </c>
      <c r="F291" s="23">
        <f t="shared" si="9"/>
        <v>108</v>
      </c>
    </row>
    <row r="292" spans="1:6">
      <c r="A292">
        <v>6.1684999999999999</v>
      </c>
      <c r="B292">
        <v>1</v>
      </c>
      <c r="C292" s="2">
        <v>0.29409999999999997</v>
      </c>
      <c r="D292">
        <v>107.9</v>
      </c>
      <c r="E292" s="23">
        <f t="shared" si="8"/>
        <v>1</v>
      </c>
      <c r="F292" s="23">
        <f t="shared" si="9"/>
        <v>107.9</v>
      </c>
    </row>
    <row r="293" spans="1:6">
      <c r="A293">
        <v>6.2965</v>
      </c>
      <c r="B293">
        <v>1</v>
      </c>
      <c r="C293" s="2">
        <v>0.29409999999999997</v>
      </c>
      <c r="D293">
        <v>107.9</v>
      </c>
      <c r="E293" s="23">
        <f t="shared" si="8"/>
        <v>1</v>
      </c>
      <c r="F293" s="23">
        <f t="shared" si="9"/>
        <v>107.9</v>
      </c>
    </row>
    <row r="294" spans="1:6">
      <c r="A294">
        <v>6.4245000000000001</v>
      </c>
      <c r="B294">
        <v>1</v>
      </c>
      <c r="C294" s="2">
        <v>0.2949</v>
      </c>
      <c r="D294">
        <v>107.9</v>
      </c>
      <c r="E294" s="23">
        <f t="shared" si="8"/>
        <v>1</v>
      </c>
      <c r="F294" s="23">
        <f t="shared" si="9"/>
        <v>107.9</v>
      </c>
    </row>
    <row r="295" spans="1:6">
      <c r="A295">
        <v>6.5525000000000002</v>
      </c>
      <c r="B295">
        <v>0.99960000000000004</v>
      </c>
      <c r="C295" s="2">
        <v>0.2949</v>
      </c>
      <c r="D295">
        <v>107.9</v>
      </c>
      <c r="E295" s="23">
        <f t="shared" si="8"/>
        <v>0.99960000000000004</v>
      </c>
      <c r="F295" s="23">
        <f t="shared" si="9"/>
        <v>107.9</v>
      </c>
    </row>
    <row r="296" spans="1:6">
      <c r="A296">
        <v>6.6805000000000003</v>
      </c>
      <c r="B296">
        <v>1</v>
      </c>
      <c r="C296" s="2">
        <v>0.29409999999999997</v>
      </c>
      <c r="D296">
        <v>107.8</v>
      </c>
      <c r="E296" s="23">
        <f t="shared" si="8"/>
        <v>1</v>
      </c>
      <c r="F296" s="23">
        <f t="shared" si="9"/>
        <v>107.8</v>
      </c>
    </row>
    <row r="297" spans="1:6">
      <c r="A297">
        <v>6.8085000000000004</v>
      </c>
      <c r="B297">
        <v>0.99990000000000001</v>
      </c>
      <c r="C297" s="2">
        <v>0.29409999999999997</v>
      </c>
      <c r="D297">
        <v>107.8</v>
      </c>
      <c r="E297" s="23">
        <f t="shared" si="8"/>
        <v>0.99990000000000001</v>
      </c>
      <c r="F297" s="23">
        <f t="shared" si="9"/>
        <v>107.8</v>
      </c>
    </row>
    <row r="298" spans="1:6">
      <c r="A298">
        <v>6.9364999999999997</v>
      </c>
      <c r="B298">
        <v>0.99990000000000001</v>
      </c>
      <c r="C298" s="2">
        <v>0.29699999999999999</v>
      </c>
      <c r="D298">
        <v>107.8</v>
      </c>
      <c r="E298" s="23">
        <f t="shared" si="8"/>
        <v>0.99990000000000001</v>
      </c>
      <c r="F298" s="23">
        <f t="shared" si="9"/>
        <v>107.8</v>
      </c>
    </row>
    <row r="299" spans="1:6">
      <c r="A299">
        <v>7.0644999999999998</v>
      </c>
      <c r="B299">
        <v>0.99990000000000001</v>
      </c>
      <c r="C299" s="2">
        <v>0.29699999999999999</v>
      </c>
      <c r="D299">
        <v>107.8</v>
      </c>
      <c r="E299" s="23">
        <f t="shared" si="8"/>
        <v>0.99990000000000001</v>
      </c>
      <c r="F299" s="23">
        <f t="shared" si="9"/>
        <v>107.8</v>
      </c>
    </row>
    <row r="300" spans="1:6">
      <c r="A300">
        <v>7.1924999999999999</v>
      </c>
      <c r="B300">
        <v>1</v>
      </c>
      <c r="C300" s="2">
        <v>0.29520000000000002</v>
      </c>
      <c r="D300">
        <v>107.7</v>
      </c>
      <c r="E300" s="23">
        <f t="shared" si="8"/>
        <v>1</v>
      </c>
      <c r="F300" s="23">
        <f t="shared" si="9"/>
        <v>107.7</v>
      </c>
    </row>
    <row r="301" spans="1:6">
      <c r="A301">
        <v>7.3205</v>
      </c>
      <c r="B301">
        <v>0.99990000000000001</v>
      </c>
      <c r="C301" s="2">
        <v>0.29520000000000002</v>
      </c>
      <c r="D301">
        <v>107.8</v>
      </c>
      <c r="E301" s="23">
        <f t="shared" si="8"/>
        <v>0.99990000000000001</v>
      </c>
      <c r="F301" s="23">
        <f t="shared" si="9"/>
        <v>107.8</v>
      </c>
    </row>
    <row r="302" spans="1:6">
      <c r="A302">
        <v>7.4485000000000001</v>
      </c>
      <c r="B302">
        <v>1</v>
      </c>
      <c r="C302" s="2">
        <v>0.29599999999999999</v>
      </c>
      <c r="D302">
        <v>107.8</v>
      </c>
      <c r="E302" s="23">
        <f t="shared" si="8"/>
        <v>1</v>
      </c>
      <c r="F302" s="23">
        <f t="shared" si="9"/>
        <v>107.8</v>
      </c>
    </row>
    <row r="303" spans="1:6">
      <c r="A303">
        <v>7.5765000000000002</v>
      </c>
      <c r="B303">
        <v>0.99990000000000001</v>
      </c>
      <c r="C303" s="2">
        <v>0.29599999999999999</v>
      </c>
      <c r="D303">
        <v>107.8</v>
      </c>
      <c r="E303" s="23">
        <f t="shared" si="8"/>
        <v>0.99990000000000001</v>
      </c>
      <c r="F303" s="23">
        <f t="shared" si="9"/>
        <v>107.8</v>
      </c>
    </row>
    <row r="304" spans="1:6">
      <c r="A304">
        <v>7.7045000000000003</v>
      </c>
      <c r="B304">
        <v>0.99960000000000004</v>
      </c>
      <c r="C304" s="2">
        <v>0.29299999999999998</v>
      </c>
      <c r="D304">
        <v>107.7</v>
      </c>
      <c r="E304" s="23">
        <f t="shared" si="8"/>
        <v>0.99960000000000004</v>
      </c>
      <c r="F304" s="23">
        <f t="shared" si="9"/>
        <v>107.7</v>
      </c>
    </row>
    <row r="305" spans="1:6">
      <c r="A305">
        <v>7.8324999999999996</v>
      </c>
      <c r="B305">
        <v>1</v>
      </c>
      <c r="C305" s="2">
        <v>0.29299999999999998</v>
      </c>
      <c r="D305">
        <v>107.7</v>
      </c>
      <c r="E305" s="23">
        <f t="shared" si="8"/>
        <v>1</v>
      </c>
      <c r="F305" s="23">
        <f t="shared" si="9"/>
        <v>107.7</v>
      </c>
    </row>
    <row r="306" spans="1:6">
      <c r="A306">
        <v>7.9604999999999997</v>
      </c>
      <c r="B306">
        <v>0.99950000000000006</v>
      </c>
      <c r="C306" s="2">
        <v>0.29680000000000001</v>
      </c>
      <c r="D306">
        <v>107.7</v>
      </c>
      <c r="E306" s="23">
        <f t="shared" si="8"/>
        <v>0.99950000000000006</v>
      </c>
      <c r="F306" s="23">
        <f t="shared" si="9"/>
        <v>107.7</v>
      </c>
    </row>
    <row r="307" spans="1:6">
      <c r="A307">
        <v>8.0884999999999998</v>
      </c>
      <c r="B307">
        <v>1</v>
      </c>
      <c r="C307" s="2">
        <v>0.29680000000000001</v>
      </c>
      <c r="D307">
        <v>107.7</v>
      </c>
      <c r="E307" s="23">
        <f t="shared" si="8"/>
        <v>1</v>
      </c>
      <c r="F307" s="23">
        <f t="shared" si="9"/>
        <v>107.7</v>
      </c>
    </row>
    <row r="308" spans="1:6">
      <c r="A308">
        <v>8.2164999999999999</v>
      </c>
      <c r="B308">
        <v>0.99980000000000002</v>
      </c>
      <c r="C308" s="2">
        <v>0.29580000000000001</v>
      </c>
      <c r="D308">
        <v>107.7</v>
      </c>
      <c r="E308" s="23">
        <f t="shared" si="8"/>
        <v>0.99980000000000002</v>
      </c>
      <c r="F308" s="23">
        <f t="shared" si="9"/>
        <v>107.7</v>
      </c>
    </row>
    <row r="309" spans="1:6">
      <c r="A309">
        <v>8.3445</v>
      </c>
      <c r="B309">
        <v>1</v>
      </c>
      <c r="C309" s="2">
        <v>0.29580000000000001</v>
      </c>
      <c r="D309">
        <v>107.7</v>
      </c>
      <c r="E309" s="23">
        <f t="shared" si="8"/>
        <v>1</v>
      </c>
      <c r="F309" s="23">
        <f t="shared" si="9"/>
        <v>107.7</v>
      </c>
    </row>
    <row r="310" spans="1:6">
      <c r="A310">
        <v>8.4725000000000001</v>
      </c>
      <c r="B310">
        <v>1</v>
      </c>
      <c r="C310" s="2">
        <v>0.2979</v>
      </c>
      <c r="D310">
        <v>107.7</v>
      </c>
      <c r="E310" s="23">
        <f t="shared" si="8"/>
        <v>1</v>
      </c>
      <c r="F310" s="23">
        <f t="shared" si="9"/>
        <v>107.7</v>
      </c>
    </row>
    <row r="311" spans="1:6">
      <c r="A311">
        <v>8.6005000000000003</v>
      </c>
      <c r="B311">
        <v>1</v>
      </c>
      <c r="C311" s="2">
        <v>0.2979</v>
      </c>
      <c r="D311">
        <v>107.6</v>
      </c>
      <c r="E311" s="23">
        <f t="shared" si="8"/>
        <v>1</v>
      </c>
      <c r="F311" s="23">
        <f t="shared" si="9"/>
        <v>107.6</v>
      </c>
    </row>
    <row r="312" spans="1:6">
      <c r="A312">
        <v>8.7285000000000004</v>
      </c>
      <c r="B312">
        <v>0.99970000000000003</v>
      </c>
      <c r="C312" s="2">
        <v>0.29830000000000001</v>
      </c>
      <c r="D312">
        <v>107.6</v>
      </c>
      <c r="E312" s="23">
        <f t="shared" si="8"/>
        <v>0.99970000000000003</v>
      </c>
      <c r="F312" s="23">
        <f t="shared" si="9"/>
        <v>107.6</v>
      </c>
    </row>
    <row r="313" spans="1:6">
      <c r="A313">
        <v>8.8565000000000005</v>
      </c>
      <c r="B313">
        <v>1</v>
      </c>
      <c r="C313" s="2">
        <v>0.29749999999999999</v>
      </c>
      <c r="D313">
        <v>107.6</v>
      </c>
      <c r="E313" s="23">
        <f t="shared" si="8"/>
        <v>1</v>
      </c>
      <c r="F313" s="23">
        <f t="shared" si="9"/>
        <v>107.6</v>
      </c>
    </row>
    <row r="314" spans="1:6">
      <c r="A314">
        <v>8.9845000000000006</v>
      </c>
      <c r="B314">
        <v>1</v>
      </c>
      <c r="C314" s="2">
        <v>0.29749999999999999</v>
      </c>
      <c r="D314">
        <v>107.6</v>
      </c>
      <c r="E314" s="23">
        <f t="shared" si="8"/>
        <v>1</v>
      </c>
      <c r="F314" s="23">
        <f t="shared" si="9"/>
        <v>107.6</v>
      </c>
    </row>
    <row r="315" spans="1:6">
      <c r="A315">
        <v>9.1125000000000007</v>
      </c>
      <c r="B315">
        <v>0.99990000000000001</v>
      </c>
      <c r="C315" s="2">
        <v>0.2979</v>
      </c>
      <c r="D315">
        <v>107.7</v>
      </c>
      <c r="E315" s="23">
        <f t="shared" si="8"/>
        <v>0.99990000000000001</v>
      </c>
      <c r="F315" s="23">
        <f t="shared" si="9"/>
        <v>107.7</v>
      </c>
    </row>
    <row r="316" spans="1:6">
      <c r="A316">
        <v>9.2405000000000008</v>
      </c>
      <c r="B316">
        <v>0.99970000000000003</v>
      </c>
      <c r="C316" s="2">
        <v>0.2979</v>
      </c>
      <c r="D316">
        <v>107.6</v>
      </c>
      <c r="E316" s="23">
        <f t="shared" si="8"/>
        <v>0.99970000000000003</v>
      </c>
      <c r="F316" s="23">
        <f t="shared" si="9"/>
        <v>107.6</v>
      </c>
    </row>
    <row r="317" spans="1:6">
      <c r="A317">
        <v>9.3684999999999992</v>
      </c>
      <c r="B317">
        <v>1</v>
      </c>
      <c r="C317" s="2">
        <v>0.29620000000000002</v>
      </c>
      <c r="D317">
        <v>107.6</v>
      </c>
      <c r="E317" s="23">
        <f t="shared" si="8"/>
        <v>1</v>
      </c>
      <c r="F317" s="23">
        <f t="shared" si="9"/>
        <v>107.6</v>
      </c>
    </row>
    <row r="318" spans="1:6">
      <c r="A318">
        <v>9.4964999999999993</v>
      </c>
      <c r="B318">
        <v>1</v>
      </c>
      <c r="C318" s="2">
        <v>0.29620000000000002</v>
      </c>
      <c r="D318">
        <v>107.6</v>
      </c>
      <c r="E318" s="23">
        <f t="shared" si="8"/>
        <v>1</v>
      </c>
      <c r="F318" s="23">
        <f t="shared" si="9"/>
        <v>107.6</v>
      </c>
    </row>
    <row r="319" spans="1:6">
      <c r="A319">
        <v>9.6244999999999994</v>
      </c>
      <c r="B319">
        <v>1</v>
      </c>
      <c r="C319" s="2">
        <v>0.29749999999999999</v>
      </c>
      <c r="D319">
        <v>107.6</v>
      </c>
      <c r="E319" s="23">
        <f t="shared" si="8"/>
        <v>1</v>
      </c>
      <c r="F319" s="23">
        <f t="shared" si="9"/>
        <v>107.6</v>
      </c>
    </row>
    <row r="320" spans="1:6">
      <c r="A320">
        <v>9.7524999999999995</v>
      </c>
      <c r="B320">
        <v>0.99939999999999996</v>
      </c>
      <c r="C320" s="2">
        <v>0.29749999999999999</v>
      </c>
      <c r="D320">
        <v>107.6</v>
      </c>
      <c r="E320" s="23">
        <f t="shared" si="8"/>
        <v>0.99939999999999996</v>
      </c>
      <c r="F320" s="23">
        <f t="shared" si="9"/>
        <v>107.6</v>
      </c>
    </row>
    <row r="321" spans="1:6">
      <c r="A321">
        <v>9.8804999999999996</v>
      </c>
      <c r="B321">
        <v>1</v>
      </c>
      <c r="C321" s="2">
        <v>0.29659999999999997</v>
      </c>
      <c r="D321">
        <v>107.6</v>
      </c>
      <c r="E321" s="23">
        <f t="shared" si="8"/>
        <v>1</v>
      </c>
      <c r="F321" s="23">
        <f t="shared" si="9"/>
        <v>107.6</v>
      </c>
    </row>
    <row r="322" spans="1:6">
      <c r="A322">
        <v>10.009</v>
      </c>
      <c r="B322">
        <v>1</v>
      </c>
      <c r="C322" s="2">
        <v>0.29659999999999997</v>
      </c>
      <c r="D322">
        <v>107.6</v>
      </c>
      <c r="E322" s="23">
        <f t="shared" si="8"/>
        <v>1</v>
      </c>
      <c r="F322" s="23">
        <f t="shared" si="9"/>
        <v>107.6</v>
      </c>
    </row>
    <row r="323" spans="1:6">
      <c r="A323">
        <v>10.137</v>
      </c>
      <c r="B323">
        <v>1</v>
      </c>
      <c r="C323" s="2">
        <v>0.2964</v>
      </c>
      <c r="D323">
        <v>107.6</v>
      </c>
      <c r="E323" s="23">
        <f t="shared" si="8"/>
        <v>1</v>
      </c>
      <c r="F323" s="23">
        <f t="shared" si="9"/>
        <v>107.6</v>
      </c>
    </row>
    <row r="324" spans="1:6">
      <c r="A324">
        <v>10.327999999999999</v>
      </c>
      <c r="B324">
        <v>0.99980000000000002</v>
      </c>
      <c r="C324" s="2">
        <v>0.29730000000000001</v>
      </c>
      <c r="D324">
        <v>107.6</v>
      </c>
      <c r="E324" s="23">
        <f t="shared" si="8"/>
        <v>0.99980000000000002</v>
      </c>
      <c r="F324" s="23">
        <f t="shared" si="9"/>
        <v>107.6</v>
      </c>
    </row>
    <row r="325" spans="1:6">
      <c r="A325">
        <v>10.585000000000001</v>
      </c>
      <c r="B325">
        <v>1</v>
      </c>
      <c r="C325" s="2">
        <v>0.29830000000000001</v>
      </c>
      <c r="D325">
        <v>107.6</v>
      </c>
      <c r="E325" s="23">
        <f t="shared" ref="E325:E388" si="10">IF(B325=MEDIAN($J$1-0.05,$J$1+0.05,B325),B325,0)</f>
        <v>1</v>
      </c>
      <c r="F325" s="23">
        <f t="shared" ref="F325:F388" si="11">IF(E325=0,0,D325)</f>
        <v>107.6</v>
      </c>
    </row>
    <row r="326" spans="1:6">
      <c r="A326">
        <v>10.84</v>
      </c>
      <c r="B326">
        <v>0.99980000000000002</v>
      </c>
      <c r="C326" s="2">
        <v>0.29720000000000002</v>
      </c>
      <c r="D326">
        <v>107.6</v>
      </c>
      <c r="E326" s="23">
        <f t="shared" si="10"/>
        <v>0.99980000000000002</v>
      </c>
      <c r="F326" s="23">
        <f t="shared" si="11"/>
        <v>107.6</v>
      </c>
    </row>
    <row r="327" spans="1:6">
      <c r="A327">
        <v>11.097</v>
      </c>
      <c r="B327">
        <v>1</v>
      </c>
      <c r="C327" s="2">
        <v>0.29720000000000002</v>
      </c>
      <c r="D327">
        <v>107.6</v>
      </c>
      <c r="E327" s="23">
        <f t="shared" si="10"/>
        <v>1</v>
      </c>
      <c r="F327" s="23">
        <f t="shared" si="11"/>
        <v>107.6</v>
      </c>
    </row>
    <row r="328" spans="1:6">
      <c r="A328">
        <v>11.352</v>
      </c>
      <c r="B328">
        <v>0.99980000000000002</v>
      </c>
      <c r="C328" s="2">
        <v>0.29920000000000002</v>
      </c>
      <c r="D328">
        <v>107.6</v>
      </c>
      <c r="E328" s="23">
        <f t="shared" si="10"/>
        <v>0.99980000000000002</v>
      </c>
      <c r="F328" s="23">
        <f t="shared" si="11"/>
        <v>107.6</v>
      </c>
    </row>
    <row r="329" spans="1:6">
      <c r="A329">
        <v>11.608000000000001</v>
      </c>
      <c r="B329">
        <v>1</v>
      </c>
      <c r="C329" s="2">
        <v>0.30059999999999998</v>
      </c>
      <c r="D329">
        <v>107.6</v>
      </c>
      <c r="E329" s="23">
        <f t="shared" si="10"/>
        <v>1</v>
      </c>
      <c r="F329" s="23">
        <f t="shared" si="11"/>
        <v>107.6</v>
      </c>
    </row>
    <row r="330" spans="1:6">
      <c r="A330">
        <v>11.865</v>
      </c>
      <c r="B330">
        <v>0.99990000000000001</v>
      </c>
      <c r="C330" s="2">
        <v>0.30049999999999999</v>
      </c>
      <c r="D330">
        <v>107.6</v>
      </c>
      <c r="E330" s="23">
        <f t="shared" si="10"/>
        <v>0.99990000000000001</v>
      </c>
      <c r="F330" s="23">
        <f t="shared" si="11"/>
        <v>107.6</v>
      </c>
    </row>
    <row r="331" spans="1:6">
      <c r="A331">
        <v>12.12</v>
      </c>
      <c r="B331">
        <v>1</v>
      </c>
      <c r="C331" s="2">
        <v>0.3</v>
      </c>
      <c r="D331">
        <v>107.6</v>
      </c>
      <c r="E331" s="23">
        <f t="shared" si="10"/>
        <v>1</v>
      </c>
      <c r="F331" s="23">
        <f t="shared" si="11"/>
        <v>107.6</v>
      </c>
    </row>
    <row r="332" spans="1:6">
      <c r="A332">
        <v>12.377000000000001</v>
      </c>
      <c r="B332">
        <v>0.99990000000000001</v>
      </c>
      <c r="C332" s="2">
        <v>0.29959999999999998</v>
      </c>
      <c r="D332">
        <v>107.6</v>
      </c>
      <c r="E332" s="23">
        <f t="shared" si="10"/>
        <v>0.99990000000000001</v>
      </c>
      <c r="F332" s="23">
        <f t="shared" si="11"/>
        <v>107.6</v>
      </c>
    </row>
    <row r="333" spans="1:6">
      <c r="A333">
        <v>12.632</v>
      </c>
      <c r="B333">
        <v>1</v>
      </c>
      <c r="C333" s="2">
        <v>0.30249999999999999</v>
      </c>
      <c r="D333">
        <v>107.6</v>
      </c>
      <c r="E333" s="23">
        <f t="shared" si="10"/>
        <v>1</v>
      </c>
      <c r="F333" s="23">
        <f t="shared" si="11"/>
        <v>107.6</v>
      </c>
    </row>
    <row r="334" spans="1:6">
      <c r="A334">
        <v>12.888999999999999</v>
      </c>
      <c r="B334">
        <v>0.99980000000000002</v>
      </c>
      <c r="C334">
        <v>0.30149999999999999</v>
      </c>
      <c r="D334">
        <v>107.7</v>
      </c>
      <c r="E334" s="23">
        <f t="shared" si="10"/>
        <v>0.99980000000000002</v>
      </c>
      <c r="F334" s="23">
        <f t="shared" si="11"/>
        <v>107.7</v>
      </c>
    </row>
    <row r="335" spans="1:6">
      <c r="A335">
        <v>13.144</v>
      </c>
      <c r="B335">
        <v>1</v>
      </c>
      <c r="C335">
        <v>0.29959999999999998</v>
      </c>
      <c r="D335">
        <v>107.6</v>
      </c>
      <c r="E335" s="23">
        <f t="shared" si="10"/>
        <v>1</v>
      </c>
      <c r="F335" s="23">
        <f t="shared" si="11"/>
        <v>107.6</v>
      </c>
    </row>
    <row r="336" spans="1:6">
      <c r="A336">
        <v>13.401</v>
      </c>
      <c r="B336">
        <v>0.99990000000000001</v>
      </c>
      <c r="C336">
        <v>0.2994</v>
      </c>
      <c r="D336">
        <v>107.7</v>
      </c>
      <c r="E336" s="23">
        <f t="shared" si="10"/>
        <v>0.99990000000000001</v>
      </c>
      <c r="F336" s="23">
        <f t="shared" si="11"/>
        <v>107.7</v>
      </c>
    </row>
    <row r="337" spans="1:6">
      <c r="A337">
        <v>13.656000000000001</v>
      </c>
      <c r="B337">
        <v>0.99990000000000001</v>
      </c>
      <c r="C337" s="2">
        <v>0.3034</v>
      </c>
      <c r="D337">
        <v>107.7</v>
      </c>
      <c r="E337" s="23">
        <f t="shared" si="10"/>
        <v>0.99990000000000001</v>
      </c>
      <c r="F337" s="23">
        <f t="shared" si="11"/>
        <v>107.7</v>
      </c>
    </row>
    <row r="338" spans="1:6">
      <c r="A338">
        <v>13.913</v>
      </c>
      <c r="B338">
        <v>1</v>
      </c>
      <c r="C338">
        <v>0.2994</v>
      </c>
      <c r="D338">
        <v>107.7</v>
      </c>
      <c r="E338" s="23">
        <f t="shared" si="10"/>
        <v>1</v>
      </c>
      <c r="F338" s="23">
        <f t="shared" si="11"/>
        <v>107.7</v>
      </c>
    </row>
    <row r="339" spans="1:6">
      <c r="A339">
        <v>14.167999999999999</v>
      </c>
      <c r="B339">
        <v>1</v>
      </c>
      <c r="C339">
        <v>0.3004</v>
      </c>
      <c r="D339">
        <v>107.7</v>
      </c>
      <c r="E339" s="23">
        <f t="shared" si="10"/>
        <v>1</v>
      </c>
      <c r="F339" s="23">
        <f t="shared" si="11"/>
        <v>107.7</v>
      </c>
    </row>
    <row r="340" spans="1:6">
      <c r="A340">
        <v>14.425000000000001</v>
      </c>
      <c r="B340">
        <v>0.99990000000000001</v>
      </c>
      <c r="C340">
        <v>0.30080000000000001</v>
      </c>
      <c r="D340">
        <v>107.7</v>
      </c>
      <c r="E340" s="23">
        <f t="shared" si="10"/>
        <v>0.99990000000000001</v>
      </c>
      <c r="F340" s="23">
        <f t="shared" si="11"/>
        <v>107.7</v>
      </c>
    </row>
    <row r="341" spans="1:6">
      <c r="A341">
        <v>14.680999999999999</v>
      </c>
      <c r="B341">
        <v>0.99990000000000001</v>
      </c>
      <c r="C341" s="2">
        <v>0.29959999999999998</v>
      </c>
      <c r="D341">
        <v>107.7</v>
      </c>
      <c r="E341" s="23">
        <f t="shared" si="10"/>
        <v>0.99990000000000001</v>
      </c>
      <c r="F341" s="23">
        <f t="shared" si="11"/>
        <v>107.7</v>
      </c>
    </row>
    <row r="342" spans="1:6">
      <c r="A342">
        <v>14.936</v>
      </c>
      <c r="B342">
        <v>0.99990000000000001</v>
      </c>
      <c r="C342">
        <v>0.30270000000000002</v>
      </c>
      <c r="D342">
        <v>107.7</v>
      </c>
      <c r="E342" s="23">
        <f t="shared" si="10"/>
        <v>0.99990000000000001</v>
      </c>
      <c r="F342" s="23">
        <f t="shared" si="11"/>
        <v>107.7</v>
      </c>
    </row>
    <row r="343" spans="1:6">
      <c r="A343">
        <v>15.193</v>
      </c>
      <c r="B343">
        <v>1</v>
      </c>
      <c r="C343">
        <v>0.30249999999999999</v>
      </c>
      <c r="D343">
        <v>107.7</v>
      </c>
      <c r="E343" s="23">
        <f t="shared" si="10"/>
        <v>1</v>
      </c>
      <c r="F343" s="23">
        <f t="shared" si="11"/>
        <v>107.7</v>
      </c>
    </row>
    <row r="344" spans="1:6">
      <c r="A344">
        <v>15.448</v>
      </c>
      <c r="B344">
        <v>0.99990000000000001</v>
      </c>
      <c r="C344">
        <v>0.30249999999999999</v>
      </c>
      <c r="D344">
        <v>107.7</v>
      </c>
      <c r="E344" s="23">
        <f t="shared" si="10"/>
        <v>0.99990000000000001</v>
      </c>
      <c r="F344" s="23">
        <f t="shared" si="11"/>
        <v>107.7</v>
      </c>
    </row>
    <row r="345" spans="1:6">
      <c r="A345">
        <v>15.705</v>
      </c>
      <c r="B345">
        <v>0.99990000000000001</v>
      </c>
      <c r="C345" s="2">
        <v>0.30280000000000001</v>
      </c>
      <c r="D345">
        <v>107.8</v>
      </c>
      <c r="E345" s="23">
        <f t="shared" si="10"/>
        <v>0.99990000000000001</v>
      </c>
      <c r="F345" s="23">
        <f t="shared" si="11"/>
        <v>107.8</v>
      </c>
    </row>
    <row r="346" spans="1:6">
      <c r="A346">
        <v>15.96</v>
      </c>
      <c r="B346">
        <v>0.99990000000000001</v>
      </c>
      <c r="C346" s="2">
        <v>0.30059999999999998</v>
      </c>
      <c r="D346">
        <v>107.8</v>
      </c>
      <c r="E346" s="23">
        <f t="shared" si="10"/>
        <v>0.99990000000000001</v>
      </c>
      <c r="F346" s="23">
        <f t="shared" si="11"/>
        <v>107.8</v>
      </c>
    </row>
    <row r="347" spans="1:6">
      <c r="A347">
        <v>16.216000000000001</v>
      </c>
      <c r="B347">
        <v>1</v>
      </c>
      <c r="C347">
        <v>0.30149999999999999</v>
      </c>
      <c r="D347">
        <v>107.8</v>
      </c>
      <c r="E347" s="23">
        <f t="shared" si="10"/>
        <v>1</v>
      </c>
      <c r="F347" s="23">
        <f t="shared" si="11"/>
        <v>107.8</v>
      </c>
    </row>
    <row r="348" spans="1:6">
      <c r="A348">
        <v>16.472000000000001</v>
      </c>
      <c r="B348">
        <v>0.99990000000000001</v>
      </c>
      <c r="C348" s="2">
        <v>0.30470000000000003</v>
      </c>
      <c r="D348">
        <v>107.8</v>
      </c>
      <c r="E348" s="23">
        <f t="shared" si="10"/>
        <v>0.99990000000000001</v>
      </c>
      <c r="F348" s="23">
        <f t="shared" si="11"/>
        <v>107.8</v>
      </c>
    </row>
    <row r="349" spans="1:6">
      <c r="A349">
        <v>16.728999999999999</v>
      </c>
      <c r="B349">
        <v>1</v>
      </c>
      <c r="C349" s="2">
        <v>0.30459999999999998</v>
      </c>
      <c r="D349">
        <v>107.8</v>
      </c>
      <c r="E349" s="23">
        <f t="shared" si="10"/>
        <v>1</v>
      </c>
      <c r="F349" s="23">
        <f t="shared" si="11"/>
        <v>107.8</v>
      </c>
    </row>
    <row r="350" spans="1:6">
      <c r="A350">
        <v>16.984999999999999</v>
      </c>
      <c r="B350">
        <v>0.99980000000000002</v>
      </c>
      <c r="C350" s="2">
        <v>0.30470000000000003</v>
      </c>
      <c r="D350">
        <v>107.9</v>
      </c>
      <c r="E350" s="23">
        <f t="shared" si="10"/>
        <v>0.99980000000000002</v>
      </c>
      <c r="F350" s="23">
        <f t="shared" si="11"/>
        <v>107.9</v>
      </c>
    </row>
    <row r="351" spans="1:6">
      <c r="A351">
        <v>17.239999999999998</v>
      </c>
      <c r="B351">
        <v>0.99990000000000001</v>
      </c>
      <c r="C351">
        <v>0.30380000000000001</v>
      </c>
      <c r="D351">
        <v>107.9</v>
      </c>
      <c r="E351" s="23">
        <f t="shared" si="10"/>
        <v>0.99990000000000001</v>
      </c>
      <c r="F351" s="23">
        <f t="shared" si="11"/>
        <v>107.9</v>
      </c>
    </row>
    <row r="352" spans="1:6">
      <c r="A352">
        <v>17.497</v>
      </c>
      <c r="B352">
        <v>1</v>
      </c>
      <c r="C352">
        <v>0.30470000000000003</v>
      </c>
      <c r="D352">
        <v>107.9</v>
      </c>
      <c r="E352" s="23">
        <f t="shared" si="10"/>
        <v>1</v>
      </c>
      <c r="F352" s="23">
        <f t="shared" si="11"/>
        <v>107.9</v>
      </c>
    </row>
    <row r="353" spans="1:6">
      <c r="A353">
        <v>17.753</v>
      </c>
      <c r="B353">
        <v>0.99990000000000001</v>
      </c>
      <c r="C353" s="2">
        <v>0.30359999999999998</v>
      </c>
      <c r="D353">
        <v>107.9</v>
      </c>
      <c r="E353" s="23">
        <f t="shared" si="10"/>
        <v>0.99990000000000001</v>
      </c>
      <c r="F353" s="23">
        <f t="shared" si="11"/>
        <v>107.9</v>
      </c>
    </row>
    <row r="354" spans="1:6">
      <c r="A354">
        <v>18.007999999999999</v>
      </c>
      <c r="B354">
        <v>1</v>
      </c>
      <c r="C354" s="2">
        <v>0.30380000000000001</v>
      </c>
      <c r="D354">
        <v>107.9</v>
      </c>
      <c r="E354" s="23">
        <f t="shared" si="10"/>
        <v>1</v>
      </c>
      <c r="F354" s="23">
        <f t="shared" si="11"/>
        <v>107.9</v>
      </c>
    </row>
    <row r="355" spans="1:6">
      <c r="A355">
        <v>18.263999999999999</v>
      </c>
      <c r="B355">
        <v>0.99990000000000001</v>
      </c>
      <c r="C355">
        <v>0.30399999999999999</v>
      </c>
      <c r="D355">
        <v>107.9</v>
      </c>
      <c r="E355" s="23">
        <f t="shared" si="10"/>
        <v>0.99990000000000001</v>
      </c>
      <c r="F355" s="23">
        <f t="shared" si="11"/>
        <v>107.9</v>
      </c>
    </row>
    <row r="356" spans="1:6">
      <c r="A356">
        <v>18.521000000000001</v>
      </c>
      <c r="B356">
        <v>1</v>
      </c>
      <c r="C356" s="2">
        <v>0.30680000000000002</v>
      </c>
      <c r="D356">
        <v>107.9</v>
      </c>
      <c r="E356" s="23">
        <f t="shared" si="10"/>
        <v>1</v>
      </c>
      <c r="F356" s="23">
        <f t="shared" si="11"/>
        <v>107.9</v>
      </c>
    </row>
    <row r="357" spans="1:6">
      <c r="A357">
        <v>18.777000000000001</v>
      </c>
      <c r="B357">
        <v>0.99990000000000001</v>
      </c>
      <c r="C357" s="2">
        <v>0.30570000000000003</v>
      </c>
      <c r="D357">
        <v>107.9</v>
      </c>
      <c r="E357" s="23">
        <f t="shared" si="10"/>
        <v>0.99990000000000001</v>
      </c>
      <c r="F357" s="23">
        <f t="shared" si="11"/>
        <v>107.9</v>
      </c>
    </row>
    <row r="358" spans="1:6">
      <c r="A358">
        <v>19.032</v>
      </c>
      <c r="B358">
        <v>1</v>
      </c>
      <c r="C358" s="2">
        <v>0.30630000000000002</v>
      </c>
      <c r="D358">
        <v>108</v>
      </c>
      <c r="E358" s="23">
        <f t="shared" si="10"/>
        <v>1</v>
      </c>
      <c r="F358" s="23">
        <f t="shared" si="11"/>
        <v>108</v>
      </c>
    </row>
    <row r="359" spans="1:6">
      <c r="A359">
        <v>19.288</v>
      </c>
      <c r="B359">
        <v>0.99990000000000001</v>
      </c>
      <c r="C359">
        <v>0.30680000000000002</v>
      </c>
      <c r="D359">
        <v>108</v>
      </c>
      <c r="E359" s="23">
        <f t="shared" si="10"/>
        <v>0.99990000000000001</v>
      </c>
      <c r="F359" s="23">
        <f t="shared" si="11"/>
        <v>108</v>
      </c>
    </row>
    <row r="360" spans="1:6">
      <c r="A360">
        <v>19.545000000000002</v>
      </c>
      <c r="B360">
        <v>1</v>
      </c>
      <c r="C360" s="2">
        <v>0.3049</v>
      </c>
      <c r="D360">
        <v>108</v>
      </c>
      <c r="E360" s="23">
        <f t="shared" si="10"/>
        <v>1</v>
      </c>
      <c r="F360" s="23">
        <f t="shared" si="11"/>
        <v>108</v>
      </c>
    </row>
    <row r="361" spans="1:6">
      <c r="A361">
        <v>19.800999999999998</v>
      </c>
      <c r="B361">
        <v>1</v>
      </c>
      <c r="C361" s="2">
        <v>0.307</v>
      </c>
      <c r="D361">
        <v>108</v>
      </c>
      <c r="E361" s="23">
        <f t="shared" si="10"/>
        <v>1</v>
      </c>
      <c r="F361" s="23">
        <f t="shared" si="11"/>
        <v>108</v>
      </c>
    </row>
    <row r="362" spans="1:6">
      <c r="A362">
        <v>20.056000000000001</v>
      </c>
      <c r="B362">
        <v>1</v>
      </c>
      <c r="C362" s="2">
        <v>0.30659999999999998</v>
      </c>
      <c r="D362">
        <v>108</v>
      </c>
      <c r="E362" s="23">
        <f t="shared" si="10"/>
        <v>1</v>
      </c>
      <c r="F362" s="23">
        <f t="shared" si="11"/>
        <v>108</v>
      </c>
    </row>
    <row r="363" spans="1:6">
      <c r="A363">
        <v>20.312999999999999</v>
      </c>
      <c r="B363">
        <v>1</v>
      </c>
      <c r="C363" s="2">
        <v>0.30659999999999998</v>
      </c>
      <c r="D363">
        <v>108</v>
      </c>
      <c r="E363" s="23">
        <f t="shared" si="10"/>
        <v>1</v>
      </c>
      <c r="F363" s="23">
        <f t="shared" si="11"/>
        <v>108</v>
      </c>
    </row>
    <row r="364" spans="1:6">
      <c r="A364">
        <v>20.696999999999999</v>
      </c>
      <c r="B364">
        <v>0.99990000000000001</v>
      </c>
      <c r="C364" s="2">
        <v>0.30590000000000001</v>
      </c>
      <c r="D364">
        <v>108</v>
      </c>
      <c r="E364" s="23">
        <f t="shared" si="10"/>
        <v>0.99990000000000001</v>
      </c>
      <c r="F364" s="23">
        <f t="shared" si="11"/>
        <v>108</v>
      </c>
    </row>
    <row r="365" spans="1:6">
      <c r="A365">
        <v>21.207999999999998</v>
      </c>
      <c r="B365">
        <v>1</v>
      </c>
      <c r="C365" s="2">
        <v>0.30869999999999997</v>
      </c>
      <c r="D365">
        <v>108.1</v>
      </c>
      <c r="E365" s="23">
        <f t="shared" si="10"/>
        <v>1</v>
      </c>
      <c r="F365" s="23">
        <f t="shared" si="11"/>
        <v>108.1</v>
      </c>
    </row>
    <row r="366" spans="1:6">
      <c r="A366">
        <v>21.721</v>
      </c>
      <c r="B366">
        <v>1</v>
      </c>
      <c r="C366" s="2">
        <v>0.30869999999999997</v>
      </c>
      <c r="D366">
        <v>108.1</v>
      </c>
      <c r="E366" s="23">
        <f t="shared" si="10"/>
        <v>1</v>
      </c>
      <c r="F366" s="23">
        <f t="shared" si="11"/>
        <v>108.1</v>
      </c>
    </row>
    <row r="367" spans="1:6">
      <c r="A367">
        <v>22.233000000000001</v>
      </c>
      <c r="B367">
        <v>1</v>
      </c>
      <c r="C367" s="2">
        <v>0.30740000000000001</v>
      </c>
      <c r="D367">
        <v>108.1</v>
      </c>
      <c r="E367" s="23">
        <f t="shared" si="10"/>
        <v>1</v>
      </c>
      <c r="F367" s="23">
        <f t="shared" si="11"/>
        <v>108.1</v>
      </c>
    </row>
    <row r="368" spans="1:6">
      <c r="A368">
        <v>22.744</v>
      </c>
      <c r="B368">
        <v>0.99990000000000001</v>
      </c>
      <c r="C368">
        <v>0.30909999999999999</v>
      </c>
      <c r="D368">
        <v>108.1</v>
      </c>
      <c r="E368" s="23">
        <f t="shared" si="10"/>
        <v>0.99990000000000001</v>
      </c>
      <c r="F368" s="23">
        <f t="shared" si="11"/>
        <v>108.1</v>
      </c>
    </row>
    <row r="369" spans="1:6">
      <c r="A369">
        <v>23.257000000000001</v>
      </c>
      <c r="B369">
        <v>1</v>
      </c>
      <c r="C369" s="2">
        <v>0.308</v>
      </c>
      <c r="D369">
        <v>108.1</v>
      </c>
      <c r="E369" s="23">
        <f t="shared" si="10"/>
        <v>1</v>
      </c>
      <c r="F369" s="23">
        <f t="shared" si="11"/>
        <v>108.1</v>
      </c>
    </row>
    <row r="370" spans="1:6">
      <c r="A370">
        <v>23.768000000000001</v>
      </c>
      <c r="B370">
        <v>1</v>
      </c>
      <c r="C370" s="2">
        <v>0.311</v>
      </c>
      <c r="D370">
        <v>108.1</v>
      </c>
      <c r="E370" s="23">
        <f t="shared" si="10"/>
        <v>1</v>
      </c>
      <c r="F370" s="23">
        <f t="shared" si="11"/>
        <v>108.1</v>
      </c>
    </row>
    <row r="371" spans="1:6">
      <c r="A371">
        <v>24.280999999999999</v>
      </c>
      <c r="B371">
        <v>1</v>
      </c>
      <c r="C371" s="2">
        <v>0.307</v>
      </c>
      <c r="D371">
        <v>108.1</v>
      </c>
      <c r="E371" s="23">
        <f t="shared" si="10"/>
        <v>1</v>
      </c>
      <c r="F371" s="23">
        <f t="shared" si="11"/>
        <v>108.1</v>
      </c>
    </row>
    <row r="372" spans="1:6">
      <c r="A372">
        <v>24.792000000000002</v>
      </c>
      <c r="B372">
        <v>0.99990000000000001</v>
      </c>
      <c r="C372" s="2">
        <v>0.31009999999999999</v>
      </c>
      <c r="D372">
        <v>108.1</v>
      </c>
      <c r="E372" s="23">
        <f t="shared" si="10"/>
        <v>0.99990000000000001</v>
      </c>
      <c r="F372" s="23">
        <f t="shared" si="11"/>
        <v>108.1</v>
      </c>
    </row>
    <row r="373" spans="1:6">
      <c r="A373">
        <v>25.305</v>
      </c>
      <c r="B373">
        <v>0.99990000000000001</v>
      </c>
      <c r="C373" s="2">
        <v>0.30930000000000002</v>
      </c>
      <c r="D373">
        <v>108.1</v>
      </c>
      <c r="E373" s="23">
        <f t="shared" si="10"/>
        <v>0.99990000000000001</v>
      </c>
      <c r="F373" s="23">
        <f t="shared" si="11"/>
        <v>108.1</v>
      </c>
    </row>
    <row r="374" spans="1:6">
      <c r="A374">
        <v>25.815999999999999</v>
      </c>
      <c r="B374">
        <v>1</v>
      </c>
      <c r="C374" s="2">
        <v>0.31</v>
      </c>
      <c r="D374">
        <v>108.1</v>
      </c>
      <c r="E374" s="23">
        <f t="shared" si="10"/>
        <v>1</v>
      </c>
      <c r="F374" s="23">
        <f t="shared" si="11"/>
        <v>108.1</v>
      </c>
    </row>
    <row r="375" spans="1:6">
      <c r="A375">
        <v>26.329000000000001</v>
      </c>
      <c r="B375">
        <v>0.99990000000000001</v>
      </c>
      <c r="C375" s="2">
        <v>0.30909999999999999</v>
      </c>
      <c r="D375">
        <v>108.1</v>
      </c>
      <c r="E375" s="23">
        <f t="shared" si="10"/>
        <v>0.99990000000000001</v>
      </c>
      <c r="F375" s="23">
        <f t="shared" si="11"/>
        <v>108.1</v>
      </c>
    </row>
    <row r="376" spans="1:6">
      <c r="A376">
        <v>26.84</v>
      </c>
      <c r="B376">
        <v>1</v>
      </c>
      <c r="C376" s="2">
        <v>0.30990000000000001</v>
      </c>
      <c r="D376">
        <v>108.2</v>
      </c>
      <c r="E376" s="23">
        <f t="shared" si="10"/>
        <v>1</v>
      </c>
      <c r="F376" s="23">
        <f t="shared" si="11"/>
        <v>108.2</v>
      </c>
    </row>
    <row r="377" spans="1:6">
      <c r="A377">
        <v>27.353000000000002</v>
      </c>
      <c r="B377">
        <v>0.99990000000000001</v>
      </c>
      <c r="C377" s="2">
        <v>0.30819999999999997</v>
      </c>
      <c r="D377">
        <v>108.1</v>
      </c>
      <c r="E377" s="23">
        <f t="shared" si="10"/>
        <v>0.99990000000000001</v>
      </c>
      <c r="F377" s="23">
        <f t="shared" si="11"/>
        <v>108.1</v>
      </c>
    </row>
    <row r="378" spans="1:6">
      <c r="A378">
        <v>27.864999999999998</v>
      </c>
      <c r="B378">
        <v>1</v>
      </c>
      <c r="C378" s="2">
        <v>0.30969999999999998</v>
      </c>
      <c r="D378">
        <v>108.1</v>
      </c>
      <c r="E378" s="23">
        <f t="shared" si="10"/>
        <v>1</v>
      </c>
      <c r="F378" s="23">
        <f t="shared" si="11"/>
        <v>108.1</v>
      </c>
    </row>
    <row r="379" spans="1:6">
      <c r="A379">
        <v>28.376000000000001</v>
      </c>
      <c r="B379">
        <v>1</v>
      </c>
      <c r="C379" s="2">
        <v>0.31309999999999999</v>
      </c>
      <c r="D379">
        <v>108.1</v>
      </c>
      <c r="E379" s="23">
        <f t="shared" si="10"/>
        <v>1</v>
      </c>
      <c r="F379" s="23">
        <f t="shared" si="11"/>
        <v>108.1</v>
      </c>
    </row>
    <row r="380" spans="1:6">
      <c r="A380">
        <v>28.888999999999999</v>
      </c>
      <c r="B380">
        <v>1</v>
      </c>
      <c r="C380" s="2">
        <v>0.31269999999999998</v>
      </c>
      <c r="D380">
        <v>108</v>
      </c>
      <c r="E380" s="23">
        <f t="shared" si="10"/>
        <v>1</v>
      </c>
      <c r="F380" s="23">
        <f t="shared" si="11"/>
        <v>108</v>
      </c>
    </row>
    <row r="381" spans="1:6">
      <c r="A381">
        <v>29.4</v>
      </c>
      <c r="B381">
        <v>0.99990000000000001</v>
      </c>
      <c r="C381" s="2">
        <v>0.31309999999999999</v>
      </c>
      <c r="D381">
        <v>108</v>
      </c>
      <c r="E381" s="23">
        <f t="shared" si="10"/>
        <v>0.99990000000000001</v>
      </c>
      <c r="F381" s="23">
        <f t="shared" si="11"/>
        <v>108</v>
      </c>
    </row>
    <row r="382" spans="1:6">
      <c r="A382">
        <v>29.913</v>
      </c>
      <c r="B382">
        <v>1</v>
      </c>
      <c r="C382" s="2">
        <v>0.311</v>
      </c>
      <c r="D382">
        <v>108</v>
      </c>
      <c r="E382" s="23">
        <f t="shared" si="10"/>
        <v>1</v>
      </c>
      <c r="F382" s="23">
        <f t="shared" si="11"/>
        <v>108</v>
      </c>
    </row>
    <row r="383" spans="1:6">
      <c r="A383">
        <v>30.423999999999999</v>
      </c>
      <c r="B383">
        <v>1</v>
      </c>
      <c r="C383">
        <v>0.31409999999999999</v>
      </c>
      <c r="D383">
        <v>108</v>
      </c>
      <c r="E383" s="23">
        <f t="shared" si="10"/>
        <v>1</v>
      </c>
      <c r="F383" s="23">
        <f t="shared" si="11"/>
        <v>108</v>
      </c>
    </row>
    <row r="384" spans="1:6">
      <c r="A384">
        <v>30.937000000000001</v>
      </c>
      <c r="B384">
        <v>0.99990000000000001</v>
      </c>
      <c r="C384">
        <v>0.31119999999999998</v>
      </c>
      <c r="D384">
        <v>108</v>
      </c>
      <c r="E384" s="23">
        <f t="shared" si="10"/>
        <v>0.99990000000000001</v>
      </c>
      <c r="F384" s="23">
        <f t="shared" si="11"/>
        <v>108</v>
      </c>
    </row>
    <row r="385" spans="1:6">
      <c r="A385">
        <v>31.448</v>
      </c>
      <c r="B385">
        <v>1</v>
      </c>
      <c r="C385">
        <v>0.31290000000000001</v>
      </c>
      <c r="D385">
        <v>108</v>
      </c>
      <c r="E385" s="23">
        <f t="shared" si="10"/>
        <v>1</v>
      </c>
      <c r="F385" s="23">
        <f t="shared" si="11"/>
        <v>108</v>
      </c>
    </row>
    <row r="386" spans="1:6">
      <c r="A386">
        <v>31.960999999999999</v>
      </c>
      <c r="B386">
        <v>1</v>
      </c>
      <c r="C386">
        <v>0.312</v>
      </c>
      <c r="D386">
        <v>108.1</v>
      </c>
      <c r="E386" s="23">
        <f t="shared" si="10"/>
        <v>1</v>
      </c>
      <c r="F386" s="23">
        <f t="shared" si="11"/>
        <v>108.1</v>
      </c>
    </row>
    <row r="387" spans="1:6">
      <c r="A387">
        <v>32.472000000000001</v>
      </c>
      <c r="B387">
        <v>1</v>
      </c>
      <c r="C387">
        <v>0.311</v>
      </c>
      <c r="D387">
        <v>108.1</v>
      </c>
      <c r="E387" s="23">
        <f t="shared" si="10"/>
        <v>1</v>
      </c>
      <c r="F387" s="23">
        <f t="shared" si="11"/>
        <v>108.1</v>
      </c>
    </row>
    <row r="388" spans="1:6">
      <c r="A388">
        <v>32.984999999999999</v>
      </c>
      <c r="B388">
        <v>1</v>
      </c>
      <c r="C388" s="2">
        <v>0.31119999999999998</v>
      </c>
      <c r="D388">
        <v>108</v>
      </c>
      <c r="E388" s="23">
        <f t="shared" si="10"/>
        <v>1</v>
      </c>
      <c r="F388" s="23">
        <f t="shared" si="11"/>
        <v>108</v>
      </c>
    </row>
    <row r="389" spans="1:6">
      <c r="A389">
        <v>33.496000000000002</v>
      </c>
      <c r="B389">
        <v>1</v>
      </c>
      <c r="C389" s="2">
        <v>0.30930000000000002</v>
      </c>
      <c r="D389">
        <v>108</v>
      </c>
      <c r="E389" s="23">
        <f t="shared" ref="E389:E421" si="12">IF(B389=MEDIAN($J$1-0.05,$J$1+0.05,B389),B389,0)</f>
        <v>1</v>
      </c>
      <c r="F389" s="23">
        <f t="shared" ref="F389:F421" si="13">IF(E389=0,0,D389)</f>
        <v>108</v>
      </c>
    </row>
    <row r="390" spans="1:6">
      <c r="A390">
        <v>34.008000000000003</v>
      </c>
      <c r="B390">
        <v>1</v>
      </c>
      <c r="C390">
        <v>0.31480000000000002</v>
      </c>
      <c r="D390">
        <v>108</v>
      </c>
      <c r="E390" s="23">
        <f t="shared" si="12"/>
        <v>1</v>
      </c>
      <c r="F390" s="23">
        <f t="shared" si="13"/>
        <v>108</v>
      </c>
    </row>
    <row r="391" spans="1:6">
      <c r="A391">
        <v>34.521000000000001</v>
      </c>
      <c r="B391">
        <v>0.99990000000000001</v>
      </c>
      <c r="C391">
        <v>0.31240000000000001</v>
      </c>
      <c r="D391">
        <v>108</v>
      </c>
      <c r="E391" s="23">
        <f t="shared" si="12"/>
        <v>0.99990000000000001</v>
      </c>
      <c r="F391" s="23">
        <f t="shared" si="13"/>
        <v>108</v>
      </c>
    </row>
    <row r="392" spans="1:6">
      <c r="A392">
        <v>35.033000000000001</v>
      </c>
      <c r="B392">
        <v>1</v>
      </c>
      <c r="C392" s="2">
        <v>0.312</v>
      </c>
      <c r="D392">
        <v>108</v>
      </c>
      <c r="E392" s="23">
        <f t="shared" si="12"/>
        <v>1</v>
      </c>
      <c r="F392" s="23">
        <f t="shared" si="13"/>
        <v>108</v>
      </c>
    </row>
    <row r="393" spans="1:6">
      <c r="A393">
        <v>35.543999999999997</v>
      </c>
      <c r="B393">
        <v>0.99990000000000001</v>
      </c>
      <c r="C393" s="2">
        <v>0.31369999999999998</v>
      </c>
      <c r="D393">
        <v>107.9</v>
      </c>
      <c r="E393" s="23">
        <f t="shared" si="12"/>
        <v>0.99990000000000001</v>
      </c>
      <c r="F393" s="23">
        <f t="shared" si="13"/>
        <v>107.9</v>
      </c>
    </row>
    <row r="394" spans="1:6">
      <c r="A394">
        <v>36.055999999999997</v>
      </c>
      <c r="B394">
        <v>0.99990000000000001</v>
      </c>
      <c r="C394" s="2">
        <v>0.311</v>
      </c>
      <c r="D394">
        <v>107.9</v>
      </c>
      <c r="E394" s="23">
        <f t="shared" si="12"/>
        <v>0.99990000000000001</v>
      </c>
      <c r="F394" s="23">
        <f t="shared" si="13"/>
        <v>107.9</v>
      </c>
    </row>
    <row r="395" spans="1:6">
      <c r="A395">
        <v>36.569000000000003</v>
      </c>
      <c r="B395">
        <v>1</v>
      </c>
      <c r="C395" s="2">
        <v>0.31219999999999998</v>
      </c>
      <c r="D395">
        <v>107.9</v>
      </c>
      <c r="E395" s="23">
        <f t="shared" si="12"/>
        <v>1</v>
      </c>
      <c r="F395" s="23">
        <f t="shared" si="13"/>
        <v>107.9</v>
      </c>
    </row>
    <row r="396" spans="1:6">
      <c r="A396">
        <v>37.081000000000003</v>
      </c>
      <c r="B396">
        <v>1</v>
      </c>
      <c r="C396" s="2">
        <v>0.31409999999999999</v>
      </c>
      <c r="D396">
        <v>107.8</v>
      </c>
      <c r="E396" s="23">
        <f t="shared" si="12"/>
        <v>1</v>
      </c>
      <c r="F396" s="23">
        <f t="shared" si="13"/>
        <v>107.8</v>
      </c>
    </row>
    <row r="397" spans="1:6">
      <c r="A397">
        <v>37.591999999999999</v>
      </c>
      <c r="B397">
        <v>0.99990000000000001</v>
      </c>
      <c r="C397" s="2">
        <v>0.311</v>
      </c>
      <c r="D397">
        <v>107.9</v>
      </c>
      <c r="E397" s="23">
        <f t="shared" si="12"/>
        <v>0.99990000000000001</v>
      </c>
      <c r="F397" s="23">
        <f t="shared" si="13"/>
        <v>107.9</v>
      </c>
    </row>
    <row r="398" spans="1:6">
      <c r="A398">
        <v>38.103999999999999</v>
      </c>
      <c r="B398">
        <v>1</v>
      </c>
      <c r="C398" s="2">
        <v>0.31159999999999999</v>
      </c>
      <c r="D398">
        <v>107.9</v>
      </c>
      <c r="E398" s="23">
        <f t="shared" si="12"/>
        <v>1</v>
      </c>
      <c r="F398" s="23">
        <f t="shared" si="13"/>
        <v>107.9</v>
      </c>
    </row>
    <row r="399" spans="1:6">
      <c r="A399">
        <v>38.616999999999997</v>
      </c>
      <c r="B399">
        <v>1</v>
      </c>
      <c r="C399" s="2">
        <v>0.31230000000000002</v>
      </c>
      <c r="D399">
        <v>107.8</v>
      </c>
      <c r="E399" s="23">
        <f t="shared" si="12"/>
        <v>1</v>
      </c>
      <c r="F399" s="23">
        <f t="shared" si="13"/>
        <v>107.8</v>
      </c>
    </row>
    <row r="400" spans="1:6">
      <c r="A400">
        <v>39.128999999999998</v>
      </c>
      <c r="B400">
        <v>0.99990000000000001</v>
      </c>
      <c r="C400" s="2">
        <v>0.31209999999999999</v>
      </c>
      <c r="D400">
        <v>107.8</v>
      </c>
      <c r="E400" s="23">
        <f t="shared" si="12"/>
        <v>0.99990000000000001</v>
      </c>
      <c r="F400" s="23">
        <f t="shared" si="13"/>
        <v>107.8</v>
      </c>
    </row>
    <row r="401" spans="1:6">
      <c r="A401">
        <v>39.64</v>
      </c>
      <c r="B401">
        <v>1</v>
      </c>
      <c r="C401" s="2">
        <v>0.31309999999999999</v>
      </c>
      <c r="D401">
        <v>107.8</v>
      </c>
      <c r="E401" s="23">
        <f t="shared" si="12"/>
        <v>1</v>
      </c>
      <c r="F401" s="23">
        <f t="shared" si="13"/>
        <v>107.8</v>
      </c>
    </row>
    <row r="402" spans="1:6">
      <c r="A402">
        <v>40.152999999999999</v>
      </c>
      <c r="B402">
        <v>1</v>
      </c>
      <c r="C402" s="2">
        <v>0.31480000000000002</v>
      </c>
      <c r="D402">
        <v>107.7</v>
      </c>
      <c r="E402" s="23">
        <f t="shared" si="12"/>
        <v>1</v>
      </c>
      <c r="F402" s="23">
        <f t="shared" si="13"/>
        <v>107.7</v>
      </c>
    </row>
    <row r="403" spans="1:6">
      <c r="A403">
        <v>40.664999999999999</v>
      </c>
      <c r="B403">
        <v>1</v>
      </c>
      <c r="C403" s="2">
        <v>0.31290000000000001</v>
      </c>
      <c r="D403">
        <v>107.7</v>
      </c>
      <c r="E403" s="23">
        <f t="shared" si="12"/>
        <v>1</v>
      </c>
      <c r="F403" s="23">
        <f t="shared" si="13"/>
        <v>107.7</v>
      </c>
    </row>
    <row r="404" spans="1:6">
      <c r="A404">
        <v>41.432000000000002</v>
      </c>
      <c r="B404">
        <v>0.99990000000000001</v>
      </c>
      <c r="C404" s="2">
        <v>0.31459999999999999</v>
      </c>
      <c r="D404">
        <v>107.7</v>
      </c>
      <c r="E404" s="23">
        <f t="shared" si="12"/>
        <v>0.99990000000000001</v>
      </c>
      <c r="F404" s="23">
        <f t="shared" si="13"/>
        <v>107.7</v>
      </c>
    </row>
    <row r="405" spans="1:6">
      <c r="A405">
        <v>42.457000000000001</v>
      </c>
      <c r="B405">
        <v>1</v>
      </c>
      <c r="C405" s="2">
        <v>0.31390000000000001</v>
      </c>
      <c r="D405">
        <v>107.6</v>
      </c>
      <c r="E405" s="23">
        <f t="shared" si="12"/>
        <v>1</v>
      </c>
      <c r="F405" s="23">
        <f t="shared" si="13"/>
        <v>107.6</v>
      </c>
    </row>
    <row r="406" spans="1:6">
      <c r="A406">
        <v>43.48</v>
      </c>
      <c r="B406">
        <v>1</v>
      </c>
      <c r="C406" s="2">
        <v>0.312</v>
      </c>
      <c r="D406">
        <v>107.6</v>
      </c>
      <c r="E406" s="23">
        <f t="shared" si="12"/>
        <v>1</v>
      </c>
      <c r="F406" s="23">
        <f t="shared" si="13"/>
        <v>107.6</v>
      </c>
    </row>
    <row r="407" spans="1:6">
      <c r="A407">
        <v>44.505000000000003</v>
      </c>
      <c r="B407">
        <v>1</v>
      </c>
      <c r="C407" s="2">
        <v>0.31390000000000001</v>
      </c>
      <c r="D407">
        <v>107.5</v>
      </c>
      <c r="E407" s="23">
        <f t="shared" si="12"/>
        <v>1</v>
      </c>
      <c r="F407" s="23">
        <f t="shared" si="13"/>
        <v>107.5</v>
      </c>
    </row>
    <row r="408" spans="1:6">
      <c r="A408">
        <v>45.527999999999999</v>
      </c>
      <c r="B408">
        <v>1</v>
      </c>
      <c r="C408" s="2">
        <v>0.31580000000000003</v>
      </c>
      <c r="D408">
        <v>107.4</v>
      </c>
      <c r="E408" s="23">
        <f t="shared" si="12"/>
        <v>1</v>
      </c>
      <c r="F408" s="23">
        <f t="shared" si="13"/>
        <v>107.4</v>
      </c>
    </row>
    <row r="409" spans="1:6">
      <c r="A409">
        <v>46.552999999999997</v>
      </c>
      <c r="B409">
        <v>1</v>
      </c>
      <c r="C409" s="2">
        <v>0.30890000000000001</v>
      </c>
      <c r="D409">
        <v>107.4</v>
      </c>
      <c r="E409" s="23">
        <f t="shared" si="12"/>
        <v>1</v>
      </c>
      <c r="F409" s="23">
        <f t="shared" si="13"/>
        <v>107.4</v>
      </c>
    </row>
    <row r="410" spans="1:6">
      <c r="A410">
        <v>47.576000000000001</v>
      </c>
      <c r="B410">
        <v>1</v>
      </c>
      <c r="C410" s="2">
        <v>0.311</v>
      </c>
      <c r="D410">
        <v>107.4</v>
      </c>
      <c r="E410" s="23">
        <f t="shared" si="12"/>
        <v>1</v>
      </c>
      <c r="F410" s="23">
        <f t="shared" si="13"/>
        <v>107.4</v>
      </c>
    </row>
    <row r="411" spans="1:6">
      <c r="A411">
        <v>48.6</v>
      </c>
      <c r="B411">
        <v>1</v>
      </c>
      <c r="C411" s="2">
        <v>0.31180000000000002</v>
      </c>
      <c r="D411">
        <v>107.3</v>
      </c>
      <c r="E411" s="23">
        <f t="shared" si="12"/>
        <v>1</v>
      </c>
      <c r="F411" s="23">
        <f t="shared" si="13"/>
        <v>107.3</v>
      </c>
    </row>
    <row r="412" spans="1:6">
      <c r="A412">
        <v>49.625</v>
      </c>
      <c r="B412">
        <v>1</v>
      </c>
      <c r="C412" s="2">
        <v>0.30990000000000001</v>
      </c>
      <c r="D412">
        <v>107.2</v>
      </c>
      <c r="E412" s="23">
        <f t="shared" si="12"/>
        <v>1</v>
      </c>
      <c r="F412" s="23">
        <f t="shared" si="13"/>
        <v>107.2</v>
      </c>
    </row>
    <row r="413" spans="1:6">
      <c r="A413">
        <v>50.648000000000003</v>
      </c>
      <c r="B413">
        <v>1</v>
      </c>
      <c r="C413" s="2">
        <v>0.31119999999999998</v>
      </c>
      <c r="D413">
        <v>107.2</v>
      </c>
      <c r="E413" s="23">
        <f t="shared" si="12"/>
        <v>1</v>
      </c>
      <c r="F413" s="23">
        <f t="shared" si="13"/>
        <v>107.2</v>
      </c>
    </row>
    <row r="414" spans="1:6">
      <c r="A414">
        <v>51.673000000000002</v>
      </c>
      <c r="B414">
        <v>1</v>
      </c>
      <c r="C414" s="2">
        <v>0.314</v>
      </c>
      <c r="D414">
        <v>107.1</v>
      </c>
      <c r="E414" s="23">
        <f t="shared" si="12"/>
        <v>1</v>
      </c>
      <c r="F414" s="23">
        <f t="shared" si="13"/>
        <v>107.1</v>
      </c>
    </row>
    <row r="415" spans="1:6">
      <c r="A415">
        <v>52.695999999999998</v>
      </c>
      <c r="B415">
        <v>1</v>
      </c>
      <c r="C415" s="2">
        <v>0.312</v>
      </c>
      <c r="D415">
        <v>107.1</v>
      </c>
      <c r="E415" s="23">
        <f t="shared" si="12"/>
        <v>1</v>
      </c>
      <c r="F415" s="23">
        <f t="shared" si="13"/>
        <v>107.1</v>
      </c>
    </row>
    <row r="416" spans="1:6">
      <c r="A416">
        <v>53.720999999999997</v>
      </c>
      <c r="B416">
        <v>1</v>
      </c>
      <c r="C416" s="2">
        <v>0.31159999999999999</v>
      </c>
      <c r="D416">
        <v>107</v>
      </c>
      <c r="E416" s="23">
        <f t="shared" si="12"/>
        <v>1</v>
      </c>
      <c r="F416" s="23">
        <f t="shared" si="13"/>
        <v>107</v>
      </c>
    </row>
    <row r="417" spans="1:6">
      <c r="A417">
        <v>54.744</v>
      </c>
      <c r="B417">
        <v>1</v>
      </c>
      <c r="C417" s="2">
        <v>0.3105</v>
      </c>
      <c r="D417">
        <v>107</v>
      </c>
      <c r="E417" s="23">
        <f t="shared" si="12"/>
        <v>1</v>
      </c>
      <c r="F417" s="23">
        <f t="shared" si="13"/>
        <v>107</v>
      </c>
    </row>
    <row r="418" spans="1:6">
      <c r="A418">
        <v>55.768999999999998</v>
      </c>
      <c r="B418">
        <v>1</v>
      </c>
      <c r="C418" s="2">
        <v>0.311</v>
      </c>
      <c r="D418">
        <v>106.9</v>
      </c>
      <c r="E418" s="23">
        <f t="shared" si="12"/>
        <v>1</v>
      </c>
      <c r="F418" s="23">
        <f t="shared" si="13"/>
        <v>106.9</v>
      </c>
    </row>
    <row r="419" spans="1:6">
      <c r="A419">
        <v>56.792000000000002</v>
      </c>
      <c r="B419">
        <v>1</v>
      </c>
      <c r="C419" s="2">
        <v>0.31080000000000002</v>
      </c>
      <c r="D419">
        <v>106.8</v>
      </c>
      <c r="E419" s="23">
        <f t="shared" si="12"/>
        <v>1</v>
      </c>
      <c r="F419" s="23">
        <f t="shared" si="13"/>
        <v>106.8</v>
      </c>
    </row>
    <row r="420" spans="1:6">
      <c r="A420">
        <v>57.817</v>
      </c>
      <c r="B420">
        <v>1</v>
      </c>
      <c r="C420" s="2">
        <v>0.31409999999999999</v>
      </c>
      <c r="D420">
        <v>106.7</v>
      </c>
      <c r="E420" s="23">
        <f t="shared" si="12"/>
        <v>1</v>
      </c>
      <c r="F420" s="23">
        <f t="shared" si="13"/>
        <v>106.7</v>
      </c>
    </row>
    <row r="421" spans="1:6">
      <c r="A421">
        <v>58.84</v>
      </c>
      <c r="B421">
        <v>0.99990000000000001</v>
      </c>
      <c r="C421" s="2">
        <v>0.31119999999999998</v>
      </c>
      <c r="D421">
        <v>106.7</v>
      </c>
      <c r="E421" s="23">
        <f t="shared" si="12"/>
        <v>0.99990000000000001</v>
      </c>
      <c r="F421" s="23">
        <f t="shared" si="13"/>
        <v>106.7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R286"/>
  <sheetViews>
    <sheetView workbookViewId="0">
      <selection sqref="A1:I133"/>
    </sheetView>
  </sheetViews>
  <sheetFormatPr defaultRowHeight="15"/>
  <cols>
    <col min="1" max="1" width="23.5703125" style="23" bestFit="1" customWidth="1"/>
    <col min="2" max="2" width="32" style="23" bestFit="1" customWidth="1"/>
    <col min="3" max="3" width="27" style="23" bestFit="1" customWidth="1"/>
    <col min="4" max="4" width="14.42578125" style="23" bestFit="1" customWidth="1"/>
    <col min="5" max="5" width="17.28515625" style="23" bestFit="1" customWidth="1"/>
    <col min="6" max="16384" width="9.140625" style="23"/>
  </cols>
  <sheetData>
    <row r="1" spans="1:70" ht="30" customHeight="1">
      <c r="A1"/>
      <c r="B1"/>
      <c r="C1"/>
      <c r="D1"/>
      <c r="E1"/>
      <c r="F1"/>
      <c r="G1"/>
      <c r="H1"/>
      <c r="I1"/>
      <c r="J1" s="17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 ht="15" customHeight="1">
      <c r="A2"/>
      <c r="B2"/>
      <c r="C2"/>
      <c r="D2"/>
      <c r="E2"/>
      <c r="F2"/>
      <c r="G2"/>
      <c r="H2"/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 ht="15" customHeight="1">
      <c r="A3"/>
      <c r="B3"/>
      <c r="C3"/>
      <c r="D3"/>
      <c r="E3"/>
      <c r="F3"/>
      <c r="G3"/>
      <c r="H3"/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 ht="15" customHeight="1">
      <c r="A4"/>
      <c r="B4"/>
      <c r="C4"/>
      <c r="D4"/>
      <c r="E4"/>
      <c r="F4"/>
      <c r="G4"/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 ht="15" customHeight="1">
      <c r="A5"/>
      <c r="B5"/>
      <c r="C5"/>
      <c r="D5"/>
      <c r="E5"/>
      <c r="F5"/>
      <c r="G5"/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 ht="15" customHeight="1">
      <c r="A6"/>
      <c r="B6"/>
      <c r="C6"/>
      <c r="D6"/>
      <c r="E6"/>
      <c r="F6"/>
      <c r="G6"/>
      <c r="H6"/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 ht="15" customHeight="1">
      <c r="A7"/>
      <c r="B7"/>
      <c r="C7"/>
      <c r="D7"/>
      <c r="E7"/>
      <c r="F7"/>
      <c r="G7"/>
      <c r="H7"/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 ht="15" customHeight="1">
      <c r="A8"/>
      <c r="B8"/>
      <c r="C8"/>
      <c r="D8"/>
      <c r="E8"/>
      <c r="F8"/>
      <c r="G8"/>
      <c r="H8"/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 ht="15" customHeight="1">
      <c r="A9"/>
      <c r="B9"/>
      <c r="C9"/>
      <c r="D9"/>
      <c r="E9"/>
      <c r="F9"/>
      <c r="G9"/>
      <c r="H9"/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 ht="15" customHeight="1">
      <c r="A10"/>
      <c r="B10"/>
      <c r="C10"/>
      <c r="D10"/>
      <c r="E10"/>
      <c r="F10"/>
      <c r="G10"/>
      <c r="H10"/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 ht="15" customHeight="1">
      <c r="A11"/>
      <c r="B11"/>
      <c r="C11"/>
      <c r="D11"/>
      <c r="E11"/>
      <c r="F11"/>
      <c r="G11"/>
      <c r="H11"/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 ht="15" customHeight="1">
      <c r="A12"/>
      <c r="B12"/>
      <c r="C12"/>
      <c r="D12"/>
      <c r="E12"/>
      <c r="F12"/>
      <c r="G12"/>
      <c r="H12"/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 ht="15" customHeight="1">
      <c r="A13"/>
      <c r="B13"/>
      <c r="C13"/>
      <c r="D13"/>
      <c r="E13"/>
      <c r="F13"/>
      <c r="G13"/>
      <c r="H13"/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 ht="15" customHeight="1">
      <c r="A14"/>
      <c r="B14"/>
      <c r="C14"/>
      <c r="D14"/>
      <c r="E14"/>
      <c r="F14"/>
      <c r="G14"/>
      <c r="H14"/>
      <c r="I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 ht="15" customHeight="1">
      <c r="A15"/>
      <c r="B15"/>
      <c r="C15"/>
      <c r="D15"/>
      <c r="E15"/>
      <c r="F15"/>
      <c r="G15"/>
      <c r="H15"/>
      <c r="I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 ht="15" customHeight="1">
      <c r="A16"/>
      <c r="B16"/>
      <c r="C16"/>
      <c r="D16"/>
      <c r="E16"/>
      <c r="F16"/>
      <c r="G16"/>
      <c r="H16"/>
      <c r="I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1:70" ht="15" customHeight="1">
      <c r="A17"/>
      <c r="B17"/>
      <c r="C17"/>
      <c r="D17"/>
      <c r="E17"/>
      <c r="F17"/>
      <c r="G17"/>
      <c r="H17"/>
      <c r="I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1:70" ht="15" customHeight="1">
      <c r="A18"/>
      <c r="B18"/>
      <c r="C18"/>
      <c r="D18"/>
      <c r="E18"/>
      <c r="F18"/>
      <c r="G18"/>
      <c r="H18"/>
      <c r="I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1:70" ht="15" customHeight="1">
      <c r="A19"/>
      <c r="B19"/>
      <c r="C19"/>
      <c r="D19"/>
      <c r="E19"/>
      <c r="F19"/>
      <c r="G19"/>
      <c r="H19"/>
      <c r="I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1:70" ht="15" customHeight="1">
      <c r="A20"/>
      <c r="B20"/>
      <c r="C20"/>
      <c r="D20"/>
      <c r="E20"/>
      <c r="F20"/>
      <c r="G20"/>
      <c r="H20"/>
      <c r="I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1:70" ht="15" customHeight="1">
      <c r="A21"/>
      <c r="B21"/>
      <c r="C21"/>
      <c r="D21"/>
      <c r="E21"/>
      <c r="F21"/>
      <c r="G21"/>
      <c r="H21"/>
      <c r="I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1:70" ht="15" customHeight="1">
      <c r="A22"/>
      <c r="B22"/>
      <c r="C22"/>
      <c r="D22"/>
      <c r="E22"/>
      <c r="F22"/>
      <c r="G22"/>
      <c r="H22"/>
      <c r="I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1:70" ht="15" customHeight="1">
      <c r="A23"/>
      <c r="B23"/>
      <c r="C23"/>
      <c r="D23"/>
      <c r="E23"/>
      <c r="F23"/>
      <c r="G23"/>
      <c r="H23"/>
      <c r="I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0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  <row r="235" spans="1:70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</row>
    <row r="236" spans="1:70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</row>
    <row r="237" spans="1:70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</row>
    <row r="238" spans="1:70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</row>
    <row r="239" spans="1:70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</row>
    <row r="240" spans="1:7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</row>
    <row r="241" spans="1:70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</row>
    <row r="242" spans="1:70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</row>
    <row r="243" spans="1:70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</row>
    <row r="244" spans="1:70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</row>
    <row r="245" spans="1:70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</row>
    <row r="246" spans="1:70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</row>
    <row r="247" spans="1:70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</row>
    <row r="248" spans="1:70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</row>
    <row r="249" spans="1:70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</row>
    <row r="250" spans="1:70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</row>
    <row r="251" spans="1:70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</row>
    <row r="254" spans="1:70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</row>
    <row r="255" spans="1:70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</row>
    <row r="256" spans="1:70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</row>
    <row r="257" spans="1:70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</row>
    <row r="259" spans="1:70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</row>
    <row r="260" spans="1:70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</row>
    <row r="261" spans="1:70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</row>
    <row r="262" spans="1:70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</row>
    <row r="263" spans="1:70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</row>
    <row r="264" spans="1:70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</row>
    <row r="265" spans="1:70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</row>
    <row r="266" spans="1:70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</row>
    <row r="267" spans="1:70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</row>
    <row r="268" spans="1:70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</row>
    <row r="270" spans="1:70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</row>
    <row r="274" spans="1:70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</row>
    <row r="277" spans="1:70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</row>
    <row r="278" spans="1:70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</row>
    <row r="279" spans="1:70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</row>
    <row r="280" spans="1:70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</row>
    <row r="281" spans="1:70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</row>
    <row r="282" spans="1:70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</row>
    <row r="283" spans="1:70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</row>
    <row r="284" spans="1:70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</row>
    <row r="285" spans="1:70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</row>
    <row r="286" spans="1:70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</row>
  </sheetData>
  <sortState ref="A2:I133">
    <sortCondition ref="F2:F13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J23"/>
  <sheetViews>
    <sheetView workbookViewId="0">
      <selection activeCell="A2" sqref="A2:A23"/>
    </sheetView>
  </sheetViews>
  <sheetFormatPr defaultRowHeight="15"/>
  <cols>
    <col min="1" max="1" width="23.5703125" bestFit="1" customWidth="1"/>
    <col min="2" max="2" width="32" bestFit="1" customWidth="1"/>
    <col min="3" max="3" width="27" bestFit="1" customWidth="1"/>
    <col min="4" max="4" width="14.42578125" bestFit="1" customWidth="1"/>
    <col min="5" max="5" width="17.28515625" bestFit="1" customWidth="1"/>
  </cols>
  <sheetData>
    <row r="1" spans="1:10" s="17" customFormat="1" ht="30" customHeight="1">
      <c r="A1" s="35" t="s">
        <v>74</v>
      </c>
      <c r="B1" s="35" t="s">
        <v>73</v>
      </c>
      <c r="C1" s="35" t="s">
        <v>72</v>
      </c>
      <c r="D1" s="35" t="s">
        <v>75</v>
      </c>
      <c r="E1" s="35" t="s">
        <v>85</v>
      </c>
      <c r="F1" s="35" t="s">
        <v>76</v>
      </c>
      <c r="G1" s="35" t="s">
        <v>77</v>
      </c>
      <c r="H1" s="35" t="s">
        <v>78</v>
      </c>
      <c r="I1" s="35" t="s">
        <v>79</v>
      </c>
    </row>
    <row r="2" spans="1:10" ht="15" customHeight="1">
      <c r="A2" s="23" t="s">
        <v>67</v>
      </c>
      <c r="B2" s="23"/>
      <c r="C2" s="23" t="s">
        <v>94</v>
      </c>
      <c r="D2" s="33"/>
      <c r="E2" s="23"/>
      <c r="F2" s="23"/>
      <c r="G2" s="23"/>
      <c r="H2" s="23"/>
      <c r="I2" s="23"/>
      <c r="J2" s="23"/>
    </row>
    <row r="3" spans="1:10" ht="15" customHeight="1">
      <c r="A3" s="23" t="s">
        <v>67</v>
      </c>
      <c r="B3" s="23"/>
      <c r="C3" s="23" t="s">
        <v>95</v>
      </c>
      <c r="D3" s="33"/>
      <c r="E3" s="23"/>
      <c r="F3" s="23"/>
      <c r="G3" s="23"/>
      <c r="H3" s="23"/>
      <c r="I3" s="23"/>
      <c r="J3" s="23"/>
    </row>
    <row r="4" spans="1:10" ht="15" customHeight="1">
      <c r="A4" s="23" t="s">
        <v>67</v>
      </c>
      <c r="B4" s="23"/>
      <c r="C4" s="23" t="s">
        <v>96</v>
      </c>
      <c r="D4" s="33"/>
      <c r="E4" s="23"/>
      <c r="F4" s="23"/>
      <c r="G4" s="23"/>
      <c r="H4" s="23"/>
      <c r="I4" s="23"/>
      <c r="J4" s="23"/>
    </row>
    <row r="5" spans="1:10" ht="15" customHeight="1">
      <c r="A5" s="23" t="s">
        <v>67</v>
      </c>
      <c r="B5" s="23"/>
      <c r="C5" s="23" t="s">
        <v>97</v>
      </c>
      <c r="D5" s="33"/>
      <c r="E5" s="23"/>
      <c r="F5" s="23"/>
      <c r="G5" s="23"/>
      <c r="H5" s="23"/>
      <c r="I5" s="23"/>
      <c r="J5" s="23"/>
    </row>
    <row r="6" spans="1:10" ht="15" customHeight="1">
      <c r="A6" s="23" t="s">
        <v>67</v>
      </c>
      <c r="B6" s="23"/>
      <c r="C6" s="23" t="s">
        <v>98</v>
      </c>
      <c r="D6" s="33"/>
      <c r="E6" s="23"/>
      <c r="F6" s="23"/>
      <c r="G6" s="23"/>
      <c r="H6" s="23"/>
      <c r="I6" s="23"/>
      <c r="J6" s="23"/>
    </row>
    <row r="7" spans="1:10" ht="15" customHeight="1">
      <c r="A7" s="23" t="s">
        <v>67</v>
      </c>
      <c r="B7" s="23"/>
      <c r="C7" s="23" t="s">
        <v>82</v>
      </c>
      <c r="D7" s="33"/>
      <c r="E7" s="23"/>
      <c r="F7" s="23"/>
      <c r="G7" s="23"/>
      <c r="H7" s="23"/>
      <c r="I7" s="23"/>
      <c r="J7" s="23"/>
    </row>
    <row r="8" spans="1:10" ht="15" customHeight="1">
      <c r="A8" s="23" t="s">
        <v>67</v>
      </c>
      <c r="B8" s="23"/>
      <c r="C8" s="23" t="s">
        <v>83</v>
      </c>
      <c r="D8" s="33"/>
      <c r="E8" s="23"/>
      <c r="F8" s="23"/>
      <c r="G8" s="23"/>
      <c r="H8" s="23"/>
      <c r="I8" s="23"/>
      <c r="J8" s="23"/>
    </row>
    <row r="9" spans="1:10" ht="15" customHeight="1">
      <c r="A9" s="23" t="s">
        <v>67</v>
      </c>
      <c r="B9" s="23"/>
      <c r="C9" s="23" t="s">
        <v>80</v>
      </c>
      <c r="D9" s="33"/>
      <c r="E9" s="23"/>
      <c r="F9" s="23"/>
      <c r="G9" s="23"/>
      <c r="H9" s="23"/>
      <c r="I9" s="23"/>
      <c r="J9" s="23"/>
    </row>
    <row r="10" spans="1:10" ht="15" customHeight="1">
      <c r="A10" s="23" t="s">
        <v>67</v>
      </c>
      <c r="B10" s="23"/>
      <c r="C10" s="23" t="s">
        <v>81</v>
      </c>
      <c r="D10" s="33"/>
      <c r="E10" s="23"/>
      <c r="F10" s="23"/>
      <c r="G10" s="23"/>
      <c r="H10" s="23"/>
      <c r="I10" s="23"/>
      <c r="J10" s="23"/>
    </row>
    <row r="11" spans="1:10" ht="15" customHeight="1">
      <c r="A11" s="23" t="s">
        <v>67</v>
      </c>
      <c r="B11" s="23"/>
      <c r="C11" s="23" t="s">
        <v>38</v>
      </c>
      <c r="D11" s="33"/>
      <c r="E11" s="23"/>
      <c r="F11" s="23"/>
      <c r="G11" s="23"/>
      <c r="H11" s="23"/>
      <c r="I11" s="23"/>
      <c r="J11" s="23"/>
    </row>
    <row r="12" spans="1:10" ht="15" customHeight="1">
      <c r="A12" s="23" t="s">
        <v>67</v>
      </c>
      <c r="B12" s="23"/>
      <c r="C12" s="23" t="s">
        <v>39</v>
      </c>
      <c r="D12" s="33"/>
      <c r="E12" s="23"/>
      <c r="F12" s="23"/>
      <c r="G12" s="23"/>
      <c r="H12" s="23"/>
      <c r="I12" s="23"/>
      <c r="J12" s="23"/>
    </row>
    <row r="13" spans="1:10" ht="15" customHeight="1">
      <c r="A13" s="23" t="s">
        <v>67</v>
      </c>
      <c r="B13" s="23"/>
      <c r="C13" s="23" t="s">
        <v>40</v>
      </c>
      <c r="D13" s="33"/>
      <c r="E13" s="23"/>
      <c r="F13" s="23"/>
      <c r="G13" s="23"/>
      <c r="H13" s="23"/>
      <c r="I13" s="23"/>
      <c r="J13" s="23"/>
    </row>
    <row r="14" spans="1:10" ht="15" customHeight="1">
      <c r="A14" s="23" t="s">
        <v>67</v>
      </c>
      <c r="B14" s="23"/>
      <c r="C14" s="23" t="s">
        <v>41</v>
      </c>
      <c r="D14" s="33"/>
      <c r="E14" s="23"/>
      <c r="F14" s="23"/>
      <c r="G14" s="23"/>
      <c r="H14" s="23"/>
      <c r="I14" s="23"/>
      <c r="J14" s="23"/>
    </row>
    <row r="15" spans="1:10" ht="15" customHeight="1">
      <c r="A15" s="23" t="s">
        <v>67</v>
      </c>
      <c r="B15" s="23"/>
      <c r="C15" s="23" t="s">
        <v>46</v>
      </c>
      <c r="D15" s="33"/>
      <c r="E15" s="23"/>
      <c r="F15" s="23"/>
      <c r="G15" s="23"/>
      <c r="H15" s="23"/>
      <c r="I15" s="23"/>
      <c r="J15" s="23"/>
    </row>
    <row r="16" spans="1:10" ht="15" customHeight="1">
      <c r="A16" s="23" t="s">
        <v>67</v>
      </c>
      <c r="B16" s="23"/>
      <c r="C16" s="23" t="s">
        <v>47</v>
      </c>
      <c r="D16" s="33"/>
      <c r="E16" s="23"/>
      <c r="F16" s="23"/>
      <c r="G16" s="23"/>
      <c r="H16" s="23"/>
      <c r="I16" s="23"/>
      <c r="J16" s="23"/>
    </row>
    <row r="17" spans="1:10" ht="15" customHeight="1">
      <c r="A17" s="23" t="s">
        <v>67</v>
      </c>
      <c r="B17" s="23"/>
      <c r="C17" s="23" t="s">
        <v>54</v>
      </c>
      <c r="D17" s="33"/>
      <c r="E17" s="23"/>
      <c r="F17" s="23"/>
      <c r="G17" s="23"/>
      <c r="H17" s="23"/>
      <c r="I17" s="23"/>
      <c r="J17" s="23"/>
    </row>
    <row r="18" spans="1:10" ht="15" customHeight="1">
      <c r="A18" s="23" t="s">
        <v>67</v>
      </c>
      <c r="B18" s="23"/>
      <c r="C18" s="23" t="s">
        <v>55</v>
      </c>
      <c r="D18" s="33"/>
      <c r="E18" s="23"/>
      <c r="F18" s="23"/>
      <c r="G18" s="23"/>
      <c r="H18" s="23"/>
      <c r="I18" s="23"/>
      <c r="J18" s="23"/>
    </row>
    <row r="19" spans="1:10" ht="15" customHeight="1">
      <c r="A19" s="23" t="s">
        <v>67</v>
      </c>
      <c r="B19" s="23"/>
      <c r="C19" s="23" t="s">
        <v>68</v>
      </c>
      <c r="D19" s="33"/>
      <c r="E19" s="23"/>
      <c r="F19" s="23"/>
      <c r="G19" s="23"/>
      <c r="H19" s="23"/>
      <c r="I19" s="23"/>
      <c r="J19" s="23"/>
    </row>
    <row r="20" spans="1:10" ht="15" customHeight="1">
      <c r="A20" s="23" t="s">
        <v>67</v>
      </c>
      <c r="B20" s="23"/>
      <c r="C20" s="23" t="s">
        <v>70</v>
      </c>
      <c r="D20" s="33"/>
      <c r="E20" s="23"/>
      <c r="F20" s="23"/>
      <c r="G20" s="23"/>
      <c r="H20" s="23"/>
      <c r="I20" s="23"/>
      <c r="J20" s="23"/>
    </row>
    <row r="21" spans="1:10" ht="15" customHeight="1">
      <c r="A21" s="23" t="s">
        <v>67</v>
      </c>
      <c r="B21" s="23"/>
      <c r="C21" s="23" t="s">
        <v>71</v>
      </c>
      <c r="D21" s="33"/>
      <c r="E21" s="23"/>
      <c r="F21" s="23"/>
      <c r="G21" s="23"/>
      <c r="H21" s="23"/>
      <c r="I21" s="23"/>
      <c r="J21" s="23"/>
    </row>
    <row r="22" spans="1:10" ht="15" customHeight="1">
      <c r="A22" s="23" t="s">
        <v>67</v>
      </c>
      <c r="B22" s="23"/>
      <c r="C22" s="23" t="s">
        <v>84</v>
      </c>
      <c r="D22" s="33"/>
      <c r="E22" s="23"/>
      <c r="F22" s="23"/>
      <c r="G22" s="23"/>
      <c r="H22" s="23"/>
      <c r="I22" s="23"/>
      <c r="J22" s="23"/>
    </row>
    <row r="23" spans="1:10" ht="15" customHeight="1" thickBot="1">
      <c r="A23" s="28" t="s">
        <v>67</v>
      </c>
      <c r="B23" s="28"/>
      <c r="C23" s="28" t="s">
        <v>69</v>
      </c>
      <c r="D23" s="34"/>
      <c r="E23" s="28"/>
      <c r="F23" s="28"/>
      <c r="G23" s="28"/>
      <c r="H23" s="28"/>
      <c r="I23" s="28"/>
      <c r="J23" s="2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D11285C-54A1-479D-AEEC-F13EBE7F202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77F735DF-FFA9-4CE2-B529-72679ABFEEF9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 Table</vt:lpstr>
      <vt:lpstr>Automation</vt:lpstr>
      <vt:lpstr>Yield, Bubble Pinch</vt:lpstr>
      <vt:lpstr>Fract-Band</vt:lpstr>
      <vt:lpstr>SPTT Entry</vt:lpstr>
      <vt:lpstr>Template</vt:lpstr>
    </vt:vector>
  </TitlesOfParts>
  <Company>Procter &amp; Gamble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mallon.dr</cp:lastModifiedBy>
  <cp:lastPrinted>2014-10-27T20:32:30Z</cp:lastPrinted>
  <dcterms:created xsi:type="dcterms:W3CDTF">2013-02-21T02:59:43Z</dcterms:created>
  <dcterms:modified xsi:type="dcterms:W3CDTF">2016-03-04T21:27:01Z</dcterms:modified>
</cp:coreProperties>
</file>