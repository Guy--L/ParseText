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/>
  </bookViews>
  <sheets>
    <sheet name="Automation" sheetId="7" r:id="rId1"/>
  </sheets>
  <functionGroups builtInGroupCount="17"/>
  <definedNames>
    <definedName name="solver_adj" localSheetId="0" hidden="1">Automation!$M$4:$M$6</definedName>
    <definedName name="solver_cvg" localSheetId="0">0.0001</definedName>
    <definedName name="solver_drv" localSheetId="0">1</definedName>
    <definedName name="solver_eng" localSheetId="0" hidden="1">1</definedName>
    <definedName name="solver_est" localSheetId="0">1</definedName>
    <definedName name="solver_itr" localSheetId="0">100</definedName>
    <definedName name="solver_lhs1" localSheetId="0" hidden="1">Automation!$M$5</definedName>
    <definedName name="solver_lhs10" localSheetId="0">Automation!$M$5</definedName>
    <definedName name="solver_lhs11" localSheetId="0">Automation!$M$4</definedName>
    <definedName name="solver_lhs12" localSheetId="0">Automation!$M$6</definedName>
    <definedName name="solver_lhs13" localSheetId="0">Automation!$M$5</definedName>
    <definedName name="solver_lhs14" localSheetId="0">Automation!$M$5</definedName>
    <definedName name="solver_lhs15" localSheetId="0">Automation!$M$4</definedName>
    <definedName name="solver_lhs16" localSheetId="0">Automation!$M$6</definedName>
    <definedName name="solver_lhs17" localSheetId="0">Automation!$M$5</definedName>
    <definedName name="solver_lhs18" localSheetId="0">Automation!$M$5</definedName>
    <definedName name="solver_lhs19" localSheetId="0">Automation!$M$4</definedName>
    <definedName name="solver_lhs2" localSheetId="0" hidden="1">Automation!$M$5</definedName>
    <definedName name="solver_lhs20" localSheetId="0">Automation!$M$6</definedName>
    <definedName name="solver_lhs21" localSheetId="0">Automation!$M$5</definedName>
    <definedName name="solver_lhs22" localSheetId="0">Automation!$M$5</definedName>
    <definedName name="solver_lhs23" localSheetId="0">Automation!$M$4</definedName>
    <definedName name="solver_lhs24" localSheetId="0">Automation!$M$6</definedName>
    <definedName name="solver_lhs25" localSheetId="0">Automation!$M$5</definedName>
    <definedName name="solver_lhs26" localSheetId="0">Automation!$M$5</definedName>
    <definedName name="solver_lhs27" localSheetId="0">Automation!$M$4</definedName>
    <definedName name="solver_lhs28" localSheetId="0">Automation!$M$6</definedName>
    <definedName name="solver_lhs3" localSheetId="0" hidden="1">Automation!$M$4</definedName>
    <definedName name="solver_lhs4" localSheetId="0" hidden="1">Automation!$M$6</definedName>
    <definedName name="solver_lhs5" localSheetId="0">Automation!$M$5</definedName>
    <definedName name="solver_lhs6" localSheetId="0">Automation!$M$5</definedName>
    <definedName name="solver_lhs7" localSheetId="0">Automation!$M$4</definedName>
    <definedName name="solver_lhs8" localSheetId="0">Automation!$M$6</definedName>
    <definedName name="solver_lhs9" localSheetId="0">Automation!$M$5</definedName>
    <definedName name="solver_lin" localSheetId="0">2</definedName>
    <definedName name="solver_neg" localSheetId="0" hidden="1">1</definedName>
    <definedName name="solver_num" localSheetId="0" hidden="1">4</definedName>
    <definedName name="solver_nwt" localSheetId="0">1</definedName>
    <definedName name="solver_opt" localSheetId="0" hidden="1">Automation!$M$3</definedName>
    <definedName name="solver_pre" localSheetId="0">0.000001</definedName>
    <definedName name="solver_rel1" localSheetId="0" hidden="1">1</definedName>
    <definedName name="solver_rel10" localSheetId="0">3</definedName>
    <definedName name="solver_rel11" localSheetId="0">3</definedName>
    <definedName name="solver_rel12" localSheetId="0">3</definedName>
    <definedName name="solver_rel13" localSheetId="0">1</definedName>
    <definedName name="solver_rel14" localSheetId="0">3</definedName>
    <definedName name="solver_rel15" localSheetId="0">3</definedName>
    <definedName name="solver_rel16" localSheetId="0">3</definedName>
    <definedName name="solver_rel17" localSheetId="0">1</definedName>
    <definedName name="solver_rel18" localSheetId="0">3</definedName>
    <definedName name="solver_rel19" localSheetId="0">3</definedName>
    <definedName name="solver_rel2" localSheetId="0" hidden="1">3</definedName>
    <definedName name="solver_rel20" localSheetId="0">3</definedName>
    <definedName name="solver_rel21" localSheetId="0">1</definedName>
    <definedName name="solver_rel22" localSheetId="0">3</definedName>
    <definedName name="solver_rel23" localSheetId="0">3</definedName>
    <definedName name="solver_rel24" localSheetId="0">3</definedName>
    <definedName name="solver_rel25" localSheetId="0">1</definedName>
    <definedName name="solver_rel26" localSheetId="0">3</definedName>
    <definedName name="solver_rel27" localSheetId="0">3</definedName>
    <definedName name="solver_rel28" localSheetId="0">3</definedName>
    <definedName name="solver_rel3" localSheetId="0" hidden="1">3</definedName>
    <definedName name="solver_rel4" localSheetId="0" hidden="1">3</definedName>
    <definedName name="solver_rel5" localSheetId="0">1</definedName>
    <definedName name="solver_rel6" localSheetId="0">3</definedName>
    <definedName name="solver_rel7" localSheetId="0">3</definedName>
    <definedName name="solver_rel8" localSheetId="0">3</definedName>
    <definedName name="solver_rel9" localSheetId="0">1</definedName>
    <definedName name="solver_rhs1" localSheetId="0" hidden="1">Automation!$M$4</definedName>
    <definedName name="solver_rhs10" localSheetId="0">0</definedName>
    <definedName name="solver_rhs11" localSheetId="0">0</definedName>
    <definedName name="solver_rhs12" localSheetId="0">0</definedName>
    <definedName name="solver_rhs13" localSheetId="0">Automation!$M$4</definedName>
    <definedName name="solver_rhs14" localSheetId="0">0</definedName>
    <definedName name="solver_rhs15" localSheetId="0">0</definedName>
    <definedName name="solver_rhs16" localSheetId="0">0</definedName>
    <definedName name="solver_rhs17" localSheetId="0">Automation!$M$4</definedName>
    <definedName name="solver_rhs18" localSheetId="0">0</definedName>
    <definedName name="solver_rhs19" localSheetId="0">0</definedName>
    <definedName name="solver_rhs2" localSheetId="0" hidden="1">0</definedName>
    <definedName name="solver_rhs20" localSheetId="0">0</definedName>
    <definedName name="solver_rhs21" localSheetId="0">Automation!$M$4</definedName>
    <definedName name="solver_rhs22" localSheetId="0">0</definedName>
    <definedName name="solver_rhs23" localSheetId="0">0</definedName>
    <definedName name="solver_rhs24" localSheetId="0">0</definedName>
    <definedName name="solver_rhs25" localSheetId="0">Automation!$M$4</definedName>
    <definedName name="solver_rhs26" localSheetId="0">0</definedName>
    <definedName name="solver_rhs27" localSheetId="0">0</definedName>
    <definedName name="solver_rhs28" localSheetId="0">0</definedName>
    <definedName name="solver_rhs3" localSheetId="0" hidden="1">0</definedName>
    <definedName name="solver_rhs4" localSheetId="0" hidden="1">0</definedName>
    <definedName name="solver_rhs5" localSheetId="0">Automation!$M$4</definedName>
    <definedName name="solver_rhs6" localSheetId="0">0</definedName>
    <definedName name="solver_rhs7" localSheetId="0">0</definedName>
    <definedName name="solver_rhs8" localSheetId="0">0</definedName>
    <definedName name="solver_rhs9" localSheetId="0">Automation!$M$4</definedName>
    <definedName name="solver_scl" localSheetId="0">2</definedName>
    <definedName name="solver_sho" localSheetId="0">2</definedName>
    <definedName name="solver_tim" localSheetId="0">100</definedName>
    <definedName name="solver_tol" localSheetId="0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B148" i="7" l="1" a="1"/>
  <c r="AB148" i="7" s="1"/>
  <c r="AB147" i="7" a="1"/>
  <c r="AB147" i="7" s="1"/>
  <c r="AC146" i="7"/>
  <c r="AB146" i="7" a="1"/>
  <c r="AB146" i="7"/>
  <c r="AC145" i="7"/>
  <c r="AB145" i="7" a="1"/>
  <c r="AB145" i="7" s="1"/>
  <c r="AC144" i="7"/>
  <c r="AB144" i="7" a="1"/>
  <c r="AB144" i="7"/>
  <c r="AC143" i="7"/>
  <c r="AB143" i="7" a="1"/>
  <c r="AB143" i="7" s="1"/>
  <c r="AC142" i="7"/>
  <c r="AB142" i="7" a="1"/>
  <c r="AB142" i="7"/>
  <c r="AC141" i="7"/>
  <c r="AB141" i="7" a="1"/>
  <c r="AB141" i="7" s="1"/>
  <c r="AC140" i="7"/>
  <c r="AB140" i="7" a="1"/>
  <c r="AB140" i="7"/>
  <c r="AC139" i="7"/>
  <c r="AB139" i="7" a="1"/>
  <c r="AB139" i="7" s="1"/>
  <c r="AC138" i="7"/>
  <c r="AB138" i="7" a="1"/>
  <c r="AB138" i="7"/>
  <c r="AC137" i="7"/>
  <c r="AB137" i="7" a="1"/>
  <c r="AB137" i="7" s="1"/>
  <c r="AC136" i="7"/>
  <c r="AB136" i="7" a="1"/>
  <c r="AB136" i="7"/>
  <c r="AC135" i="7"/>
  <c r="AB135" i="7" a="1"/>
  <c r="AB135" i="7" s="1"/>
  <c r="AC134" i="7"/>
  <c r="AB134" i="7" a="1"/>
  <c r="AB134" i="7"/>
  <c r="AC133" i="7"/>
  <c r="AB133" i="7" a="1"/>
  <c r="AB133" i="7" s="1"/>
  <c r="AC132" i="7"/>
  <c r="AB132" i="7" a="1"/>
  <c r="AB132" i="7"/>
  <c r="AC131" i="7"/>
  <c r="AB131" i="7" a="1"/>
  <c r="AB131" i="7" s="1"/>
  <c r="AC130" i="7"/>
  <c r="AB130" i="7" a="1"/>
  <c r="AB130" i="7"/>
  <c r="AC129" i="7"/>
  <c r="AB129" i="7" a="1"/>
  <c r="AB129" i="7" s="1"/>
  <c r="AC128" i="7"/>
  <c r="AB128" i="7" a="1"/>
  <c r="AB128" i="7" s="1"/>
  <c r="AC127" i="7"/>
  <c r="AB127" i="7" a="1"/>
  <c r="AB127" i="7" s="1"/>
  <c r="AC126" i="7"/>
  <c r="AB126" i="7" a="1"/>
  <c r="AB126" i="7" s="1"/>
  <c r="AC125" i="7"/>
  <c r="AB125" i="7" a="1"/>
  <c r="AB125" i="7" s="1"/>
  <c r="AC124" i="7"/>
  <c r="AB124" i="7" a="1"/>
  <c r="AB124" i="7" s="1"/>
  <c r="AC123" i="7"/>
  <c r="AB123" i="7" a="1"/>
  <c r="AB123" i="7" s="1"/>
  <c r="AC122" i="7"/>
  <c r="AB122" i="7" a="1"/>
  <c r="AB122" i="7" s="1"/>
  <c r="AC121" i="7"/>
  <c r="AB121" i="7" a="1"/>
  <c r="AB121" i="7" s="1"/>
  <c r="AC120" i="7"/>
  <c r="AB120" i="7" a="1"/>
  <c r="AB120" i="7" s="1"/>
  <c r="AC119" i="7"/>
  <c r="AB119" i="7" a="1"/>
  <c r="AB119" i="7" s="1"/>
  <c r="AC118" i="7"/>
  <c r="AB118" i="7" a="1"/>
  <c r="AB118" i="7" s="1"/>
  <c r="AC117" i="7"/>
  <c r="AB117" i="7" a="1"/>
  <c r="AB117" i="7" s="1"/>
  <c r="AC116" i="7"/>
  <c r="AB116" i="7" a="1"/>
  <c r="AB116" i="7" s="1"/>
  <c r="AC115" i="7"/>
  <c r="AB115" i="7" a="1"/>
  <c r="AB115" i="7" s="1"/>
  <c r="AC114" i="7"/>
  <c r="AB114" i="7" a="1"/>
  <c r="AB114" i="7" s="1"/>
  <c r="AC113" i="7"/>
  <c r="AB113" i="7" a="1"/>
  <c r="AB113" i="7" s="1"/>
  <c r="AC112" i="7"/>
  <c r="AB112" i="7" a="1"/>
  <c r="AB112" i="7" s="1"/>
  <c r="AC111" i="7"/>
  <c r="AB111" i="7" a="1"/>
  <c r="AB111" i="7" s="1"/>
  <c r="AC110" i="7"/>
  <c r="AB110" i="7" a="1"/>
  <c r="AB110" i="7" s="1"/>
  <c r="AC109" i="7"/>
  <c r="AB109" i="7" a="1"/>
  <c r="AB109" i="7" s="1"/>
  <c r="AC108" i="7"/>
  <c r="AB108" i="7" a="1"/>
  <c r="AB108" i="7" s="1"/>
  <c r="AC107" i="7"/>
  <c r="AB107" i="7" a="1"/>
  <c r="AB107" i="7" s="1"/>
  <c r="AC106" i="7"/>
  <c r="AB106" i="7" a="1"/>
  <c r="AB106" i="7"/>
  <c r="AC105" i="7"/>
  <c r="AB105" i="7" a="1"/>
  <c r="AB105" i="7" s="1"/>
  <c r="AC104" i="7"/>
  <c r="AB104" i="7" a="1"/>
  <c r="AB104" i="7"/>
  <c r="AC103" i="7"/>
  <c r="AB103" i="7" a="1"/>
  <c r="AB103" i="7" s="1"/>
  <c r="AC102" i="7"/>
  <c r="AB102" i="7" a="1"/>
  <c r="AB102" i="7" s="1"/>
  <c r="AC101" i="7"/>
  <c r="AB101" i="7" a="1"/>
  <c r="AB101" i="7" s="1"/>
  <c r="AC100" i="7"/>
  <c r="AB100" i="7" a="1"/>
  <c r="AB100" i="7" s="1"/>
  <c r="AC99" i="7"/>
  <c r="AB99" i="7" a="1"/>
  <c r="AB99" i="7" s="1"/>
  <c r="AC98" i="7"/>
  <c r="AB98" i="7" a="1"/>
  <c r="AB98" i="7" s="1"/>
  <c r="AC97" i="7"/>
  <c r="AB97" i="7" a="1"/>
  <c r="AB97" i="7" s="1"/>
  <c r="AC96" i="7"/>
  <c r="AB96" i="7" a="1"/>
  <c r="AB96" i="7" s="1"/>
  <c r="AC95" i="7"/>
  <c r="AB95" i="7" a="1"/>
  <c r="AB95" i="7" s="1"/>
  <c r="AC94" i="7"/>
  <c r="AB94" i="7" a="1"/>
  <c r="AB94" i="7" s="1"/>
  <c r="AC93" i="7"/>
  <c r="AB93" i="7" a="1"/>
  <c r="AB93" i="7" s="1"/>
  <c r="AC92" i="7"/>
  <c r="AB92" i="7" a="1"/>
  <c r="AB92" i="7" s="1"/>
  <c r="AC91" i="7"/>
  <c r="AB91" i="7" a="1"/>
  <c r="AB91" i="7" s="1"/>
  <c r="AC90" i="7"/>
  <c r="AB90" i="7" a="1"/>
  <c r="AB90" i="7"/>
  <c r="AC89" i="7"/>
  <c r="AB89" i="7" a="1"/>
  <c r="AB89" i="7" s="1"/>
  <c r="AC88" i="7"/>
  <c r="AB88" i="7" a="1"/>
  <c r="AB88" i="7"/>
  <c r="AC87" i="7"/>
  <c r="AB87" i="7" a="1"/>
  <c r="AB87" i="7" s="1"/>
  <c r="AC86" i="7"/>
  <c r="AB86" i="7" a="1"/>
  <c r="AB86" i="7"/>
  <c r="AC85" i="7"/>
  <c r="AB85" i="7" a="1"/>
  <c r="AB85" i="7" s="1"/>
  <c r="AC84" i="7"/>
  <c r="AB84" i="7" a="1"/>
  <c r="AB84" i="7"/>
  <c r="AC83" i="7"/>
  <c r="AB83" i="7" a="1"/>
  <c r="AB83" i="7" s="1"/>
  <c r="AC82" i="7"/>
  <c r="AB82" i="7" a="1"/>
  <c r="AB82" i="7"/>
  <c r="AC81" i="7"/>
  <c r="AB81" i="7" a="1"/>
  <c r="AB81" i="7" s="1"/>
  <c r="AC80" i="7"/>
  <c r="AB80" i="7" a="1"/>
  <c r="AB80" i="7"/>
  <c r="AC79" i="7"/>
  <c r="AB79" i="7" a="1"/>
  <c r="AB79" i="7" s="1"/>
  <c r="AC78" i="7"/>
  <c r="AB78" i="7" a="1"/>
  <c r="AB78" i="7" s="1"/>
  <c r="AC77" i="7"/>
  <c r="AB77" i="7" a="1"/>
  <c r="AB77" i="7"/>
  <c r="AC76" i="7"/>
  <c r="AB76" i="7" a="1"/>
  <c r="AB76" i="7" s="1"/>
  <c r="AC75" i="7"/>
  <c r="AB75" i="7" a="1"/>
  <c r="AB75" i="7"/>
  <c r="AC74" i="7"/>
  <c r="AB74" i="7" a="1"/>
  <c r="AB74" i="7" s="1"/>
  <c r="AC73" i="7"/>
  <c r="AB73" i="7" a="1"/>
  <c r="AB73" i="7"/>
  <c r="AC72" i="7"/>
  <c r="AB72" i="7" a="1"/>
  <c r="AB72" i="7" s="1"/>
  <c r="AC71" i="7"/>
  <c r="AB71" i="7" a="1"/>
  <c r="AB71" i="7"/>
  <c r="AC70" i="7"/>
  <c r="AB70" i="7" a="1"/>
  <c r="AB70" i="7" s="1"/>
  <c r="AC69" i="7"/>
  <c r="AB69" i="7" a="1"/>
  <c r="AB69" i="7"/>
  <c r="AC68" i="7"/>
  <c r="AB68" i="7" a="1"/>
  <c r="AB68" i="7" s="1"/>
  <c r="AC67" i="7"/>
  <c r="AB67" i="7" a="1"/>
  <c r="AB67" i="7"/>
  <c r="AC66" i="7"/>
  <c r="AB66" i="7" a="1"/>
  <c r="AB66" i="7" s="1"/>
  <c r="AC65" i="7"/>
  <c r="AB65" i="7" a="1"/>
  <c r="AB65" i="7"/>
  <c r="AC64" i="7"/>
  <c r="AB64" i="7" a="1"/>
  <c r="AB64" i="7" s="1"/>
  <c r="AC63" i="7"/>
  <c r="AB63" i="7" a="1"/>
  <c r="AB63" i="7"/>
  <c r="AC62" i="7"/>
  <c r="AB62" i="7" a="1"/>
  <c r="AB62" i="7" s="1"/>
  <c r="AC61" i="7"/>
  <c r="AB61" i="7" a="1"/>
  <c r="AB61" i="7"/>
  <c r="AC60" i="7"/>
  <c r="AB60" i="7" a="1"/>
  <c r="AB60" i="7" s="1"/>
  <c r="AC59" i="7"/>
  <c r="AB59" i="7" a="1"/>
  <c r="AB59" i="7"/>
  <c r="AC58" i="7"/>
  <c r="AB58" i="7" a="1"/>
  <c r="AB58" i="7" s="1"/>
  <c r="AC57" i="7"/>
  <c r="AB57" i="7" a="1"/>
  <c r="AB57" i="7"/>
  <c r="AC56" i="7"/>
  <c r="AB56" i="7" a="1"/>
  <c r="AB56" i="7" s="1"/>
  <c r="AC55" i="7"/>
  <c r="AB55" i="7" a="1"/>
  <c r="AB55" i="7"/>
  <c r="AC54" i="7"/>
  <c r="AB54" i="7" a="1"/>
  <c r="AB54" i="7" s="1"/>
  <c r="AC53" i="7"/>
  <c r="AB53" i="7" a="1"/>
  <c r="AB53" i="7"/>
  <c r="AC52" i="7"/>
  <c r="AB52" i="7" a="1"/>
  <c r="AB52" i="7" s="1"/>
  <c r="AC51" i="7"/>
  <c r="AB51" i="7" a="1"/>
  <c r="AB51" i="7"/>
  <c r="AC50" i="7"/>
  <c r="AB50" i="7" a="1"/>
  <c r="AB50" i="7" s="1"/>
  <c r="AC49" i="7"/>
  <c r="AB49" i="7" a="1"/>
  <c r="AB49" i="7"/>
  <c r="AC48" i="7"/>
  <c r="AB48" i="7" a="1"/>
  <c r="AB48" i="7" s="1"/>
  <c r="AC47" i="7"/>
  <c r="AB47" i="7" a="1"/>
  <c r="AB47" i="7"/>
  <c r="AC46" i="7"/>
  <c r="AB46" i="7" a="1"/>
  <c r="AB46" i="7" s="1"/>
  <c r="AC45" i="7"/>
  <c r="AB45" i="7" a="1"/>
  <c r="AB45" i="7"/>
  <c r="AC44" i="7"/>
  <c r="AB44" i="7" a="1"/>
  <c r="AB44" i="7" s="1"/>
  <c r="AC43" i="7"/>
  <c r="AB43" i="7" a="1"/>
  <c r="AB43" i="7"/>
  <c r="AC42" i="7"/>
  <c r="AB42" i="7" a="1"/>
  <c r="AB42" i="7" s="1"/>
  <c r="AC41" i="7"/>
  <c r="AB41" i="7" a="1"/>
  <c r="AB41" i="7"/>
  <c r="AC40" i="7"/>
  <c r="AB40" i="7" a="1"/>
  <c r="AB40" i="7" s="1"/>
  <c r="AC39" i="7"/>
  <c r="AB39" i="7" a="1"/>
  <c r="AB39" i="7"/>
  <c r="AC38" i="7"/>
  <c r="AB38" i="7" a="1"/>
  <c r="AB38" i="7" s="1"/>
  <c r="AC37" i="7"/>
  <c r="AB37" i="7" a="1"/>
  <c r="AB37" i="7"/>
  <c r="AC36" i="7"/>
  <c r="AB36" i="7" a="1"/>
  <c r="AB36" i="7" s="1"/>
  <c r="AC35" i="7"/>
  <c r="AB35" i="7" a="1"/>
  <c r="AB35" i="7"/>
  <c r="AC34" i="7"/>
  <c r="AB34" i="7" a="1"/>
  <c r="AB34" i="7" s="1"/>
  <c r="AC33" i="7"/>
  <c r="AB33" i="7" a="1"/>
  <c r="AB33" i="7"/>
  <c r="AC32" i="7"/>
  <c r="AB32" i="7" a="1"/>
  <c r="AB32" i="7" s="1"/>
  <c r="AC31" i="7"/>
  <c r="AB31" i="7" a="1"/>
  <c r="AB31" i="7"/>
  <c r="AC30" i="7"/>
  <c r="AB30" i="7" a="1"/>
  <c r="AB30" i="7" s="1"/>
  <c r="AC29" i="7"/>
  <c r="AB29" i="7" a="1"/>
  <c r="AB29" i="7"/>
  <c r="AC28" i="7"/>
  <c r="AB28" i="7" a="1"/>
  <c r="AB28" i="7" s="1"/>
  <c r="AC27" i="7"/>
  <c r="AB27" i="7" a="1"/>
  <c r="AB27" i="7"/>
  <c r="AC26" i="7"/>
  <c r="AB26" i="7" a="1"/>
  <c r="AB26" i="7" s="1"/>
  <c r="AC25" i="7"/>
  <c r="AB25" i="7" a="1"/>
  <c r="AB25" i="7"/>
  <c r="AC24" i="7"/>
  <c r="AB24" i="7" a="1"/>
  <c r="AB24" i="7" s="1"/>
  <c r="AC23" i="7"/>
  <c r="AB23" i="7" a="1"/>
  <c r="AB23" i="7"/>
  <c r="AC22" i="7"/>
  <c r="AB22" i="7" a="1"/>
  <c r="AB22" i="7" s="1"/>
  <c r="AC21" i="7"/>
  <c r="AB21" i="7" a="1"/>
  <c r="AB21" i="7"/>
  <c r="AC20" i="7"/>
  <c r="AB20" i="7" a="1"/>
  <c r="AB20" i="7" s="1"/>
  <c r="AC19" i="7"/>
  <c r="AB19" i="7" a="1"/>
  <c r="AB19" i="7"/>
  <c r="AC18" i="7"/>
  <c r="AB18" i="7" a="1"/>
  <c r="AB18" i="7" s="1"/>
  <c r="AC17" i="7"/>
  <c r="AB17" i="7" a="1"/>
  <c r="AB17" i="7"/>
  <c r="AC16" i="7"/>
  <c r="AB16" i="7" a="1"/>
  <c r="AB16" i="7" s="1"/>
  <c r="AC15" i="7"/>
  <c r="AB15" i="7" a="1"/>
  <c r="AB15" i="7"/>
  <c r="AC14" i="7"/>
  <c r="AB14" i="7" a="1"/>
  <c r="AB14" i="7" s="1"/>
  <c r="AC13" i="7"/>
  <c r="AB13" i="7" a="1"/>
  <c r="AB13" i="7"/>
  <c r="AC12" i="7"/>
  <c r="AB12" i="7" a="1"/>
  <c r="AB12" i="7" s="1"/>
  <c r="AC11" i="7"/>
  <c r="AB11" i="7" a="1"/>
  <c r="AB11" i="7"/>
  <c r="AC10" i="7"/>
  <c r="AB10" i="7" a="1"/>
  <c r="AB10" i="7" s="1"/>
  <c r="AC9" i="7"/>
  <c r="AB9" i="7" a="1"/>
  <c r="AB9" i="7"/>
  <c r="AC8" i="7"/>
  <c r="AB8" i="7" a="1"/>
  <c r="AB8" i="7" s="1"/>
  <c r="AC7" i="7"/>
  <c r="AB7" i="7" a="1"/>
  <c r="AB7" i="7"/>
  <c r="AC6" i="7"/>
  <c r="AB6" i="7" a="1"/>
  <c r="AB6" i="7" s="1"/>
  <c r="F6" i="7"/>
  <c r="AC5" i="7"/>
  <c r="AB5" i="7" a="1"/>
  <c r="AB5" i="7"/>
  <c r="F5" i="7"/>
  <c r="AC4" i="7"/>
  <c r="AB4" i="7" a="1"/>
  <c r="AB4" i="7" s="1"/>
  <c r="AB3" i="7" s="1"/>
  <c r="F4" i="7"/>
  <c r="F147" i="7" l="1"/>
  <c r="F145" i="7"/>
  <c r="F143" i="7"/>
  <c r="F141" i="7"/>
  <c r="F139" i="7"/>
  <c r="F137" i="7"/>
  <c r="F135" i="7"/>
  <c r="F133" i="7"/>
  <c r="F131" i="7"/>
  <c r="F129" i="7"/>
  <c r="F127" i="7"/>
  <c r="F125" i="7"/>
  <c r="F123" i="7"/>
  <c r="F121" i="7"/>
  <c r="F119" i="7"/>
  <c r="F117" i="7"/>
  <c r="F115" i="7"/>
  <c r="F113" i="7"/>
  <c r="F111" i="7"/>
  <c r="F109" i="7"/>
  <c r="F107" i="7"/>
  <c r="F105" i="7"/>
  <c r="F103" i="7"/>
  <c r="F101" i="7"/>
  <c r="F99" i="7"/>
  <c r="F97" i="7"/>
  <c r="F95" i="7"/>
  <c r="F93" i="7"/>
  <c r="F91" i="7"/>
  <c r="F89" i="7"/>
  <c r="F87" i="7"/>
  <c r="F85" i="7"/>
  <c r="F83" i="7"/>
  <c r="F81" i="7"/>
  <c r="F79" i="7"/>
  <c r="F146" i="7"/>
  <c r="F144" i="7"/>
  <c r="F142" i="7"/>
  <c r="F140" i="7"/>
  <c r="F138" i="7"/>
  <c r="F136" i="7"/>
  <c r="F134" i="7"/>
  <c r="F132" i="7"/>
  <c r="F130" i="7"/>
  <c r="F128" i="7"/>
  <c r="F126" i="7"/>
  <c r="F124" i="7"/>
  <c r="F122" i="7"/>
  <c r="F120" i="7"/>
  <c r="F118" i="7"/>
  <c r="F116" i="7"/>
  <c r="F114" i="7"/>
  <c r="F112" i="7"/>
  <c r="F110" i="7"/>
  <c r="F108" i="7"/>
  <c r="F106" i="7"/>
  <c r="F104" i="7"/>
  <c r="F102" i="7"/>
  <c r="F100" i="7"/>
  <c r="F98" i="7"/>
  <c r="F96" i="7"/>
  <c r="F94" i="7"/>
  <c r="F92" i="7"/>
  <c r="F90" i="7"/>
  <c r="F88" i="7"/>
  <c r="F86" i="7"/>
  <c r="F84" i="7"/>
  <c r="F82" i="7"/>
  <c r="F78" i="7"/>
  <c r="F76" i="7"/>
  <c r="F74" i="7"/>
  <c r="F72" i="7"/>
  <c r="F70" i="7"/>
  <c r="F68" i="7"/>
  <c r="F66" i="7"/>
  <c r="F64" i="7"/>
  <c r="F62" i="7"/>
  <c r="F60" i="7"/>
  <c r="F58" i="7"/>
  <c r="F56" i="7"/>
  <c r="F54" i="7"/>
  <c r="F52" i="7"/>
  <c r="F50" i="7"/>
  <c r="F48" i="7"/>
  <c r="F46" i="7"/>
  <c r="F44" i="7"/>
  <c r="F42" i="7"/>
  <c r="F40" i="7"/>
  <c r="F38" i="7"/>
  <c r="F36" i="7"/>
  <c r="F34" i="7"/>
  <c r="F32" i="7"/>
  <c r="F30" i="7"/>
  <c r="F28" i="7"/>
  <c r="F26" i="7"/>
  <c r="F24" i="7"/>
  <c r="F22" i="7"/>
  <c r="F20" i="7"/>
  <c r="F18" i="7"/>
  <c r="F16" i="7"/>
  <c r="F14" i="7"/>
  <c r="F12" i="7"/>
  <c r="F10" i="7"/>
  <c r="F8" i="7"/>
  <c r="F9" i="7"/>
  <c r="F7" i="7"/>
  <c r="F80" i="7"/>
  <c r="F77" i="7"/>
  <c r="F75" i="7"/>
  <c r="F73" i="7"/>
  <c r="F71" i="7"/>
  <c r="F69" i="7"/>
  <c r="F67" i="7"/>
  <c r="F65" i="7"/>
  <c r="F63" i="7"/>
  <c r="F61" i="7"/>
  <c r="F59" i="7"/>
  <c r="F57" i="7"/>
  <c r="F55" i="7"/>
  <c r="F53" i="7"/>
  <c r="F51" i="7"/>
  <c r="F49" i="7"/>
  <c r="F47" i="7"/>
  <c r="F45" i="7"/>
  <c r="F43" i="7"/>
  <c r="F41" i="7"/>
  <c r="F39" i="7"/>
  <c r="F37" i="7"/>
  <c r="F35" i="7"/>
  <c r="F33" i="7"/>
  <c r="F31" i="7"/>
  <c r="F29" i="7"/>
  <c r="F27" i="7"/>
  <c r="F25" i="7"/>
  <c r="F23" i="7"/>
  <c r="F21" i="7"/>
  <c r="F19" i="7"/>
  <c r="F17" i="7"/>
  <c r="F15" i="7"/>
  <c r="F13" i="7"/>
  <c r="F11" i="7"/>
  <c r="H11" i="7" s="1"/>
  <c r="I11" i="7" s="1"/>
  <c r="J11" i="7" s="1"/>
  <c r="H6" i="7"/>
  <c r="I6" i="7" s="1"/>
  <c r="J6" i="7" s="1"/>
  <c r="AC148" i="7"/>
  <c r="M2" i="7" s="1"/>
  <c r="H15" i="7" l="1"/>
  <c r="I15" i="7" s="1"/>
  <c r="J15" i="7" s="1"/>
  <c r="H19" i="7"/>
  <c r="I19" i="7" s="1"/>
  <c r="J19" i="7" s="1"/>
  <c r="H23" i="7"/>
  <c r="I23" i="7" s="1"/>
  <c r="J23" i="7" s="1"/>
  <c r="H27" i="7"/>
  <c r="I27" i="7" s="1"/>
  <c r="J27" i="7" s="1"/>
  <c r="H31" i="7"/>
  <c r="I31" i="7" s="1"/>
  <c r="J31" i="7" s="1"/>
  <c r="H35" i="7"/>
  <c r="I35" i="7" s="1"/>
  <c r="J35" i="7" s="1"/>
  <c r="H39" i="7"/>
  <c r="I39" i="7" s="1"/>
  <c r="J39" i="7" s="1"/>
  <c r="H43" i="7"/>
  <c r="I43" i="7" s="1"/>
  <c r="J43" i="7" s="1"/>
  <c r="H47" i="7"/>
  <c r="I47" i="7" s="1"/>
  <c r="J47" i="7" s="1"/>
  <c r="H51" i="7"/>
  <c r="I51" i="7" s="1"/>
  <c r="J51" i="7" s="1"/>
  <c r="H55" i="7"/>
  <c r="I55" i="7" s="1"/>
  <c r="J55" i="7" s="1"/>
  <c r="H59" i="7"/>
  <c r="I59" i="7" s="1"/>
  <c r="J59" i="7" s="1"/>
  <c r="H63" i="7"/>
  <c r="I63" i="7" s="1"/>
  <c r="J63" i="7" s="1"/>
  <c r="H67" i="7"/>
  <c r="I67" i="7" s="1"/>
  <c r="J67" i="7" s="1"/>
  <c r="H71" i="7"/>
  <c r="I71" i="7" s="1"/>
  <c r="J71" i="7" s="1"/>
  <c r="H75" i="7"/>
  <c r="I75" i="7" s="1"/>
  <c r="J75" i="7" s="1"/>
  <c r="H80" i="7"/>
  <c r="I80" i="7" s="1"/>
  <c r="J80" i="7" s="1"/>
  <c r="H9" i="7"/>
  <c r="I9" i="7" s="1"/>
  <c r="J9" i="7" s="1"/>
  <c r="H10" i="7"/>
  <c r="I10" i="7" s="1"/>
  <c r="J10" i="7" s="1"/>
  <c r="H14" i="7"/>
  <c r="I14" i="7" s="1"/>
  <c r="J14" i="7" s="1"/>
  <c r="H18" i="7"/>
  <c r="I18" i="7" s="1"/>
  <c r="J18" i="7" s="1"/>
  <c r="H22" i="7"/>
  <c r="I22" i="7" s="1"/>
  <c r="J22" i="7" s="1"/>
  <c r="H26" i="7"/>
  <c r="I26" i="7" s="1"/>
  <c r="J26" i="7" s="1"/>
  <c r="H30" i="7"/>
  <c r="I30" i="7" s="1"/>
  <c r="J30" i="7" s="1"/>
  <c r="H34" i="7"/>
  <c r="I34" i="7" s="1"/>
  <c r="J34" i="7" s="1"/>
  <c r="H38" i="7"/>
  <c r="I38" i="7" s="1"/>
  <c r="J38" i="7" s="1"/>
  <c r="H42" i="7"/>
  <c r="I42" i="7" s="1"/>
  <c r="J42" i="7" s="1"/>
  <c r="H46" i="7"/>
  <c r="I46" i="7" s="1"/>
  <c r="J46" i="7" s="1"/>
  <c r="H50" i="7"/>
  <c r="I50" i="7" s="1"/>
  <c r="J50" i="7" s="1"/>
  <c r="H54" i="7"/>
  <c r="I54" i="7" s="1"/>
  <c r="J54" i="7" s="1"/>
  <c r="H58" i="7"/>
  <c r="I58" i="7" s="1"/>
  <c r="J58" i="7" s="1"/>
  <c r="H62" i="7"/>
  <c r="I62" i="7" s="1"/>
  <c r="J62" i="7" s="1"/>
  <c r="H66" i="7"/>
  <c r="I66" i="7" s="1"/>
  <c r="J66" i="7" s="1"/>
  <c r="H70" i="7"/>
  <c r="I70" i="7" s="1"/>
  <c r="J70" i="7" s="1"/>
  <c r="H74" i="7"/>
  <c r="I74" i="7" s="1"/>
  <c r="J74" i="7" s="1"/>
  <c r="H78" i="7"/>
  <c r="I78" i="7" s="1"/>
  <c r="J78" i="7" s="1"/>
  <c r="H84" i="7"/>
  <c r="I84" i="7" s="1"/>
  <c r="J84" i="7" s="1"/>
  <c r="H88" i="7"/>
  <c r="I88" i="7" s="1"/>
  <c r="J88" i="7" s="1"/>
  <c r="H92" i="7"/>
  <c r="I92" i="7" s="1"/>
  <c r="J92" i="7" s="1"/>
  <c r="H96" i="7"/>
  <c r="I96" i="7" s="1"/>
  <c r="J96" i="7" s="1"/>
  <c r="H100" i="7"/>
  <c r="I100" i="7" s="1"/>
  <c r="J100" i="7" s="1"/>
  <c r="H104" i="7"/>
  <c r="I104" i="7" s="1"/>
  <c r="J104" i="7" s="1"/>
  <c r="H108" i="7"/>
  <c r="I108" i="7" s="1"/>
  <c r="J108" i="7" s="1"/>
  <c r="H112" i="7"/>
  <c r="I112" i="7" s="1"/>
  <c r="J112" i="7" s="1"/>
  <c r="H116" i="7"/>
  <c r="I116" i="7" s="1"/>
  <c r="J116" i="7" s="1"/>
  <c r="H120" i="7"/>
  <c r="I120" i="7" s="1"/>
  <c r="J120" i="7" s="1"/>
  <c r="H124" i="7"/>
  <c r="I124" i="7" s="1"/>
  <c r="J124" i="7" s="1"/>
  <c r="H128" i="7"/>
  <c r="I128" i="7" s="1"/>
  <c r="J128" i="7" s="1"/>
  <c r="H132" i="7"/>
  <c r="I132" i="7" s="1"/>
  <c r="J132" i="7" s="1"/>
  <c r="H136" i="7"/>
  <c r="I136" i="7" s="1"/>
  <c r="J136" i="7" s="1"/>
  <c r="H140" i="7"/>
  <c r="I140" i="7" s="1"/>
  <c r="J140" i="7" s="1"/>
  <c r="H144" i="7"/>
  <c r="I144" i="7" s="1"/>
  <c r="J144" i="7" s="1"/>
  <c r="H79" i="7"/>
  <c r="I79" i="7" s="1"/>
  <c r="J79" i="7" s="1"/>
  <c r="H83" i="7"/>
  <c r="I83" i="7" s="1"/>
  <c r="J83" i="7" s="1"/>
  <c r="H87" i="7"/>
  <c r="I87" i="7" s="1"/>
  <c r="J87" i="7" s="1"/>
  <c r="H91" i="7"/>
  <c r="I91" i="7" s="1"/>
  <c r="J91" i="7" s="1"/>
  <c r="H95" i="7"/>
  <c r="I95" i="7" s="1"/>
  <c r="J95" i="7" s="1"/>
  <c r="H99" i="7"/>
  <c r="I99" i="7" s="1"/>
  <c r="J99" i="7" s="1"/>
  <c r="H103" i="7"/>
  <c r="I103" i="7" s="1"/>
  <c r="J103" i="7" s="1"/>
  <c r="H107" i="7"/>
  <c r="I107" i="7" s="1"/>
  <c r="J107" i="7" s="1"/>
  <c r="H111" i="7"/>
  <c r="I111" i="7" s="1"/>
  <c r="J111" i="7" s="1"/>
  <c r="H115" i="7"/>
  <c r="I115" i="7" s="1"/>
  <c r="J115" i="7" s="1"/>
  <c r="H119" i="7"/>
  <c r="I119" i="7" s="1"/>
  <c r="J119" i="7" s="1"/>
  <c r="H123" i="7"/>
  <c r="I123" i="7" s="1"/>
  <c r="J123" i="7" s="1"/>
  <c r="H127" i="7"/>
  <c r="I127" i="7" s="1"/>
  <c r="J127" i="7" s="1"/>
  <c r="H131" i="7"/>
  <c r="I131" i="7" s="1"/>
  <c r="J131" i="7" s="1"/>
  <c r="H135" i="7"/>
  <c r="I135" i="7" s="1"/>
  <c r="J135" i="7" s="1"/>
  <c r="H139" i="7"/>
  <c r="I139" i="7" s="1"/>
  <c r="J139" i="7" s="1"/>
  <c r="H143" i="7"/>
  <c r="I143" i="7" s="1"/>
  <c r="J143" i="7" s="1"/>
  <c r="H147" i="7"/>
  <c r="I147" i="7" s="1"/>
  <c r="J147" i="7" s="1"/>
  <c r="H5" i="7"/>
  <c r="I5" i="7" s="1"/>
  <c r="J5" i="7" s="1"/>
  <c r="H13" i="7"/>
  <c r="I13" i="7" s="1"/>
  <c r="J13" i="7" s="1"/>
  <c r="H17" i="7"/>
  <c r="I17" i="7" s="1"/>
  <c r="J17" i="7" s="1"/>
  <c r="H21" i="7"/>
  <c r="I21" i="7" s="1"/>
  <c r="J21" i="7" s="1"/>
  <c r="H25" i="7"/>
  <c r="I25" i="7" s="1"/>
  <c r="J25" i="7" s="1"/>
  <c r="H29" i="7"/>
  <c r="I29" i="7" s="1"/>
  <c r="J29" i="7" s="1"/>
  <c r="H33" i="7"/>
  <c r="I33" i="7" s="1"/>
  <c r="J33" i="7" s="1"/>
  <c r="H37" i="7"/>
  <c r="I37" i="7" s="1"/>
  <c r="J37" i="7" s="1"/>
  <c r="H41" i="7"/>
  <c r="I41" i="7" s="1"/>
  <c r="J41" i="7" s="1"/>
  <c r="H45" i="7"/>
  <c r="I45" i="7" s="1"/>
  <c r="J45" i="7" s="1"/>
  <c r="H49" i="7"/>
  <c r="I49" i="7" s="1"/>
  <c r="J49" i="7" s="1"/>
  <c r="H53" i="7"/>
  <c r="I53" i="7" s="1"/>
  <c r="J53" i="7" s="1"/>
  <c r="H57" i="7"/>
  <c r="I57" i="7" s="1"/>
  <c r="J57" i="7" s="1"/>
  <c r="H61" i="7"/>
  <c r="I61" i="7" s="1"/>
  <c r="J61" i="7" s="1"/>
  <c r="H65" i="7"/>
  <c r="I65" i="7" s="1"/>
  <c r="J65" i="7" s="1"/>
  <c r="H69" i="7"/>
  <c r="I69" i="7" s="1"/>
  <c r="J69" i="7" s="1"/>
  <c r="H73" i="7"/>
  <c r="I73" i="7" s="1"/>
  <c r="J73" i="7" s="1"/>
  <c r="H77" i="7"/>
  <c r="I77" i="7" s="1"/>
  <c r="J77" i="7" s="1"/>
  <c r="H7" i="7"/>
  <c r="I7" i="7" s="1"/>
  <c r="J7" i="7" s="1"/>
  <c r="H4" i="7"/>
  <c r="I4" i="7" s="1"/>
  <c r="J4" i="7" s="1"/>
  <c r="H8" i="7"/>
  <c r="I8" i="7" s="1"/>
  <c r="J8" i="7" s="1"/>
  <c r="H12" i="7"/>
  <c r="I12" i="7" s="1"/>
  <c r="J12" i="7" s="1"/>
  <c r="H16" i="7"/>
  <c r="I16" i="7" s="1"/>
  <c r="J16" i="7" s="1"/>
  <c r="H20" i="7"/>
  <c r="I20" i="7" s="1"/>
  <c r="J20" i="7" s="1"/>
  <c r="H24" i="7"/>
  <c r="I24" i="7" s="1"/>
  <c r="J24" i="7" s="1"/>
  <c r="H28" i="7"/>
  <c r="I28" i="7" s="1"/>
  <c r="J28" i="7" s="1"/>
  <c r="H32" i="7"/>
  <c r="I32" i="7" s="1"/>
  <c r="J32" i="7" s="1"/>
  <c r="H36" i="7"/>
  <c r="I36" i="7" s="1"/>
  <c r="J36" i="7" s="1"/>
  <c r="H40" i="7"/>
  <c r="I40" i="7" s="1"/>
  <c r="J40" i="7" s="1"/>
  <c r="H44" i="7"/>
  <c r="I44" i="7" s="1"/>
  <c r="J44" i="7" s="1"/>
  <c r="H48" i="7"/>
  <c r="I48" i="7" s="1"/>
  <c r="J48" i="7" s="1"/>
  <c r="H52" i="7"/>
  <c r="I52" i="7" s="1"/>
  <c r="J52" i="7" s="1"/>
  <c r="H56" i="7"/>
  <c r="I56" i="7" s="1"/>
  <c r="J56" i="7" s="1"/>
  <c r="H60" i="7"/>
  <c r="I60" i="7" s="1"/>
  <c r="J60" i="7" s="1"/>
  <c r="H64" i="7"/>
  <c r="I64" i="7" s="1"/>
  <c r="J64" i="7" s="1"/>
  <c r="H68" i="7"/>
  <c r="I68" i="7" s="1"/>
  <c r="J68" i="7" s="1"/>
  <c r="H72" i="7"/>
  <c r="I72" i="7" s="1"/>
  <c r="J72" i="7" s="1"/>
  <c r="H76" i="7"/>
  <c r="I76" i="7" s="1"/>
  <c r="J76" i="7" s="1"/>
  <c r="H82" i="7"/>
  <c r="I82" i="7" s="1"/>
  <c r="J82" i="7" s="1"/>
  <c r="H86" i="7"/>
  <c r="I86" i="7" s="1"/>
  <c r="J86" i="7" s="1"/>
  <c r="H90" i="7"/>
  <c r="I90" i="7" s="1"/>
  <c r="J90" i="7" s="1"/>
  <c r="H94" i="7"/>
  <c r="I94" i="7" s="1"/>
  <c r="J94" i="7" s="1"/>
  <c r="H98" i="7"/>
  <c r="I98" i="7" s="1"/>
  <c r="J98" i="7" s="1"/>
  <c r="H102" i="7"/>
  <c r="I102" i="7" s="1"/>
  <c r="J102" i="7" s="1"/>
  <c r="H106" i="7"/>
  <c r="I106" i="7" s="1"/>
  <c r="J106" i="7" s="1"/>
  <c r="H110" i="7"/>
  <c r="I110" i="7" s="1"/>
  <c r="J110" i="7" s="1"/>
  <c r="H114" i="7"/>
  <c r="I114" i="7" s="1"/>
  <c r="J114" i="7" s="1"/>
  <c r="H118" i="7"/>
  <c r="I118" i="7" s="1"/>
  <c r="J118" i="7" s="1"/>
  <c r="H122" i="7"/>
  <c r="I122" i="7" s="1"/>
  <c r="J122" i="7" s="1"/>
  <c r="H126" i="7"/>
  <c r="I126" i="7" s="1"/>
  <c r="J126" i="7" s="1"/>
  <c r="H130" i="7"/>
  <c r="I130" i="7" s="1"/>
  <c r="J130" i="7" s="1"/>
  <c r="H134" i="7"/>
  <c r="I134" i="7" s="1"/>
  <c r="J134" i="7" s="1"/>
  <c r="H138" i="7"/>
  <c r="I138" i="7" s="1"/>
  <c r="J138" i="7" s="1"/>
  <c r="H142" i="7"/>
  <c r="I142" i="7" s="1"/>
  <c r="J142" i="7" s="1"/>
  <c r="H146" i="7"/>
  <c r="I146" i="7" s="1"/>
  <c r="J146" i="7" s="1"/>
  <c r="H81" i="7"/>
  <c r="I81" i="7" s="1"/>
  <c r="J81" i="7" s="1"/>
  <c r="H85" i="7"/>
  <c r="I85" i="7" s="1"/>
  <c r="J85" i="7" s="1"/>
  <c r="H89" i="7"/>
  <c r="I89" i="7" s="1"/>
  <c r="J89" i="7" s="1"/>
  <c r="H93" i="7"/>
  <c r="I93" i="7" s="1"/>
  <c r="J93" i="7" s="1"/>
  <c r="H97" i="7"/>
  <c r="I97" i="7" s="1"/>
  <c r="J97" i="7" s="1"/>
  <c r="H101" i="7"/>
  <c r="I101" i="7" s="1"/>
  <c r="J101" i="7" s="1"/>
  <c r="H105" i="7"/>
  <c r="I105" i="7" s="1"/>
  <c r="J105" i="7" s="1"/>
  <c r="H109" i="7"/>
  <c r="I109" i="7" s="1"/>
  <c r="J109" i="7" s="1"/>
  <c r="H113" i="7"/>
  <c r="I113" i="7" s="1"/>
  <c r="J113" i="7" s="1"/>
  <c r="H117" i="7"/>
  <c r="I117" i="7" s="1"/>
  <c r="J117" i="7" s="1"/>
  <c r="H121" i="7"/>
  <c r="I121" i="7" s="1"/>
  <c r="J121" i="7" s="1"/>
  <c r="H125" i="7"/>
  <c r="I125" i="7" s="1"/>
  <c r="J125" i="7" s="1"/>
  <c r="H129" i="7"/>
  <c r="I129" i="7" s="1"/>
  <c r="J129" i="7" s="1"/>
  <c r="H133" i="7"/>
  <c r="I133" i="7" s="1"/>
  <c r="J133" i="7" s="1"/>
  <c r="H137" i="7"/>
  <c r="I137" i="7" s="1"/>
  <c r="J137" i="7" s="1"/>
  <c r="H141" i="7"/>
  <c r="I141" i="7" s="1"/>
  <c r="J141" i="7" s="1"/>
  <c r="H145" i="7"/>
  <c r="I145" i="7" s="1"/>
  <c r="J145" i="7" s="1"/>
  <c r="M3" i="7" l="1"/>
</calcChain>
</file>

<file path=xl/sharedStrings.xml><?xml version="1.0" encoding="utf-8"?>
<sst xmlns="http://schemas.openxmlformats.org/spreadsheetml/2006/main" count="23" uniqueCount="20">
  <si>
    <t>N</t>
  </si>
  <si>
    <t>Calc N</t>
  </si>
  <si>
    <t>Error</t>
  </si>
  <si>
    <t>Error Sq</t>
  </si>
  <si>
    <t>Shear Rate</t>
  </si>
  <si>
    <t>time</t>
  </si>
  <si>
    <t>shear rate</t>
  </si>
  <si>
    <t>normal force</t>
  </si>
  <si>
    <t>shear stress</t>
  </si>
  <si>
    <t>Adj N</t>
  </si>
  <si>
    <t>N^2</t>
  </si>
  <si>
    <t>Pt D</t>
  </si>
  <si>
    <t>s</t>
  </si>
  <si>
    <t>1/s</t>
  </si>
  <si>
    <t>Pa</t>
  </si>
  <si>
    <t>N^2 sum</t>
  </si>
  <si>
    <t>N0</t>
  </si>
  <si>
    <t>Ninf</t>
  </si>
  <si>
    <t>time con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</si>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</sst>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Fill="1" applyBorder="1" applyAlignment="1" applyProtection="1"/>
    <xf numFmtId="167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 wrapText="1"/>
    </xf>
    <xf numFmtId="0" fontId="0" fillId="0" borderId="0" xfId="0" applyNumberFormat="1" applyFill="1" applyAlignment="1" applyProtection="1">
      <alignment horizontal="right"/>
    </xf>
    <xf numFmtId="164" fontId="0" fillId="0" borderId="0" xfId="0" applyNumberFormat="1" applyFill="1" applyAlignment="1" applyProtection="1">
      <alignment horizontal="center" wrapText="1"/>
    </xf>
    <xf numFmtId="11" fontId="0" fillId="0" borderId="0" xfId="0" applyNumberFormat="1" applyFill="1" applyAlignment="1" applyProtection="1"/>
    <xf numFmtId="164" fontId="0" fillId="0" borderId="0" xfId="0" applyNumberFormat="1" applyFill="1" applyAlignment="1" applyProtection="1"/>
    <xf numFmtId="0" fontId="1" fillId="0" borderId="0" xfId="0" applyNumberFormat="1" applyFont="1" applyFill="1" applyAlignment="1" applyProtection="1"/>
    <xf numFmtId="0" fontId="2" fillId="0" borderId="0" xfId="0" applyNumberFormat="1" applyFont="1" applyFill="1" applyAlignment="1" applyProtection="1"/>
    <xf numFmtId="165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 wrapText="1"/>
    </xf>
    <xf numFmtId="165" fontId="0" fillId="0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x:ext xmlns:x="http://schemas.openxmlformats.org/spreadsheetml/2006/main"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83"/>
  <sheetViews>
    <sheetView tabSelected="1" zoomScale="80" zoomScaleNormal="80" workbookViewId="0">
      <selection activeCell="M12" sqref="M12"/>
    </sheetView>
  </sheetViews>
  <sheetFormatPr defaultRowHeight="15" x14ac:dyDescent="0.25"/>
  <cols>
    <col min="1" max="2" width="9.140625" style="1" customWidth="1"/>
    <col min="3" max="3" width="11.7109375" style="1" customWidth="1"/>
    <col min="4" max="4" width="14.28515625" style="1" customWidth="1"/>
    <col min="5" max="5" width="11.28515625" style="1" customWidth="1"/>
    <col min="6" max="7" width="9.140625" style="1" customWidth="1"/>
    <col min="8" max="8" width="11.42578125" style="1" bestFit="1" customWidth="1"/>
    <col min="9" max="9" width="12.140625" style="1" bestFit="1" customWidth="1"/>
    <col min="10" max="10" width="18" style="1" bestFit="1" customWidth="1"/>
    <col min="11" max="12" width="9.140625" style="1" customWidth="1"/>
    <col min="13" max="13" width="12.140625" style="1" customWidth="1"/>
  </cols>
  <sheetData>
    <row r="1" spans="1:29" x14ac:dyDescent="0.25">
      <c r="H1" s="2" t="s">
        <v>1</v>
      </c>
      <c r="I1" s="2" t="s">
        <v>2</v>
      </c>
      <c r="J1" s="2" t="s">
        <v>3</v>
      </c>
      <c r="L1" s="7" t="s">
        <v>4</v>
      </c>
      <c r="M1" s="1">
        <v>100</v>
      </c>
    </row>
    <row r="2" spans="1:29" x14ac:dyDescent="0.25">
      <c r="B2" s="5" t="s">
        <v>5</v>
      </c>
      <c r="C2" s="1" t="s">
        <v>6</v>
      </c>
      <c r="D2" s="1" t="s">
        <v>7</v>
      </c>
      <c r="E2" s="1" t="s">
        <v>8</v>
      </c>
      <c r="F2" s="1" t="s">
        <v>9</v>
      </c>
      <c r="H2" s="1" t="s">
        <v>0</v>
      </c>
      <c r="I2" s="1" t="s">
        <v>0</v>
      </c>
      <c r="J2" s="1" t="s">
        <v>10</v>
      </c>
      <c r="L2" s="1" t="s">
        <v>11</v>
      </c>
      <c r="M2" s="4">
        <f>AC148</f>
        <v>2.7223776223776232E-2</v>
      </c>
    </row>
    <row r="3" spans="1:29" x14ac:dyDescent="0.25">
      <c r="B3" s="6" t="s">
        <v>12</v>
      </c>
      <c r="C3" s="1" t="s">
        <v>13</v>
      </c>
      <c r="D3" s="1" t="s">
        <v>0</v>
      </c>
      <c r="E3" s="1" t="s">
        <v>14</v>
      </c>
      <c r="F3" s="1" t="s">
        <v>0</v>
      </c>
      <c r="L3" s="1" t="s">
        <v>15</v>
      </c>
      <c r="M3" s="5">
        <f>SUM(J4:J147)</f>
        <v>2.9583917630093281E-2</v>
      </c>
      <c r="AB3" s="1">
        <f>MAX(AB4:AB148)</f>
        <v>2.2999999999999998</v>
      </c>
    </row>
    <row r="4" spans="1:29" x14ac:dyDescent="0.25">
      <c r="B4" s="8">
        <v>0.24</v>
      </c>
      <c r="C4" s="9">
        <v>0.753</v>
      </c>
      <c r="D4" s="1">
        <v>2.5019999999999998</v>
      </c>
      <c r="E4" s="9">
        <v>6.1589999999999998</v>
      </c>
      <c r="F4" s="1">
        <f t="shared" ref="F4:F35" si="0">IF(C4=MEDIAN($M$1-1,$M$1+1,C4),IF(D4&lt;=AVERAGE($AB$3,AVERAGEIF($B$4:$B$200,"&gt;20",$D$4:$D$200)),D4,0),0)</f>
        <v>0</v>
      </c>
      <c r="H4" s="10">
        <f t="shared" ref="H4:H35" si="1">IF(MATCH(F4,$F$4:$F$200,0)&gt;=MATCH(MAX($F$4:$F$200),$F$4:$F$200,0),$M$4+($M$5-$M$4)*(1-EXP(-B4/$M$6)),0)</f>
        <v>0</v>
      </c>
      <c r="I4" s="10">
        <f t="shared" ref="I4:I35" si="2">IF(H4&gt;0,D4-H4,0)</f>
        <v>0</v>
      </c>
      <c r="J4" s="10">
        <f t="shared" ref="J4:J35" si="3">I4^2</f>
        <v>0</v>
      </c>
      <c r="L4" s="1" t="s">
        <v>16</v>
      </c>
      <c r="M4" s="6">
        <v>4.0808792784972798</v>
      </c>
      <c r="AB4" s="1">
        <f t="array" ref="AB4">MAX(IF($C$4:$C$200=MEDIAN($M$1-1,$M$1+1,C4),$D$4:$D$200,0))</f>
        <v>0</v>
      </c>
      <c r="AC4" s="1">
        <f t="shared" ref="AC4:AC35" si="4">ABS(D4-D5)</f>
        <v>0.85899999999999976</v>
      </c>
    </row>
    <row r="5" spans="1:29" x14ac:dyDescent="0.25">
      <c r="B5" s="6">
        <v>0.44400000000000001</v>
      </c>
      <c r="C5" s="9">
        <v>102</v>
      </c>
      <c r="D5" s="1">
        <v>1.643</v>
      </c>
      <c r="E5" s="9">
        <v>226.1</v>
      </c>
      <c r="F5" s="1">
        <f t="shared" si="0"/>
        <v>0</v>
      </c>
      <c r="H5" s="10">
        <f t="shared" si="1"/>
        <v>0</v>
      </c>
      <c r="I5" s="10">
        <f t="shared" si="2"/>
        <v>0</v>
      </c>
      <c r="J5" s="10">
        <f t="shared" si="3"/>
        <v>0</v>
      </c>
      <c r="L5" s="1" t="s">
        <v>17</v>
      </c>
      <c r="M5" s="8">
        <v>0.33822100094593499</v>
      </c>
      <c r="AB5" s="1">
        <f t="array" ref="AB5">MAX(IF($C$4:$C$200=MEDIAN($M$1-1,$M$1+1,C5),$D$4:$D$200,0))</f>
        <v>0</v>
      </c>
      <c r="AC5" s="1">
        <f t="shared" si="4"/>
        <v>0.42000000000000015</v>
      </c>
    </row>
    <row r="6" spans="1:29" x14ac:dyDescent="0.25">
      <c r="B6" s="9">
        <v>0.70399999999999996</v>
      </c>
      <c r="C6" s="9">
        <v>102</v>
      </c>
      <c r="D6" s="1">
        <v>2.0630000000000002</v>
      </c>
      <c r="E6" s="9">
        <v>226.1</v>
      </c>
      <c r="F6" s="1">
        <f t="shared" si="0"/>
        <v>0</v>
      </c>
      <c r="H6" s="10">
        <f t="shared" si="1"/>
        <v>0</v>
      </c>
      <c r="I6" s="10">
        <f t="shared" si="2"/>
        <v>0</v>
      </c>
      <c r="J6" s="10">
        <f t="shared" si="3"/>
        <v>0</v>
      </c>
      <c r="L6" s="1" t="s">
        <v>18</v>
      </c>
      <c r="M6" s="6">
        <v>2.78335207276676</v>
      </c>
      <c r="AB6" s="1">
        <f t="array" ref="AB6">MAX(IF($C$4:$C$200=MEDIAN($M$1-1,$M$1+1,C6),$D$4:$D$200,0))</f>
        <v>0</v>
      </c>
      <c r="AC6" s="1">
        <f t="shared" si="4"/>
        <v>0.21899999999999986</v>
      </c>
    </row>
    <row r="7" spans="1:29" x14ac:dyDescent="0.25">
      <c r="B7" s="9">
        <v>1.0720000000000001</v>
      </c>
      <c r="C7" s="9">
        <v>99.73</v>
      </c>
      <c r="D7" s="1">
        <v>2.282</v>
      </c>
      <c r="E7" s="9">
        <v>230.2</v>
      </c>
      <c r="F7" s="1">
        <f t="shared" si="0"/>
        <v>0</v>
      </c>
      <c r="H7" s="10">
        <f t="shared" si="1"/>
        <v>0</v>
      </c>
      <c r="I7" s="10">
        <f t="shared" si="2"/>
        <v>0</v>
      </c>
      <c r="J7" s="10">
        <f t="shared" si="3"/>
        <v>0</v>
      </c>
      <c r="M7" s="2"/>
      <c r="AB7" s="1">
        <f t="array" ref="AB7">MAX(IF($C$4:$C$200=MEDIAN($M$1-1,$M$1+1,C7),$D$4:$D$200,0))</f>
        <v>2.2999999999999998</v>
      </c>
      <c r="AC7" s="1">
        <f t="shared" si="4"/>
        <v>1.7999999999999794E-2</v>
      </c>
    </row>
    <row r="8" spans="1:29" x14ac:dyDescent="0.25">
      <c r="B8" s="9">
        <v>1.252</v>
      </c>
      <c r="C8" s="9">
        <v>99.73</v>
      </c>
      <c r="D8" s="1">
        <v>2.2999999999999998</v>
      </c>
      <c r="E8" s="9">
        <v>230.2</v>
      </c>
      <c r="F8" s="1">
        <f t="shared" si="0"/>
        <v>0</v>
      </c>
      <c r="H8" s="10">
        <f t="shared" si="1"/>
        <v>0</v>
      </c>
      <c r="I8" s="10">
        <f t="shared" si="2"/>
        <v>0</v>
      </c>
      <c r="J8" s="10">
        <f t="shared" si="3"/>
        <v>0</v>
      </c>
      <c r="AB8" s="1">
        <f t="array" ref="AB8">MAX(IF($C$4:$C$200=MEDIAN($M$1-1,$M$1+1,C8),$D$4:$D$200,0))</f>
        <v>2.2999999999999998</v>
      </c>
      <c r="AC8" s="1">
        <f t="shared" si="4"/>
        <v>0</v>
      </c>
    </row>
    <row r="9" spans="1:29" x14ac:dyDescent="0.25">
      <c r="B9" s="9">
        <v>1.4239999999999999</v>
      </c>
      <c r="C9" s="9">
        <v>99.74</v>
      </c>
      <c r="D9" s="1">
        <v>2.2999999999999998</v>
      </c>
      <c r="E9" s="9">
        <v>260.7</v>
      </c>
      <c r="F9" s="1">
        <f t="shared" si="0"/>
        <v>0</v>
      </c>
      <c r="H9" s="10">
        <f t="shared" si="1"/>
        <v>0</v>
      </c>
      <c r="I9" s="10">
        <f t="shared" si="2"/>
        <v>0</v>
      </c>
      <c r="J9" s="10">
        <f t="shared" si="3"/>
        <v>0</v>
      </c>
      <c r="AB9" s="1">
        <f t="array" ref="AB9">MAX(IF($C$4:$C$200=MEDIAN($M$1-1,$M$1+1,C9),$D$4:$D$200,0))</f>
        <v>2.2999999999999998</v>
      </c>
      <c r="AC9" s="1">
        <f t="shared" si="4"/>
        <v>2.9999999999996696E-3</v>
      </c>
    </row>
    <row r="10" spans="1:29" x14ac:dyDescent="0.25">
      <c r="B10" s="9">
        <v>1.58</v>
      </c>
      <c r="C10" s="9">
        <v>99.74</v>
      </c>
      <c r="D10" s="1">
        <v>2.2970000000000002</v>
      </c>
      <c r="E10" s="9">
        <v>260.7</v>
      </c>
      <c r="F10" s="1">
        <f t="shared" si="0"/>
        <v>0</v>
      </c>
      <c r="H10" s="10">
        <f t="shared" si="1"/>
        <v>0</v>
      </c>
      <c r="I10" s="10">
        <f t="shared" si="2"/>
        <v>0</v>
      </c>
      <c r="J10" s="10">
        <f t="shared" si="3"/>
        <v>0</v>
      </c>
      <c r="AB10" s="1">
        <f t="array" ref="AB10">MAX(IF($C$4:$C$200=MEDIAN($M$1-1,$M$1+1,C10),$D$4:$D$200,0))</f>
        <v>2.2999999999999998</v>
      </c>
      <c r="AC10" s="1">
        <f t="shared" si="4"/>
        <v>3.7000000000000366E-2</v>
      </c>
    </row>
    <row r="11" spans="1:29" x14ac:dyDescent="0.25">
      <c r="B11" s="9">
        <v>1.8879999999999999</v>
      </c>
      <c r="C11" s="9">
        <v>99.7</v>
      </c>
      <c r="D11" s="1">
        <v>2.2599999999999998</v>
      </c>
      <c r="E11" s="9">
        <v>285.60000000000002</v>
      </c>
      <c r="F11" s="1">
        <f t="shared" si="0"/>
        <v>0</v>
      </c>
      <c r="H11" s="10">
        <f t="shared" si="1"/>
        <v>0</v>
      </c>
      <c r="I11" s="10">
        <f t="shared" si="2"/>
        <v>0</v>
      </c>
      <c r="J11" s="10">
        <f t="shared" si="3"/>
        <v>0</v>
      </c>
      <c r="AB11" s="1">
        <f t="array" ref="AB11">MAX(IF($C$4:$C$200=MEDIAN($M$1-1,$M$1+1,C11),$D$4:$D$200,0))</f>
        <v>2.2599999999999998</v>
      </c>
      <c r="AC11" s="1">
        <f t="shared" si="4"/>
        <v>3.4999999999999698E-2</v>
      </c>
    </row>
    <row r="12" spans="1:29" ht="15.75" customHeight="1" x14ac:dyDescent="0.3">
      <c r="A12"/>
      <c r="B12" s="9">
        <v>2.1280000000000001</v>
      </c>
      <c r="C12" s="9">
        <v>99.7</v>
      </c>
      <c r="D12" s="1">
        <v>2.2250000000000001</v>
      </c>
      <c r="E12" s="9">
        <v>285.60000000000002</v>
      </c>
      <c r="F12" s="1">
        <f t="shared" si="0"/>
        <v>0</v>
      </c>
      <c r="G12"/>
      <c r="H12" s="10">
        <f t="shared" si="1"/>
        <v>0</v>
      </c>
      <c r="I12" s="10">
        <f t="shared" si="2"/>
        <v>0</v>
      </c>
      <c r="J12" s="10">
        <f t="shared" si="3"/>
        <v>0</v>
      </c>
      <c r="K12"/>
      <c r="L12" s="11" t="s">
        <v>19</v>
      </c>
      <c r="M12"/>
      <c r="AB12" s="1">
        <f t="array" ref="AB12">MAX(IF($C$4:$C$200=MEDIAN($M$1-1,$M$1+1,C12),$D$4:$D$200,0))</f>
        <v>2.2599999999999998</v>
      </c>
      <c r="AC12" s="1">
        <f t="shared" si="4"/>
        <v>0.10099999999999998</v>
      </c>
    </row>
    <row r="13" spans="1:29" ht="15.75" customHeight="1" x14ac:dyDescent="0.3">
      <c r="A13"/>
      <c r="B13" s="1">
        <v>2.3359999999999999</v>
      </c>
      <c r="C13" s="9">
        <v>99.76</v>
      </c>
      <c r="D13" s="1">
        <v>2.1240000000000001</v>
      </c>
      <c r="E13" s="9">
        <v>301.8</v>
      </c>
      <c r="F13" s="1">
        <f t="shared" si="0"/>
        <v>0</v>
      </c>
      <c r="G13"/>
      <c r="H13" s="10">
        <f t="shared" si="1"/>
        <v>0</v>
      </c>
      <c r="I13" s="10">
        <f t="shared" si="2"/>
        <v>0</v>
      </c>
      <c r="J13" s="10">
        <f t="shared" si="3"/>
        <v>0</v>
      </c>
      <c r="K13"/>
      <c r="L13" s="11"/>
      <c r="M13"/>
      <c r="AB13" s="1">
        <f t="array" ref="AB13">MAX(IF($C$4:$C$200=MEDIAN($M$1-1,$M$1+1,C13),$D$4:$D$200,0))</f>
        <v>2.1240000000000001</v>
      </c>
      <c r="AC13" s="1">
        <f t="shared" si="4"/>
        <v>0.13000000000000012</v>
      </c>
    </row>
    <row r="14" spans="1:29" x14ac:dyDescent="0.25">
      <c r="B14" s="1">
        <v>2.484</v>
      </c>
      <c r="C14" s="9">
        <v>99.76</v>
      </c>
      <c r="D14" s="1">
        <v>1.994</v>
      </c>
      <c r="E14" s="9">
        <v>301.8</v>
      </c>
      <c r="F14" s="1">
        <f t="shared" si="0"/>
        <v>0</v>
      </c>
      <c r="H14" s="10">
        <f t="shared" si="1"/>
        <v>0</v>
      </c>
      <c r="I14" s="10">
        <f t="shared" si="2"/>
        <v>0</v>
      </c>
      <c r="J14" s="10">
        <f t="shared" si="3"/>
        <v>0</v>
      </c>
      <c r="AB14" s="1">
        <f t="array" ref="AB14">MAX(IF($C$4:$C$200=MEDIAN($M$1-1,$M$1+1,C14),$D$4:$D$200,0))</f>
        <v>2.1240000000000001</v>
      </c>
      <c r="AC14" s="1">
        <f t="shared" si="4"/>
        <v>0</v>
      </c>
    </row>
    <row r="15" spans="1:29" x14ac:dyDescent="0.25">
      <c r="B15" s="1">
        <v>2.7</v>
      </c>
      <c r="C15" s="9">
        <v>99.76</v>
      </c>
      <c r="D15" s="1">
        <v>1.994</v>
      </c>
      <c r="E15" s="9">
        <v>301.8</v>
      </c>
      <c r="F15" s="1">
        <f t="shared" si="0"/>
        <v>0</v>
      </c>
      <c r="H15" s="10">
        <f t="shared" si="1"/>
        <v>0</v>
      </c>
      <c r="I15" s="10">
        <f t="shared" si="2"/>
        <v>0</v>
      </c>
      <c r="J15" s="10">
        <f t="shared" si="3"/>
        <v>0</v>
      </c>
      <c r="AB15" s="1">
        <f t="array" ref="AB15">MAX(IF($C$4:$C$200=MEDIAN($M$1-1,$M$1+1,C15),$D$4:$D$200,0))</f>
        <v>2.1240000000000001</v>
      </c>
      <c r="AC15" s="1">
        <f t="shared" si="4"/>
        <v>0.1419999999999999</v>
      </c>
    </row>
    <row r="16" spans="1:29" x14ac:dyDescent="0.25">
      <c r="B16" s="1">
        <v>2.976</v>
      </c>
      <c r="C16" s="9">
        <v>99.79</v>
      </c>
      <c r="D16" s="1">
        <v>1.8520000000000001</v>
      </c>
      <c r="E16" s="9">
        <v>310.8</v>
      </c>
      <c r="F16" s="1">
        <f t="shared" si="0"/>
        <v>0</v>
      </c>
      <c r="H16" s="10">
        <f t="shared" si="1"/>
        <v>0</v>
      </c>
      <c r="I16" s="10">
        <f t="shared" si="2"/>
        <v>0</v>
      </c>
      <c r="J16" s="10">
        <f t="shared" si="3"/>
        <v>0</v>
      </c>
      <c r="AB16" s="1">
        <f t="array" ref="AB16">MAX(IF($C$4:$C$200=MEDIAN($M$1-1,$M$1+1,C16),$D$4:$D$200,0))</f>
        <v>1.8520000000000001</v>
      </c>
      <c r="AC16" s="1">
        <f t="shared" si="4"/>
        <v>0.27700000000000014</v>
      </c>
    </row>
    <row r="17" spans="2:29" x14ac:dyDescent="0.25">
      <c r="B17" s="1">
        <v>3.3519999999999999</v>
      </c>
      <c r="C17" s="9">
        <v>99.93</v>
      </c>
      <c r="D17" s="1">
        <v>1.575</v>
      </c>
      <c r="E17" s="9">
        <v>315.10000000000002</v>
      </c>
      <c r="F17" s="1">
        <f t="shared" si="0"/>
        <v>0</v>
      </c>
      <c r="H17" s="10">
        <f t="shared" si="1"/>
        <v>0</v>
      </c>
      <c r="I17" s="10">
        <f t="shared" si="2"/>
        <v>0</v>
      </c>
      <c r="J17" s="10">
        <f t="shared" si="3"/>
        <v>0</v>
      </c>
      <c r="AB17" s="1">
        <f t="array" ref="AB17">MAX(IF($C$4:$C$200=MEDIAN($M$1-1,$M$1+1,C17),$D$4:$D$200,0))</f>
        <v>1.575</v>
      </c>
      <c r="AC17" s="1">
        <f t="shared" si="4"/>
        <v>0.15399999999999991</v>
      </c>
    </row>
    <row r="18" spans="2:29" x14ac:dyDescent="0.25">
      <c r="B18" s="1">
        <v>3.52</v>
      </c>
      <c r="C18" s="9">
        <v>99.93</v>
      </c>
      <c r="D18" s="1">
        <v>1.421</v>
      </c>
      <c r="E18" s="9">
        <v>315.10000000000002</v>
      </c>
      <c r="F18" s="1">
        <f t="shared" si="0"/>
        <v>0</v>
      </c>
      <c r="H18" s="10">
        <f t="shared" si="1"/>
        <v>0</v>
      </c>
      <c r="I18" s="10">
        <f t="shared" si="2"/>
        <v>0</v>
      </c>
      <c r="J18" s="10">
        <f t="shared" si="3"/>
        <v>0</v>
      </c>
      <c r="AB18" s="1">
        <f t="array" ref="AB18">MAX(IF($C$4:$C$200=MEDIAN($M$1-1,$M$1+1,C18),$D$4:$D$200,0))</f>
        <v>1.575</v>
      </c>
      <c r="AC18" s="1">
        <f t="shared" si="4"/>
        <v>0.10499999999999998</v>
      </c>
    </row>
    <row r="19" spans="2:29" x14ac:dyDescent="0.25">
      <c r="B19" s="1">
        <v>3.76</v>
      </c>
      <c r="C19" s="9">
        <v>99.94</v>
      </c>
      <c r="D19" s="1">
        <v>1.3160000000000001</v>
      </c>
      <c r="E19" s="9">
        <v>316.8</v>
      </c>
      <c r="F19" s="1">
        <f t="shared" si="0"/>
        <v>1.3160000000000001</v>
      </c>
      <c r="H19" s="10">
        <f t="shared" si="1"/>
        <v>1.3076064363037907</v>
      </c>
      <c r="I19" s="10">
        <f t="shared" si="2"/>
        <v>8.3935636962093607E-3</v>
      </c>
      <c r="J19" s="10">
        <f t="shared" si="3"/>
        <v>7.0451911522323747E-5</v>
      </c>
      <c r="AB19" s="1">
        <f t="array" ref="AB19">MAX(IF($C$4:$C$200=MEDIAN($M$1-1,$M$1+1,C19),$D$4:$D$200,0))</f>
        <v>1.3160000000000001</v>
      </c>
      <c r="AC19" s="1">
        <f t="shared" si="4"/>
        <v>0.121</v>
      </c>
    </row>
    <row r="20" spans="2:29" x14ac:dyDescent="0.25">
      <c r="B20" s="1">
        <v>4.016</v>
      </c>
      <c r="C20" s="9">
        <v>99.94</v>
      </c>
      <c r="D20" s="1">
        <v>1.1950000000000001</v>
      </c>
      <c r="E20" s="9">
        <v>316.8</v>
      </c>
      <c r="F20" s="1">
        <f t="shared" si="0"/>
        <v>1.1950000000000001</v>
      </c>
      <c r="H20" s="10">
        <f t="shared" si="1"/>
        <v>1.2224241742211315</v>
      </c>
      <c r="I20" s="10">
        <f t="shared" si="2"/>
        <v>-2.7424174221131414E-2</v>
      </c>
      <c r="J20" s="10">
        <f t="shared" si="3"/>
        <v>7.520853317109688E-4</v>
      </c>
      <c r="AB20" s="1">
        <f t="array" ref="AB20">MAX(IF($C$4:$C$200=MEDIAN($M$1-1,$M$1+1,C20),$D$4:$D$200,0))</f>
        <v>1.3160000000000001</v>
      </c>
      <c r="AC20" s="1">
        <f t="shared" si="4"/>
        <v>9.8000000000000087E-2</v>
      </c>
    </row>
    <row r="21" spans="2:29" x14ac:dyDescent="0.25">
      <c r="B21" s="1">
        <v>4.24</v>
      </c>
      <c r="C21" s="9">
        <v>99.91</v>
      </c>
      <c r="D21" s="1">
        <v>1.097</v>
      </c>
      <c r="E21" s="9">
        <v>319.10000000000002</v>
      </c>
      <c r="F21" s="1">
        <f t="shared" si="0"/>
        <v>1.097</v>
      </c>
      <c r="H21" s="10">
        <f t="shared" si="1"/>
        <v>1.1540529346685386</v>
      </c>
      <c r="I21" s="10">
        <f t="shared" si="2"/>
        <v>-5.7052934668538668E-2</v>
      </c>
      <c r="J21" s="10">
        <f t="shared" si="3"/>
        <v>3.2550373542925416E-3</v>
      </c>
      <c r="AB21" s="1">
        <f t="array" ref="AB21">MAX(IF($C$4:$C$200=MEDIAN($M$1-1,$M$1+1,C21),$D$4:$D$200,0))</f>
        <v>1.097</v>
      </c>
      <c r="AC21" s="1">
        <f t="shared" si="4"/>
        <v>0</v>
      </c>
    </row>
    <row r="22" spans="2:29" x14ac:dyDescent="0.25">
      <c r="B22" s="1">
        <v>4.4000000000000004</v>
      </c>
      <c r="C22" s="9">
        <v>99.91</v>
      </c>
      <c r="D22" s="1">
        <v>1.097</v>
      </c>
      <c r="E22" s="9">
        <v>319.10000000000002</v>
      </c>
      <c r="F22" s="1">
        <f t="shared" si="0"/>
        <v>1.097</v>
      </c>
      <c r="H22" s="10">
        <f t="shared" si="1"/>
        <v>1.1084776172579209</v>
      </c>
      <c r="I22" s="10">
        <f t="shared" si="2"/>
        <v>-1.1477617257920958E-2</v>
      </c>
      <c r="J22" s="10">
        <f t="shared" si="3"/>
        <v>1.3173569791932502E-4</v>
      </c>
      <c r="AB22" s="1">
        <f t="array" ref="AB22">MAX(IF($C$4:$C$200=MEDIAN($M$1-1,$M$1+1,C22),$D$4:$D$200,0))</f>
        <v>1.097</v>
      </c>
      <c r="AC22" s="1">
        <f t="shared" si="4"/>
        <v>4.8000000000000043E-2</v>
      </c>
    </row>
    <row r="23" spans="2:29" x14ac:dyDescent="0.25">
      <c r="B23" s="1">
        <v>4.5599999999999996</v>
      </c>
      <c r="C23" s="9">
        <v>99.91</v>
      </c>
      <c r="D23" s="1">
        <v>1.0489999999999999</v>
      </c>
      <c r="E23" s="9">
        <v>319.10000000000002</v>
      </c>
      <c r="F23" s="1">
        <f t="shared" si="0"/>
        <v>1.0489999999999999</v>
      </c>
      <c r="H23" s="10">
        <f t="shared" si="1"/>
        <v>1.0654483016293135</v>
      </c>
      <c r="I23" s="10">
        <f t="shared" si="2"/>
        <v>-1.6448301629313544E-2</v>
      </c>
      <c r="J23" s="10">
        <f t="shared" si="3"/>
        <v>2.705466264888786E-4</v>
      </c>
      <c r="AB23" s="1">
        <f t="array" ref="AB23">MAX(IF($C$4:$C$200=MEDIAN($M$1-1,$M$1+1,C23),$D$4:$D$200,0))</f>
        <v>1.097</v>
      </c>
      <c r="AC23" s="1">
        <f t="shared" si="4"/>
        <v>5.6599999999999984E-2</v>
      </c>
    </row>
    <row r="24" spans="2:29" x14ac:dyDescent="0.25">
      <c r="B24" s="1">
        <v>4.8680000000000003</v>
      </c>
      <c r="C24" s="9">
        <v>99.91</v>
      </c>
      <c r="D24" s="1">
        <v>0.99239999999999995</v>
      </c>
      <c r="E24" s="9">
        <v>321.60000000000002</v>
      </c>
      <c r="F24" s="1">
        <f t="shared" si="0"/>
        <v>0.99239999999999995</v>
      </c>
      <c r="H24" s="10">
        <f t="shared" si="1"/>
        <v>0.98926755206525696</v>
      </c>
      <c r="I24" s="10">
        <f t="shared" si="2"/>
        <v>3.1324479347429879E-3</v>
      </c>
      <c r="J24" s="10">
        <f t="shared" si="3"/>
        <v>9.8122300638756095E-6</v>
      </c>
      <c r="AB24" s="1">
        <f t="array" ref="AB24">MAX(IF($C$4:$C$200=MEDIAN($M$1-1,$M$1+1,C24),$D$4:$D$200,0))</f>
        <v>1.097</v>
      </c>
      <c r="AC24" s="1">
        <f t="shared" si="4"/>
        <v>4.269999999999996E-2</v>
      </c>
    </row>
    <row r="25" spans="2:29" x14ac:dyDescent="0.25">
      <c r="B25" s="1">
        <v>5.1440000000000001</v>
      </c>
      <c r="C25" s="9">
        <v>99.96</v>
      </c>
      <c r="D25" s="1">
        <v>0.94969999999999999</v>
      </c>
      <c r="E25" s="9">
        <v>323.7</v>
      </c>
      <c r="F25" s="1">
        <f t="shared" si="0"/>
        <v>0.94969999999999999</v>
      </c>
      <c r="H25" s="10">
        <f t="shared" si="1"/>
        <v>0.92780673094157118</v>
      </c>
      <c r="I25" s="10">
        <f t="shared" si="2"/>
        <v>2.189326905842881E-2</v>
      </c>
      <c r="J25" s="10">
        <f t="shared" si="3"/>
        <v>4.7931523006475632E-4</v>
      </c>
      <c r="AB25" s="1">
        <f t="array" ref="AB25">MAX(IF($C$4:$C$200=MEDIAN($M$1-1,$M$1+1,C25),$D$4:$D$200,0))</f>
        <v>0.94969999999999999</v>
      </c>
      <c r="AC25" s="1">
        <f t="shared" si="4"/>
        <v>2.9100000000000015E-2</v>
      </c>
    </row>
    <row r="26" spans="2:29" x14ac:dyDescent="0.25">
      <c r="B26" s="1">
        <v>5.4160000000000004</v>
      </c>
      <c r="C26" s="9">
        <v>99.96</v>
      </c>
      <c r="D26" s="1">
        <v>0.92059999999999997</v>
      </c>
      <c r="E26" s="9">
        <v>323.7</v>
      </c>
      <c r="F26" s="1">
        <f t="shared" si="0"/>
        <v>0.92059999999999997</v>
      </c>
      <c r="H26" s="10">
        <f t="shared" si="1"/>
        <v>0.87291586935905174</v>
      </c>
      <c r="I26" s="10">
        <f t="shared" si="2"/>
        <v>4.768413064094823E-2</v>
      </c>
      <c r="J26" s="10">
        <f t="shared" si="3"/>
        <v>2.2737763149830179E-3</v>
      </c>
      <c r="AB26" s="1">
        <f t="array" ref="AB26">MAX(IF($C$4:$C$200=MEDIAN($M$1-1,$M$1+1,C26),$D$4:$D$200,0))</f>
        <v>0.94969999999999999</v>
      </c>
      <c r="AC26" s="1">
        <f t="shared" si="4"/>
        <v>3.1499999999999972E-2</v>
      </c>
    </row>
    <row r="27" spans="2:29" x14ac:dyDescent="0.25">
      <c r="B27" s="1">
        <v>5.6</v>
      </c>
      <c r="C27" s="9">
        <v>99.94</v>
      </c>
      <c r="D27" s="1">
        <v>0.8891</v>
      </c>
      <c r="E27" s="9">
        <v>325.60000000000002</v>
      </c>
      <c r="F27" s="1">
        <f t="shared" si="0"/>
        <v>0.8891</v>
      </c>
      <c r="H27" s="10">
        <f t="shared" si="1"/>
        <v>0.83871164502290441</v>
      </c>
      <c r="I27" s="10">
        <f t="shared" si="2"/>
        <v>5.0388354977095595E-2</v>
      </c>
      <c r="J27" s="10">
        <f t="shared" si="3"/>
        <v>2.5389863172977944E-3</v>
      </c>
      <c r="AB27" s="1">
        <f t="array" ref="AB27">MAX(IF($C$4:$C$200=MEDIAN($M$1-1,$M$1+1,C27),$D$4:$D$200,0))</f>
        <v>1.3160000000000001</v>
      </c>
      <c r="AC27" s="1">
        <f t="shared" si="4"/>
        <v>4.9599999999999977E-2</v>
      </c>
    </row>
    <row r="28" spans="2:29" x14ac:dyDescent="0.25">
      <c r="B28" s="1">
        <v>5.8920000000000003</v>
      </c>
      <c r="C28" s="9">
        <v>99.94</v>
      </c>
      <c r="D28" s="1">
        <v>0.83950000000000002</v>
      </c>
      <c r="E28" s="9">
        <v>325.60000000000002</v>
      </c>
      <c r="F28" s="1">
        <f t="shared" si="0"/>
        <v>0.83950000000000002</v>
      </c>
      <c r="H28" s="10">
        <f t="shared" si="1"/>
        <v>0.78886579466690909</v>
      </c>
      <c r="I28" s="10">
        <f t="shared" si="2"/>
        <v>5.0634205333090931E-2</v>
      </c>
      <c r="J28" s="10">
        <f t="shared" si="3"/>
        <v>2.563822749713614E-3</v>
      </c>
      <c r="AB28" s="1">
        <f t="array" ref="AB28">MAX(IF($C$4:$C$200=MEDIAN($M$1-1,$M$1+1,C28),$D$4:$D$200,0))</f>
        <v>1.3160000000000001</v>
      </c>
      <c r="AC28" s="1">
        <f t="shared" si="4"/>
        <v>8.0000000000000071E-2</v>
      </c>
    </row>
    <row r="29" spans="2:29" x14ac:dyDescent="0.25">
      <c r="B29" s="1">
        <v>6.2</v>
      </c>
      <c r="C29" s="9">
        <v>99.91</v>
      </c>
      <c r="D29" s="1">
        <v>0.75949999999999995</v>
      </c>
      <c r="E29" s="9">
        <v>327.7</v>
      </c>
      <c r="F29" s="1">
        <f t="shared" si="0"/>
        <v>0.75949999999999995</v>
      </c>
      <c r="H29" s="10">
        <f t="shared" si="1"/>
        <v>0.74165846603589802</v>
      </c>
      <c r="I29" s="10">
        <f t="shared" si="2"/>
        <v>1.784153396410193E-2</v>
      </c>
      <c r="J29" s="10">
        <f t="shared" si="3"/>
        <v>3.1832033419220275E-4</v>
      </c>
      <c r="AB29" s="1">
        <f t="array" ref="AB29">MAX(IF($C$4:$C$200=MEDIAN($M$1-1,$M$1+1,C29),$D$4:$D$200,0))</f>
        <v>1.097</v>
      </c>
      <c r="AC29" s="1">
        <f t="shared" si="4"/>
        <v>0</v>
      </c>
    </row>
    <row r="30" spans="2:29" x14ac:dyDescent="0.25">
      <c r="B30" s="1">
        <v>6.4</v>
      </c>
      <c r="C30" s="9">
        <v>99.91</v>
      </c>
      <c r="D30" s="1">
        <v>0.75949999999999995</v>
      </c>
      <c r="E30" s="9">
        <v>327.7</v>
      </c>
      <c r="F30" s="1">
        <f t="shared" si="0"/>
        <v>0.75949999999999995</v>
      </c>
      <c r="H30" s="10">
        <f t="shared" si="1"/>
        <v>0.71368616354662651</v>
      </c>
      <c r="I30" s="10">
        <f t="shared" si="2"/>
        <v>4.5813836453373447E-2</v>
      </c>
      <c r="J30" s="10">
        <f t="shared" si="3"/>
        <v>2.0989076105764498E-3</v>
      </c>
      <c r="AB30" s="1">
        <f t="array" ref="AB30">MAX(IF($C$4:$C$200=MEDIAN($M$1-1,$M$1+1,C30),$D$4:$D$200,0))</f>
        <v>1.097</v>
      </c>
      <c r="AC30" s="1">
        <f t="shared" si="4"/>
        <v>5.2799999999999958E-2</v>
      </c>
    </row>
    <row r="31" spans="2:29" x14ac:dyDescent="0.25">
      <c r="B31" s="1">
        <v>6.5919999999999996</v>
      </c>
      <c r="C31" s="9">
        <v>99.95</v>
      </c>
      <c r="D31" s="1">
        <v>0.70669999999999999</v>
      </c>
      <c r="E31" s="9">
        <v>330</v>
      </c>
      <c r="F31" s="1">
        <f t="shared" si="0"/>
        <v>0.70669999999999999</v>
      </c>
      <c r="H31" s="10">
        <f t="shared" si="1"/>
        <v>0.68865911263246593</v>
      </c>
      <c r="I31" s="10">
        <f t="shared" si="2"/>
        <v>1.8040887367534064E-2</v>
      </c>
      <c r="J31" s="10">
        <f t="shared" si="3"/>
        <v>3.2547361700805018E-4</v>
      </c>
      <c r="Q31" s="1"/>
      <c r="AB31" s="1">
        <f t="array" ref="AB31">MAX(IF($C$4:$C$200=MEDIAN($M$1-1,$M$1+1,C31),$D$4:$D$200,0))</f>
        <v>0.70669999999999999</v>
      </c>
      <c r="AC31" s="1">
        <f t="shared" si="4"/>
        <v>4.5799999999999952E-2</v>
      </c>
    </row>
    <row r="32" spans="2:29" x14ac:dyDescent="0.25">
      <c r="B32" s="1">
        <v>6.88</v>
      </c>
      <c r="C32" s="9">
        <v>99.95</v>
      </c>
      <c r="D32" s="1">
        <v>0.66090000000000004</v>
      </c>
      <c r="E32" s="9">
        <v>330</v>
      </c>
      <c r="F32" s="1">
        <f t="shared" si="0"/>
        <v>0.66090000000000004</v>
      </c>
      <c r="H32" s="10">
        <f t="shared" si="1"/>
        <v>0.65421137843382793</v>
      </c>
      <c r="I32" s="10">
        <f t="shared" si="2"/>
        <v>6.6886215661721149E-3</v>
      </c>
      <c r="J32" s="10">
        <f t="shared" si="3"/>
        <v>4.4737658455462716E-5</v>
      </c>
      <c r="AB32" s="1">
        <f t="array" ref="AB32">MAX(IF($C$4:$C$200=MEDIAN($M$1-1,$M$1+1,C32),$D$4:$D$200,0))</f>
        <v>0.70669999999999999</v>
      </c>
      <c r="AC32" s="1">
        <f t="shared" si="4"/>
        <v>2.9800000000000049E-2</v>
      </c>
    </row>
    <row r="33" spans="2:29" x14ac:dyDescent="0.25">
      <c r="B33" s="1">
        <v>7.1520000000000001</v>
      </c>
      <c r="C33" s="9">
        <v>99.98</v>
      </c>
      <c r="D33" s="1">
        <v>0.63109999999999999</v>
      </c>
      <c r="E33" s="9">
        <v>330.1</v>
      </c>
      <c r="F33" s="1">
        <f t="shared" si="0"/>
        <v>0.63109999999999999</v>
      </c>
      <c r="H33" s="10">
        <f t="shared" si="1"/>
        <v>0.62479244376554099</v>
      </c>
      <c r="I33" s="10">
        <f t="shared" si="2"/>
        <v>6.3075562344589997E-3</v>
      </c>
      <c r="J33" s="10">
        <f t="shared" si="3"/>
        <v>3.9785265650862594E-5</v>
      </c>
      <c r="AB33" s="1">
        <f t="array" ref="AB33">MAX(IF($C$4:$C$200=MEDIAN($M$1-1,$M$1+1,C33),$D$4:$D$200,0))</f>
        <v>0.63109999999999999</v>
      </c>
      <c r="AC33" s="1">
        <f t="shared" si="4"/>
        <v>3.5900000000000043E-2</v>
      </c>
    </row>
    <row r="34" spans="2:29" x14ac:dyDescent="0.25">
      <c r="B34" s="1">
        <v>7.36</v>
      </c>
      <c r="C34" s="9">
        <v>99.98</v>
      </c>
      <c r="D34" s="1">
        <v>0.59519999999999995</v>
      </c>
      <c r="E34" s="9">
        <v>330.1</v>
      </c>
      <c r="F34" s="1">
        <f t="shared" si="0"/>
        <v>0.59519999999999995</v>
      </c>
      <c r="H34" s="10">
        <f t="shared" si="1"/>
        <v>0.60415757405786374</v>
      </c>
      <c r="I34" s="10">
        <f t="shared" si="2"/>
        <v>-8.957574057863793E-3</v>
      </c>
      <c r="J34" s="10">
        <f t="shared" si="3"/>
        <v>8.0238133002114422E-5</v>
      </c>
      <c r="AB34" s="1">
        <f t="array" ref="AB34">MAX(IF($C$4:$C$200=MEDIAN($M$1-1,$M$1+1,C34),$D$4:$D$200,0))</f>
        <v>0.63109999999999999</v>
      </c>
      <c r="AC34" s="1">
        <f t="shared" si="4"/>
        <v>4.4599999999999973E-2</v>
      </c>
    </row>
    <row r="35" spans="2:29" x14ac:dyDescent="0.25">
      <c r="B35" s="1">
        <v>7.8479999999999999</v>
      </c>
      <c r="C35" s="9">
        <v>99.96</v>
      </c>
      <c r="D35" s="1">
        <v>0.55059999999999998</v>
      </c>
      <c r="E35" s="9">
        <v>329.6</v>
      </c>
      <c r="F35" s="1">
        <f t="shared" si="0"/>
        <v>0.55059999999999998</v>
      </c>
      <c r="H35" s="10">
        <f t="shared" si="1"/>
        <v>0.56139007694585175</v>
      </c>
      <c r="I35" s="10">
        <f t="shared" si="2"/>
        <v>-1.0790076945851768E-2</v>
      </c>
      <c r="J35" s="10">
        <f t="shared" si="3"/>
        <v>1.1642576049740181E-4</v>
      </c>
      <c r="AB35" s="1">
        <f t="array" ref="AB35">MAX(IF($C$4:$C$200=MEDIAN($M$1-1,$M$1+1,C35),$D$4:$D$200,0))</f>
        <v>0.94969999999999999</v>
      </c>
      <c r="AC35" s="1">
        <f t="shared" si="4"/>
        <v>2.1900000000000031E-2</v>
      </c>
    </row>
    <row r="36" spans="2:29" x14ac:dyDescent="0.25">
      <c r="B36" s="1">
        <v>8.0519999999999996</v>
      </c>
      <c r="C36" s="9">
        <v>99.96</v>
      </c>
      <c r="D36" s="1">
        <v>0.52869999999999995</v>
      </c>
      <c r="E36" s="9">
        <v>330.2</v>
      </c>
      <c r="F36" s="1">
        <f t="shared" ref="F36:F67" si="5">IF(C36=MEDIAN($M$1-1,$M$1+1,C36),IF(D36&lt;=AVERAGE($AB$3,AVERAGEIF($B$4:$B$200,"&gt;20",$D$4:$D$200)),D36,0),0)</f>
        <v>0.52869999999999995</v>
      </c>
      <c r="H36" s="10">
        <f t="shared" ref="H36:H67" si="6">IF(MATCH(F36,$F$4:$F$200,0)&gt;=MATCH(MAX($F$4:$F$200),$F$4:$F$200,0),$M$4+($M$5-$M$4)*(1-EXP(-B36/$M$6)),0)</f>
        <v>0.54561839954682378</v>
      </c>
      <c r="I36" s="10">
        <f t="shared" ref="I36:I67" si="7">IF(H36&gt;0,D36-H36,0)</f>
        <v>-1.6918399546823837E-2</v>
      </c>
      <c r="J36" s="10">
        <f t="shared" ref="J36:J67" si="8">I36^2</f>
        <v>2.8623224322596902E-4</v>
      </c>
      <c r="AB36" s="1">
        <f t="array" ref="AB36">MAX(IF($C$4:$C$200=MEDIAN($M$1-1,$M$1+1,C36),$D$4:$D$200,0))</f>
        <v>0.94969999999999999</v>
      </c>
      <c r="AC36" s="1">
        <f t="shared" ref="AC36:AC67" si="9">ABS(D36-D37)</f>
        <v>1.5899999999999914E-2</v>
      </c>
    </row>
    <row r="37" spans="2:29" x14ac:dyDescent="0.25">
      <c r="B37" s="1">
        <v>8.2119999999999997</v>
      </c>
      <c r="C37" s="9">
        <v>99.96</v>
      </c>
      <c r="D37" s="1">
        <v>0.51280000000000003</v>
      </c>
      <c r="E37" s="9">
        <v>330.2</v>
      </c>
      <c r="F37" s="1">
        <f t="shared" si="5"/>
        <v>0.51280000000000003</v>
      </c>
      <c r="H37" s="10">
        <f t="shared" si="6"/>
        <v>0.53403243204461726</v>
      </c>
      <c r="I37" s="10">
        <f t="shared" si="7"/>
        <v>-2.1232432044617222E-2</v>
      </c>
      <c r="J37" s="10">
        <f t="shared" si="8"/>
        <v>4.5081617052928827E-4</v>
      </c>
      <c r="AB37" s="1">
        <f t="array" ref="AB37">MAX(IF($C$4:$C$200=MEDIAN($M$1-1,$M$1+1,C37),$D$4:$D$200,0))</f>
        <v>0.94969999999999999</v>
      </c>
      <c r="AC37" s="1">
        <f t="shared" si="9"/>
        <v>0</v>
      </c>
    </row>
    <row r="38" spans="2:29" x14ac:dyDescent="0.25">
      <c r="B38" s="1">
        <v>8.3919999999999995</v>
      </c>
      <c r="C38" s="9">
        <v>99.96</v>
      </c>
      <c r="D38" s="1">
        <v>0.51280000000000003</v>
      </c>
      <c r="E38" s="9">
        <v>330.2</v>
      </c>
      <c r="F38" s="1">
        <f t="shared" si="5"/>
        <v>0.51280000000000003</v>
      </c>
      <c r="H38" s="10">
        <f t="shared" si="6"/>
        <v>0.5217700422078706</v>
      </c>
      <c r="I38" s="10">
        <f t="shared" si="7"/>
        <v>-8.9700422078705655E-3</v>
      </c>
      <c r="J38" s="10">
        <f t="shared" si="8"/>
        <v>8.0461657210979446E-5</v>
      </c>
      <c r="AB38" s="1">
        <f t="array" ref="AB38">MAX(IF($C$4:$C$200=MEDIAN($M$1-1,$M$1+1,C38),$D$4:$D$200,0))</f>
        <v>0.94969999999999999</v>
      </c>
      <c r="AC38" s="1">
        <f t="shared" si="9"/>
        <v>2.1900000000000031E-2</v>
      </c>
    </row>
    <row r="39" spans="2:29" x14ac:dyDescent="0.25">
      <c r="B39" s="1">
        <v>8.5839999999999996</v>
      </c>
      <c r="C39" s="9">
        <v>99.96</v>
      </c>
      <c r="D39" s="1">
        <v>0.4909</v>
      </c>
      <c r="E39" s="9">
        <v>331.2</v>
      </c>
      <c r="F39" s="1">
        <f t="shared" si="5"/>
        <v>0.4909</v>
      </c>
      <c r="H39" s="10">
        <f t="shared" si="6"/>
        <v>0.50953537529739279</v>
      </c>
      <c r="I39" s="10">
        <f t="shared" si="7"/>
        <v>-1.8635375297392787E-2</v>
      </c>
      <c r="J39" s="10">
        <f t="shared" si="8"/>
        <v>3.4727721247467729E-4</v>
      </c>
      <c r="AB39" s="1">
        <f t="array" ref="AB39">MAX(IF($C$4:$C$200=MEDIAN($M$1-1,$M$1+1,C39),$D$4:$D$200,0))</f>
        <v>0.94969999999999999</v>
      </c>
      <c r="AC39" s="1">
        <f t="shared" si="9"/>
        <v>1.4000000000000012E-2</v>
      </c>
    </row>
    <row r="40" spans="2:29" x14ac:dyDescent="0.25">
      <c r="B40" s="1">
        <v>8.9</v>
      </c>
      <c r="C40" s="9">
        <v>99.96</v>
      </c>
      <c r="D40" s="1">
        <v>0.47689999999999999</v>
      </c>
      <c r="E40" s="9">
        <v>331.2</v>
      </c>
      <c r="F40" s="1">
        <f t="shared" si="5"/>
        <v>0.47689999999999999</v>
      </c>
      <c r="H40" s="10">
        <f t="shared" si="6"/>
        <v>0.49114914209580185</v>
      </c>
      <c r="I40" s="10">
        <f t="shared" si="7"/>
        <v>-1.4249142095801859E-2</v>
      </c>
      <c r="J40" s="10">
        <f t="shared" si="8"/>
        <v>2.0303805046635259E-4</v>
      </c>
      <c r="AB40" s="1">
        <f t="array" ref="AB40">MAX(IF($C$4:$C$200=MEDIAN($M$1-1,$M$1+1,C40),$D$4:$D$200,0))</f>
        <v>0.94969999999999999</v>
      </c>
      <c r="AC40" s="1">
        <f t="shared" si="9"/>
        <v>1.8100000000000005E-2</v>
      </c>
    </row>
    <row r="41" spans="2:29" x14ac:dyDescent="0.25">
      <c r="B41" s="1">
        <v>9.1760000000000002</v>
      </c>
      <c r="C41" s="9">
        <v>99.94</v>
      </c>
      <c r="D41" s="1">
        <v>0.45879999999999999</v>
      </c>
      <c r="E41" s="9">
        <v>331.8</v>
      </c>
      <c r="F41" s="1">
        <f t="shared" si="5"/>
        <v>0.45879999999999999</v>
      </c>
      <c r="H41" s="10">
        <f t="shared" si="6"/>
        <v>0.47671224950827407</v>
      </c>
      <c r="I41" s="10">
        <f t="shared" si="7"/>
        <v>-1.7912249508274081E-2</v>
      </c>
      <c r="J41" s="10">
        <f t="shared" si="8"/>
        <v>3.2084868244666503E-4</v>
      </c>
      <c r="AB41" s="1">
        <f t="array" ref="AB41">MAX(IF($C$4:$C$200=MEDIAN($M$1-1,$M$1+1,C41),$D$4:$D$200,0))</f>
        <v>1.3160000000000001</v>
      </c>
      <c r="AC41" s="1">
        <f t="shared" si="9"/>
        <v>1.5600000000000003E-2</v>
      </c>
    </row>
    <row r="42" spans="2:29" x14ac:dyDescent="0.25">
      <c r="B42" s="1">
        <v>9.3800000000000008</v>
      </c>
      <c r="C42" s="9">
        <v>99.94</v>
      </c>
      <c r="D42" s="1">
        <v>0.44319999999999998</v>
      </c>
      <c r="E42" s="9">
        <v>331.8</v>
      </c>
      <c r="F42" s="1">
        <f t="shared" si="5"/>
        <v>0.44319999999999998</v>
      </c>
      <c r="H42" s="10">
        <f t="shared" si="6"/>
        <v>0.46692487513694925</v>
      </c>
      <c r="I42" s="10">
        <f t="shared" si="7"/>
        <v>-2.3724875136949264E-2</v>
      </c>
      <c r="J42" s="10">
        <f t="shared" si="8"/>
        <v>5.6286970026383338E-4</v>
      </c>
      <c r="AB42" s="1">
        <f t="array" ref="AB42">MAX(IF($C$4:$C$200=MEDIAN($M$1-1,$M$1+1,C42),$D$4:$D$200,0))</f>
        <v>1.3160000000000001</v>
      </c>
      <c r="AC42" s="1">
        <f t="shared" si="9"/>
        <v>4.2999999999999705E-3</v>
      </c>
    </row>
    <row r="43" spans="2:29" x14ac:dyDescent="0.25">
      <c r="B43" s="1">
        <v>9.5239999999999991</v>
      </c>
      <c r="C43" s="9">
        <v>99.9</v>
      </c>
      <c r="D43" s="1">
        <v>0.43890000000000001</v>
      </c>
      <c r="E43" s="9">
        <v>331.9</v>
      </c>
      <c r="F43" s="1">
        <f t="shared" si="5"/>
        <v>0.43890000000000001</v>
      </c>
      <c r="H43" s="10">
        <f t="shared" si="6"/>
        <v>0.46043554254616081</v>
      </c>
      <c r="I43" s="10">
        <f t="shared" si="7"/>
        <v>-2.1535542546160802E-2</v>
      </c>
      <c r="J43" s="10">
        <f t="shared" si="8"/>
        <v>4.6377959275750209E-4</v>
      </c>
      <c r="AB43" s="1">
        <f t="array" ref="AB43">MAX(IF($C$4:$C$200=MEDIAN($M$1-1,$M$1+1,C43),$D$4:$D$200,0))</f>
        <v>0.43890000000000001</v>
      </c>
      <c r="AC43" s="1">
        <f t="shared" si="9"/>
        <v>9.3000000000000305E-3</v>
      </c>
    </row>
    <row r="44" spans="2:29" x14ac:dyDescent="0.25">
      <c r="B44" s="1">
        <v>9.7639999999999993</v>
      </c>
      <c r="C44" s="9">
        <v>99.9</v>
      </c>
      <c r="D44" s="1">
        <v>0.42959999999999998</v>
      </c>
      <c r="E44" s="9">
        <v>331.9</v>
      </c>
      <c r="F44" s="1">
        <f t="shared" si="5"/>
        <v>0.42959999999999998</v>
      </c>
      <c r="H44" s="10">
        <f t="shared" si="6"/>
        <v>0.45033890963134038</v>
      </c>
      <c r="I44" s="10">
        <f t="shared" si="7"/>
        <v>-2.0738909631340396E-2</v>
      </c>
      <c r="J44" s="10">
        <f t="shared" si="8"/>
        <v>4.3010237269690347E-4</v>
      </c>
      <c r="AB44" s="1">
        <f t="array" ref="AB44">MAX(IF($C$4:$C$200=MEDIAN($M$1-1,$M$1+1,C44),$D$4:$D$200,0))</f>
        <v>0.43890000000000001</v>
      </c>
      <c r="AC44" s="1">
        <f t="shared" si="9"/>
        <v>6.8999999999999617E-3</v>
      </c>
    </row>
    <row r="45" spans="2:29" x14ac:dyDescent="0.25">
      <c r="B45" s="1">
        <v>10.084</v>
      </c>
      <c r="C45" s="9">
        <v>99.87</v>
      </c>
      <c r="D45" s="1">
        <v>0.42270000000000002</v>
      </c>
      <c r="E45" s="9">
        <v>332.2</v>
      </c>
      <c r="F45" s="1">
        <f t="shared" si="5"/>
        <v>0.42270000000000002</v>
      </c>
      <c r="H45" s="10">
        <f t="shared" si="6"/>
        <v>0.43816217843761684</v>
      </c>
      <c r="I45" s="10">
        <f t="shared" si="7"/>
        <v>-1.5462178437616825E-2</v>
      </c>
      <c r="J45" s="10">
        <f t="shared" si="8"/>
        <v>2.3907896203670268E-4</v>
      </c>
      <c r="AB45" s="1">
        <f t="array" ref="AB45">MAX(IF($C$4:$C$200=MEDIAN($M$1-1,$M$1+1,C45),$D$4:$D$200,0))</f>
        <v>0.42270000000000002</v>
      </c>
      <c r="AC45" s="1">
        <f t="shared" si="9"/>
        <v>5.0999999999999934E-3</v>
      </c>
    </row>
    <row r="46" spans="2:29" x14ac:dyDescent="0.25">
      <c r="B46" s="1">
        <v>10.268000000000001</v>
      </c>
      <c r="C46" s="9">
        <v>99.87</v>
      </c>
      <c r="D46" s="1">
        <v>0.41760000000000003</v>
      </c>
      <c r="E46" s="9">
        <v>332.2</v>
      </c>
      <c r="F46" s="1">
        <f t="shared" si="5"/>
        <v>0.41760000000000003</v>
      </c>
      <c r="H46" s="10">
        <f t="shared" si="6"/>
        <v>0.43176897989151986</v>
      </c>
      <c r="I46" s="10">
        <f t="shared" si="7"/>
        <v>-1.4168979891519828E-2</v>
      </c>
      <c r="J46" s="10">
        <f t="shared" si="8"/>
        <v>2.0075999116629325E-4</v>
      </c>
      <c r="S46" s="12"/>
      <c r="V46" s="1"/>
      <c r="AB46" s="1">
        <f t="array" ref="AB46">MAX(IF($C$4:$C$200=MEDIAN($M$1-1,$M$1+1,C46),$D$4:$D$200,0))</f>
        <v>0.42270000000000002</v>
      </c>
      <c r="AC46" s="1">
        <f t="shared" si="9"/>
        <v>5.1000000000000489E-3</v>
      </c>
    </row>
    <row r="47" spans="2:29" x14ac:dyDescent="0.25">
      <c r="B47" s="1">
        <v>10.448</v>
      </c>
      <c r="C47" s="9">
        <v>99.85</v>
      </c>
      <c r="D47" s="1">
        <v>0.41249999999999998</v>
      </c>
      <c r="E47" s="9">
        <v>332.9</v>
      </c>
      <c r="F47" s="1">
        <f t="shared" si="5"/>
        <v>0.41249999999999998</v>
      </c>
      <c r="H47" s="10">
        <f t="shared" si="6"/>
        <v>0.42591068152847678</v>
      </c>
      <c r="I47" s="10">
        <f t="shared" si="7"/>
        <v>-1.3410681528476798E-2</v>
      </c>
      <c r="J47" s="10">
        <f t="shared" si="8"/>
        <v>1.7984637905822879E-4</v>
      </c>
      <c r="S47" s="13"/>
      <c r="T47" s="14"/>
      <c r="U47" s="13"/>
      <c r="AB47" s="1">
        <f t="array" ref="AB47">MAX(IF($C$4:$C$200=MEDIAN($M$1-1,$M$1+1,C47),$D$4:$D$200,0))</f>
        <v>0.41249999999999998</v>
      </c>
      <c r="AC47" s="1">
        <f t="shared" si="9"/>
        <v>1.4499999999999957E-2</v>
      </c>
    </row>
    <row r="48" spans="2:29" x14ac:dyDescent="0.25">
      <c r="B48" s="1">
        <v>10.664</v>
      </c>
      <c r="C48" s="9">
        <v>99.85</v>
      </c>
      <c r="D48" s="1">
        <v>0.39800000000000002</v>
      </c>
      <c r="E48" s="9">
        <v>332.9</v>
      </c>
      <c r="F48" s="1">
        <f t="shared" si="5"/>
        <v>0.39800000000000002</v>
      </c>
      <c r="H48" s="10">
        <f t="shared" si="6"/>
        <v>0.41936294017455022</v>
      </c>
      <c r="I48" s="10">
        <f t="shared" si="7"/>
        <v>-2.1362940174550205E-2</v>
      </c>
      <c r="J48" s="10">
        <f t="shared" si="8"/>
        <v>4.5637521290141115E-4</v>
      </c>
      <c r="AB48" s="1">
        <f t="array" ref="AB48">MAX(IF($C$4:$C$200=MEDIAN($M$1-1,$M$1+1,C48),$D$4:$D$200,0))</f>
        <v>0.41249999999999998</v>
      </c>
      <c r="AC48" s="1">
        <f t="shared" si="9"/>
        <v>1.0800000000000032E-2</v>
      </c>
    </row>
    <row r="49" spans="2:29" x14ac:dyDescent="0.25">
      <c r="B49" s="1">
        <v>10.964</v>
      </c>
      <c r="C49" s="9">
        <v>99.93</v>
      </c>
      <c r="D49" s="1">
        <v>0.38719999999999999</v>
      </c>
      <c r="E49" s="9">
        <v>333.8</v>
      </c>
      <c r="F49" s="1">
        <f t="shared" si="5"/>
        <v>0.38719999999999999</v>
      </c>
      <c r="H49" s="10">
        <f t="shared" si="6"/>
        <v>0.41107200039491953</v>
      </c>
      <c r="I49" s="10">
        <f t="shared" si="7"/>
        <v>-2.3872000394919546E-2</v>
      </c>
      <c r="J49" s="10">
        <f t="shared" si="8"/>
        <v>5.6987240285503895E-4</v>
      </c>
      <c r="AB49" s="1">
        <f t="array" ref="AB49">MAX(IF($C$4:$C$200=MEDIAN($M$1-1,$M$1+1,C49),$D$4:$D$200,0))</f>
        <v>1.575</v>
      </c>
      <c r="AC49" s="1">
        <f t="shared" si="9"/>
        <v>2.2999999999999687E-3</v>
      </c>
    </row>
    <row r="50" spans="2:29" x14ac:dyDescent="0.25">
      <c r="B50" s="1">
        <v>11.22</v>
      </c>
      <c r="C50" s="9">
        <v>99.93</v>
      </c>
      <c r="D50" s="1">
        <v>0.38490000000000002</v>
      </c>
      <c r="E50" s="9">
        <v>333.8</v>
      </c>
      <c r="F50" s="1">
        <f t="shared" si="5"/>
        <v>0.38490000000000002</v>
      </c>
      <c r="H50" s="10">
        <f t="shared" si="6"/>
        <v>0.40467040542381705</v>
      </c>
      <c r="I50" s="10">
        <f t="shared" si="7"/>
        <v>-1.9770405423817028E-2</v>
      </c>
      <c r="J50" s="10">
        <f t="shared" si="8"/>
        <v>3.9086893062209376E-4</v>
      </c>
      <c r="AB50" s="1">
        <f t="array" ref="AB50">MAX(IF($C$4:$C$200=MEDIAN($M$1-1,$M$1+1,C50),$D$4:$D$200,0))</f>
        <v>1.575</v>
      </c>
      <c r="AC50" s="1">
        <f t="shared" si="9"/>
        <v>0</v>
      </c>
    </row>
    <row r="51" spans="2:29" x14ac:dyDescent="0.25">
      <c r="B51" s="1">
        <v>11.38</v>
      </c>
      <c r="C51" s="9">
        <v>99.89</v>
      </c>
      <c r="D51" s="1">
        <v>0.38490000000000002</v>
      </c>
      <c r="E51" s="9">
        <v>333.6</v>
      </c>
      <c r="F51" s="1">
        <f t="shared" si="5"/>
        <v>0.38490000000000002</v>
      </c>
      <c r="H51" s="10">
        <f t="shared" si="6"/>
        <v>0.40095830177152747</v>
      </c>
      <c r="I51" s="10">
        <f t="shared" si="7"/>
        <v>-1.605830177152745E-2</v>
      </c>
      <c r="J51" s="10">
        <f t="shared" si="8"/>
        <v>2.5786905578544162E-4</v>
      </c>
      <c r="AB51" s="1">
        <f t="array" ref="AB51">MAX(IF($C$4:$C$200=MEDIAN($M$1-1,$M$1+1,C51),$D$4:$D$200,0))</f>
        <v>0.38619999999999999</v>
      </c>
      <c r="AC51" s="1">
        <f t="shared" si="9"/>
        <v>1.0999999999999899E-3</v>
      </c>
    </row>
    <row r="52" spans="2:29" x14ac:dyDescent="0.25">
      <c r="B52" s="1">
        <v>11.54</v>
      </c>
      <c r="C52" s="9">
        <v>99.89</v>
      </c>
      <c r="D52" s="1">
        <v>0.38600000000000001</v>
      </c>
      <c r="E52" s="9">
        <v>333.6</v>
      </c>
      <c r="F52" s="1">
        <f t="shared" si="5"/>
        <v>0.38600000000000001</v>
      </c>
      <c r="H52" s="10">
        <f t="shared" si="6"/>
        <v>0.39745356963194922</v>
      </c>
      <c r="I52" s="10">
        <f t="shared" si="7"/>
        <v>-1.1453569631949212E-2</v>
      </c>
      <c r="J52" s="10">
        <f t="shared" si="8"/>
        <v>1.311842573139092E-4</v>
      </c>
      <c r="AB52" s="1">
        <f t="array" ref="AB52">MAX(IF($C$4:$C$200=MEDIAN($M$1-1,$M$1+1,C52),$D$4:$D$200,0))</f>
        <v>0.38619999999999999</v>
      </c>
      <c r="AC52" s="1">
        <f t="shared" si="9"/>
        <v>1.9999999999997797E-4</v>
      </c>
    </row>
    <row r="53" spans="2:29" x14ac:dyDescent="0.25">
      <c r="B53" s="1">
        <v>11.86</v>
      </c>
      <c r="C53" s="9">
        <v>99.89</v>
      </c>
      <c r="D53" s="1">
        <v>0.38619999999999999</v>
      </c>
      <c r="E53" s="9">
        <v>334.6</v>
      </c>
      <c r="F53" s="1">
        <f t="shared" si="5"/>
        <v>0.38619999999999999</v>
      </c>
      <c r="H53" s="10">
        <f t="shared" si="6"/>
        <v>0.39102052895842832</v>
      </c>
      <c r="I53" s="10">
        <f t="shared" si="7"/>
        <v>-4.8205289584283273E-3</v>
      </c>
      <c r="J53" s="10">
        <f t="shared" si="8"/>
        <v>2.3237499439046094E-5</v>
      </c>
      <c r="AB53" s="1">
        <f t="array" ref="AB53">MAX(IF($C$4:$C$200=MEDIAN($M$1-1,$M$1+1,C53),$D$4:$D$200,0))</f>
        <v>0.38619999999999999</v>
      </c>
      <c r="AC53" s="1">
        <f t="shared" si="9"/>
        <v>4.2999999999999705E-3</v>
      </c>
    </row>
    <row r="54" spans="2:29" x14ac:dyDescent="0.25">
      <c r="B54" s="1">
        <v>12.183999999999999</v>
      </c>
      <c r="C54" s="9">
        <v>99.89</v>
      </c>
      <c r="D54" s="1">
        <v>0.38190000000000002</v>
      </c>
      <c r="E54" s="9">
        <v>334.6</v>
      </c>
      <c r="F54" s="1">
        <f t="shared" si="5"/>
        <v>0.38190000000000002</v>
      </c>
      <c r="H54" s="10">
        <f t="shared" si="6"/>
        <v>0.3852185686606</v>
      </c>
      <c r="I54" s="10">
        <f t="shared" si="7"/>
        <v>-3.3185686605999853E-3</v>
      </c>
      <c r="J54" s="10">
        <f t="shared" si="8"/>
        <v>1.101289795511638E-5</v>
      </c>
      <c r="AB54" s="1">
        <f t="array" ref="AB54">MAX(IF($C$4:$C$200=MEDIAN($M$1-1,$M$1+1,C54),$D$4:$D$200,0))</f>
        <v>0.38619999999999999</v>
      </c>
      <c r="AC54" s="1">
        <f t="shared" si="9"/>
        <v>0</v>
      </c>
    </row>
    <row r="55" spans="2:29" x14ac:dyDescent="0.25">
      <c r="B55" s="1">
        <v>12.34</v>
      </c>
      <c r="C55" s="9">
        <v>99.98</v>
      </c>
      <c r="D55" s="1">
        <v>0.38190000000000002</v>
      </c>
      <c r="E55" s="9">
        <v>335.1</v>
      </c>
      <c r="F55" s="1">
        <f t="shared" si="5"/>
        <v>0.38190000000000002</v>
      </c>
      <c r="H55" s="10">
        <f t="shared" si="6"/>
        <v>0.38265692856245748</v>
      </c>
      <c r="I55" s="10">
        <f t="shared" si="7"/>
        <v>-7.5692856245745954E-4</v>
      </c>
      <c r="J55" s="10">
        <f t="shared" si="8"/>
        <v>5.7294084866391628E-7</v>
      </c>
      <c r="AB55" s="1">
        <f t="array" ref="AB55">MAX(IF($C$4:$C$200=MEDIAN($M$1-1,$M$1+1,C55),$D$4:$D$200,0))</f>
        <v>0.63109999999999999</v>
      </c>
      <c r="AC55" s="1">
        <f t="shared" si="9"/>
        <v>9.000000000000008E-3</v>
      </c>
    </row>
    <row r="56" spans="2:29" x14ac:dyDescent="0.25">
      <c r="B56" s="1">
        <v>12.52</v>
      </c>
      <c r="C56" s="9">
        <v>99.98</v>
      </c>
      <c r="D56" s="1">
        <v>0.37290000000000001</v>
      </c>
      <c r="E56" s="9">
        <v>335.1</v>
      </c>
      <c r="F56" s="1">
        <f t="shared" si="5"/>
        <v>0.37290000000000001</v>
      </c>
      <c r="H56" s="10">
        <f t="shared" si="6"/>
        <v>0.37987419691020419</v>
      </c>
      <c r="I56" s="10">
        <f t="shared" si="7"/>
        <v>-6.9741969102041779E-3</v>
      </c>
      <c r="J56" s="10">
        <f t="shared" si="8"/>
        <v>4.8639422542301502E-5</v>
      </c>
      <c r="AB56" s="1">
        <f t="array" ref="AB56">MAX(IF($C$4:$C$200=MEDIAN($M$1-1,$M$1+1,C56),$D$4:$D$200,0))</f>
        <v>0.63109999999999999</v>
      </c>
      <c r="AC56" s="1">
        <f t="shared" si="9"/>
        <v>0</v>
      </c>
    </row>
    <row r="57" spans="2:29" x14ac:dyDescent="0.25">
      <c r="B57" s="1">
        <v>12.788</v>
      </c>
      <c r="C57" s="9">
        <v>99.98</v>
      </c>
      <c r="D57" s="1">
        <v>0.37290000000000001</v>
      </c>
      <c r="E57" s="9">
        <v>335.1</v>
      </c>
      <c r="F57" s="1">
        <f t="shared" si="5"/>
        <v>0.37290000000000001</v>
      </c>
      <c r="H57" s="10">
        <f t="shared" si="6"/>
        <v>0.37605058042935902</v>
      </c>
      <c r="I57" s="10">
        <f t="shared" si="7"/>
        <v>-3.1505804293590067E-3</v>
      </c>
      <c r="J57" s="10">
        <f t="shared" si="8"/>
        <v>9.9261570418599827E-6</v>
      </c>
      <c r="AB57" s="1">
        <f t="array" ref="AB57">MAX(IF($C$4:$C$200=MEDIAN($M$1-1,$M$1+1,C57),$D$4:$D$200,0))</f>
        <v>0.63109999999999999</v>
      </c>
      <c r="AC57" s="1">
        <f t="shared" si="9"/>
        <v>7.5999999999999956E-3</v>
      </c>
    </row>
    <row r="58" spans="2:29" x14ac:dyDescent="0.25">
      <c r="B58" s="1">
        <v>13.064</v>
      </c>
      <c r="C58" s="9">
        <v>99.9</v>
      </c>
      <c r="D58" s="1">
        <v>0.36530000000000001</v>
      </c>
      <c r="E58" s="9">
        <v>334.6</v>
      </c>
      <c r="F58" s="1">
        <f t="shared" si="5"/>
        <v>0.36530000000000001</v>
      </c>
      <c r="H58" s="10">
        <f t="shared" si="6"/>
        <v>0.37247935036321733</v>
      </c>
      <c r="I58" s="10">
        <f t="shared" si="7"/>
        <v>-7.1793503632173183E-3</v>
      </c>
      <c r="J58" s="10">
        <f t="shared" si="8"/>
        <v>5.1543071637828642E-5</v>
      </c>
      <c r="AB58" s="1">
        <f t="array" ref="AB58">MAX(IF($C$4:$C$200=MEDIAN($M$1-1,$M$1+1,C58),$D$4:$D$200,0))</f>
        <v>0.43890000000000001</v>
      </c>
      <c r="AC58" s="1">
        <f t="shared" si="9"/>
        <v>1.5999999999999903E-3</v>
      </c>
    </row>
    <row r="59" spans="2:29" x14ac:dyDescent="0.25">
      <c r="B59" s="1">
        <v>13.288</v>
      </c>
      <c r="C59" s="9">
        <v>99.94</v>
      </c>
      <c r="D59" s="1">
        <v>0.3669</v>
      </c>
      <c r="E59" s="9">
        <v>334.6</v>
      </c>
      <c r="F59" s="1">
        <f t="shared" si="5"/>
        <v>0.3669</v>
      </c>
      <c r="H59" s="10">
        <f t="shared" si="6"/>
        <v>0.36983031461500904</v>
      </c>
      <c r="I59" s="10">
        <f t="shared" si="7"/>
        <v>-2.9303146150090331E-3</v>
      </c>
      <c r="J59" s="10">
        <f t="shared" si="8"/>
        <v>8.5867437429355385E-6</v>
      </c>
      <c r="AB59" s="1">
        <f t="array" ref="AB59">MAX(IF($C$4:$C$200=MEDIAN($M$1-1,$M$1+1,C59),$D$4:$D$200,0))</f>
        <v>1.3160000000000001</v>
      </c>
      <c r="AC59" s="1">
        <f t="shared" si="9"/>
        <v>8.5000000000000075E-3</v>
      </c>
    </row>
    <row r="60" spans="2:29" x14ac:dyDescent="0.25">
      <c r="B60" s="1">
        <v>13.472</v>
      </c>
      <c r="C60" s="9">
        <v>99.94</v>
      </c>
      <c r="D60" s="1">
        <v>0.37540000000000001</v>
      </c>
      <c r="E60" s="9">
        <v>334.6</v>
      </c>
      <c r="F60" s="1">
        <f t="shared" si="5"/>
        <v>0.37540000000000001</v>
      </c>
      <c r="H60" s="10">
        <f t="shared" si="6"/>
        <v>0.36780827902103086</v>
      </c>
      <c r="I60" s="10">
        <f t="shared" si="7"/>
        <v>7.591720978969152E-3</v>
      </c>
      <c r="J60" s="10">
        <f t="shared" si="8"/>
        <v>5.7634227422520341E-5</v>
      </c>
      <c r="AB60" s="1">
        <f t="array" ref="AB60">MAX(IF($C$4:$C$200=MEDIAN($M$1-1,$M$1+1,C60),$D$4:$D$200,0))</f>
        <v>1.3160000000000001</v>
      </c>
      <c r="AC60" s="1">
        <f t="shared" si="9"/>
        <v>0</v>
      </c>
    </row>
    <row r="61" spans="2:29" x14ac:dyDescent="0.25">
      <c r="B61" s="1">
        <v>13.624000000000001</v>
      </c>
      <c r="C61" s="9">
        <v>99.94</v>
      </c>
      <c r="D61" s="1">
        <v>0.37540000000000001</v>
      </c>
      <c r="E61" s="9">
        <v>334.6</v>
      </c>
      <c r="F61" s="1">
        <f t="shared" si="5"/>
        <v>0.37540000000000001</v>
      </c>
      <c r="H61" s="10">
        <f t="shared" si="6"/>
        <v>0.36623583236333079</v>
      </c>
      <c r="I61" s="10">
        <f t="shared" si="7"/>
        <v>9.1641676366692182E-3</v>
      </c>
      <c r="J61" s="10">
        <f t="shared" si="8"/>
        <v>8.3981968472975489E-5</v>
      </c>
      <c r="AB61" s="1">
        <f t="array" ref="AB61">MAX(IF($C$4:$C$200=MEDIAN($M$1-1,$M$1+1,C61),$D$4:$D$200,0))</f>
        <v>1.3160000000000001</v>
      </c>
      <c r="AC61" s="1">
        <f t="shared" si="9"/>
        <v>4.0000000000000036E-3</v>
      </c>
    </row>
    <row r="62" spans="2:29" x14ac:dyDescent="0.25">
      <c r="B62" s="1">
        <v>13.928000000000001</v>
      </c>
      <c r="C62" s="9">
        <v>99.77</v>
      </c>
      <c r="D62" s="9">
        <v>0.37940000000000002</v>
      </c>
      <c r="E62" s="9">
        <v>335.5</v>
      </c>
      <c r="F62" s="1">
        <f t="shared" si="5"/>
        <v>0.37940000000000002</v>
      </c>
      <c r="H62" s="10">
        <f t="shared" si="6"/>
        <v>0.36333720560780636</v>
      </c>
      <c r="I62" s="10">
        <f t="shared" si="7"/>
        <v>1.6062794392193658E-2</v>
      </c>
      <c r="J62" s="10">
        <f t="shared" si="8"/>
        <v>2.5801336368588802E-4</v>
      </c>
      <c r="AB62" s="1">
        <f t="array" ref="AB62">MAX(IF($C$4:$C$200=MEDIAN($M$1-1,$M$1+1,C62),$D$4:$D$200,0))</f>
        <v>0.37940000000000002</v>
      </c>
      <c r="AC62" s="1">
        <f t="shared" si="9"/>
        <v>7.0000000000000062E-3</v>
      </c>
    </row>
    <row r="63" spans="2:29" x14ac:dyDescent="0.25">
      <c r="B63" s="1">
        <v>14.327999999999999</v>
      </c>
      <c r="C63" s="9">
        <v>99.66</v>
      </c>
      <c r="D63" s="9">
        <v>0.37240000000000001</v>
      </c>
      <c r="E63" s="9">
        <v>335.7</v>
      </c>
      <c r="F63" s="1">
        <f t="shared" si="5"/>
        <v>0.37240000000000001</v>
      </c>
      <c r="H63" s="10">
        <f t="shared" si="6"/>
        <v>0.35997508765610009</v>
      </c>
      <c r="I63" s="10">
        <f t="shared" si="7"/>
        <v>1.2424912343899919E-2</v>
      </c>
      <c r="J63" s="10">
        <f t="shared" si="8"/>
        <v>1.5437844675359656E-4</v>
      </c>
      <c r="AB63" s="1">
        <f t="array" ref="AB63">MAX(IF($C$4:$C$200=MEDIAN($M$1-1,$M$1+1,C63),$D$4:$D$200,0))</f>
        <v>0.37240000000000001</v>
      </c>
      <c r="AC63" s="1">
        <f t="shared" si="9"/>
        <v>1.3300000000000034E-2</v>
      </c>
    </row>
    <row r="64" spans="2:29" x14ac:dyDescent="0.25">
      <c r="B64" s="1">
        <v>14.488</v>
      </c>
      <c r="C64" s="9">
        <v>99.66</v>
      </c>
      <c r="D64" s="9">
        <v>0.35909999999999997</v>
      </c>
      <c r="E64" s="9">
        <v>335.7</v>
      </c>
      <c r="F64" s="1">
        <f t="shared" si="5"/>
        <v>0.35909999999999997</v>
      </c>
      <c r="H64" s="10">
        <f t="shared" si="6"/>
        <v>0.35875982582849586</v>
      </c>
      <c r="I64" s="10">
        <f t="shared" si="7"/>
        <v>3.4017417150411511E-4</v>
      </c>
      <c r="J64" s="10">
        <f t="shared" si="8"/>
        <v>1.1571846695851111E-7</v>
      </c>
      <c r="AB64" s="1">
        <f t="array" ref="AB64">MAX(IF($C$4:$C$200=MEDIAN($M$1-1,$M$1+1,C64),$D$4:$D$200,0))</f>
        <v>0.37240000000000001</v>
      </c>
      <c r="AC64" s="1">
        <f t="shared" si="9"/>
        <v>7.9999999999999516E-3</v>
      </c>
    </row>
    <row r="65" spans="2:29" x14ac:dyDescent="0.25">
      <c r="B65" s="1">
        <v>14.667999999999999</v>
      </c>
      <c r="C65" s="9">
        <v>99.66</v>
      </c>
      <c r="D65" s="9">
        <v>0.35110000000000002</v>
      </c>
      <c r="E65" s="9">
        <v>335.7</v>
      </c>
      <c r="F65" s="1">
        <f t="shared" si="5"/>
        <v>0.35110000000000002</v>
      </c>
      <c r="H65" s="10">
        <f t="shared" si="6"/>
        <v>0.35747361349612294</v>
      </c>
      <c r="I65" s="10">
        <f t="shared" si="7"/>
        <v>-6.3736134961229207E-3</v>
      </c>
      <c r="J65" s="10">
        <f t="shared" si="8"/>
        <v>4.0622948997960237E-5</v>
      </c>
      <c r="AB65" s="1">
        <f t="array" ref="AB65">MAX(IF($C$4:$C$200=MEDIAN($M$1-1,$M$1+1,C65),$D$4:$D$200,0))</f>
        <v>0.37240000000000001</v>
      </c>
      <c r="AC65" s="1">
        <f t="shared" si="9"/>
        <v>6.5000000000000058E-3</v>
      </c>
    </row>
    <row r="66" spans="2:29" x14ac:dyDescent="0.25">
      <c r="B66" s="1">
        <v>14.984</v>
      </c>
      <c r="C66" s="9">
        <v>99.68</v>
      </c>
      <c r="D66" s="9">
        <v>0.34460000000000002</v>
      </c>
      <c r="E66" s="9">
        <v>334.8</v>
      </c>
      <c r="F66" s="1">
        <f t="shared" si="5"/>
        <v>0.34460000000000002</v>
      </c>
      <c r="H66" s="10">
        <f t="shared" si="6"/>
        <v>0.35540733607236508</v>
      </c>
      <c r="I66" s="10">
        <f t="shared" si="7"/>
        <v>-1.0807336072365059E-2</v>
      </c>
      <c r="J66" s="10">
        <f t="shared" si="8"/>
        <v>1.1679851298104302E-4</v>
      </c>
      <c r="AB66" s="1">
        <f t="array" ref="AB66">MAX(IF($C$4:$C$200=MEDIAN($M$1-1,$M$1+1,C66),$D$4:$D$200,0))</f>
        <v>0.34460000000000002</v>
      </c>
      <c r="AC66" s="1">
        <f t="shared" si="9"/>
        <v>1.2199999999999989E-2</v>
      </c>
    </row>
    <row r="67" spans="2:29" x14ac:dyDescent="0.25">
      <c r="B67" s="1">
        <v>15.288</v>
      </c>
      <c r="C67" s="9">
        <v>99.59</v>
      </c>
      <c r="D67" s="9">
        <v>0.35680000000000001</v>
      </c>
      <c r="E67" s="9">
        <v>334.8</v>
      </c>
      <c r="F67" s="1">
        <f t="shared" si="5"/>
        <v>0.35680000000000001</v>
      </c>
      <c r="H67" s="10">
        <f t="shared" si="6"/>
        <v>0.35362910760171484</v>
      </c>
      <c r="I67" s="10">
        <f t="shared" si="7"/>
        <v>3.1708923982851633E-3</v>
      </c>
      <c r="J67" s="10">
        <f t="shared" si="8"/>
        <v>1.0054558601502635E-5</v>
      </c>
      <c r="AB67" s="1">
        <f t="array" ref="AB67">MAX(IF($C$4:$C$200=MEDIAN($M$1-1,$M$1+1,C67),$D$4:$D$200,0))</f>
        <v>0.36709999999999998</v>
      </c>
      <c r="AC67" s="1">
        <f t="shared" si="9"/>
        <v>1.0299999999999976E-2</v>
      </c>
    </row>
    <row r="68" spans="2:29" x14ac:dyDescent="0.25">
      <c r="B68" s="1">
        <v>15.464</v>
      </c>
      <c r="C68" s="9">
        <v>99.59</v>
      </c>
      <c r="D68" s="9">
        <v>0.36709999999999998</v>
      </c>
      <c r="E68" s="9">
        <v>334.8</v>
      </c>
      <c r="F68" s="1">
        <f t="shared" ref="F68:F99" si="10">IF(C68=MEDIAN($M$1-1,$M$1+1,C68),IF(D68&lt;=AVERAGE($AB$3,AVERAGEIF($B$4:$B$200,"&gt;20",$D$4:$D$200)),D68,0),0)</f>
        <v>0.36709999999999998</v>
      </c>
      <c r="H68" s="10">
        <f t="shared" ref="H68:H99" si="11">IF(MATCH(F68,$F$4:$F$200,0)&gt;=MATCH(MAX($F$4:$F$200),$F$4:$F$200,0),$M$4+($M$5-$M$4)*(1-EXP(-B68/$M$6)),0)</f>
        <v>0.35268497008389099</v>
      </c>
      <c r="I68" s="10">
        <f t="shared" ref="I68:I99" si="12">IF(H68&gt;0,D68-H68,0)</f>
        <v>1.441502991610899E-2</v>
      </c>
      <c r="J68" s="10">
        <f t="shared" ref="J68:J99" si="13">I68^2</f>
        <v>2.0779308748231716E-4</v>
      </c>
      <c r="AB68" s="1">
        <f t="array" ref="AB68">MAX(IF($C$4:$C$200=MEDIAN($M$1-1,$M$1+1,C68),$D$4:$D$200,0))</f>
        <v>0.36709999999999998</v>
      </c>
      <c r="AC68" s="1">
        <f t="shared" ref="AC68:AC99" si="14">ABS(D68-D69)</f>
        <v>6.8000000000000282E-3</v>
      </c>
    </row>
    <row r="69" spans="2:29" x14ac:dyDescent="0.25">
      <c r="B69" s="1">
        <v>15.696</v>
      </c>
      <c r="C69" s="9">
        <v>99.74</v>
      </c>
      <c r="D69" s="9">
        <v>0.37390000000000001</v>
      </c>
      <c r="E69" s="9">
        <v>336.4</v>
      </c>
      <c r="F69" s="1">
        <f t="shared" si="10"/>
        <v>0.37390000000000001</v>
      </c>
      <c r="H69" s="10">
        <f t="shared" si="11"/>
        <v>0.35152823681659573</v>
      </c>
      <c r="I69" s="10">
        <f t="shared" si="12"/>
        <v>2.2371763183404281E-2</v>
      </c>
      <c r="J69" s="10">
        <f t="shared" si="13"/>
        <v>5.0049578793432325E-4</v>
      </c>
      <c r="AB69" s="1">
        <f t="array" ref="AB69">MAX(IF($C$4:$C$200=MEDIAN($M$1-1,$M$1+1,C69),$D$4:$D$200,0))</f>
        <v>2.2999999999999998</v>
      </c>
      <c r="AC69" s="1">
        <f t="shared" si="14"/>
        <v>5.9000000000000163E-3</v>
      </c>
    </row>
    <row r="70" spans="2:29" x14ac:dyDescent="0.25">
      <c r="B70" s="1">
        <v>15.988</v>
      </c>
      <c r="C70" s="9">
        <v>99.74</v>
      </c>
      <c r="D70" s="9">
        <v>0.36799999999999999</v>
      </c>
      <c r="E70" s="9">
        <v>336.4</v>
      </c>
      <c r="F70" s="1">
        <f t="shared" si="10"/>
        <v>0.36799999999999999</v>
      </c>
      <c r="H70" s="10">
        <f t="shared" si="11"/>
        <v>0.35020291636213585</v>
      </c>
      <c r="I70" s="10">
        <f t="shared" si="12"/>
        <v>1.7797083637864142E-2</v>
      </c>
      <c r="J70" s="10">
        <f t="shared" si="13"/>
        <v>3.1673618601313157E-4</v>
      </c>
      <c r="AB70" s="1">
        <f t="array" ref="AB70">MAX(IF($C$4:$C$200=MEDIAN($M$1-1,$M$1+1,C70),$D$4:$D$200,0))</f>
        <v>2.2999999999999998</v>
      </c>
      <c r="AC70" s="1">
        <f t="shared" si="14"/>
        <v>8.4000000000000186E-3</v>
      </c>
    </row>
    <row r="71" spans="2:29" x14ac:dyDescent="0.25">
      <c r="B71" s="1">
        <v>16.263999999999999</v>
      </c>
      <c r="C71" s="9">
        <v>99.7</v>
      </c>
      <c r="D71" s="9">
        <v>0.35959999999999998</v>
      </c>
      <c r="E71" s="9">
        <v>336.6</v>
      </c>
      <c r="F71" s="1">
        <f t="shared" si="10"/>
        <v>0.35959999999999998</v>
      </c>
      <c r="H71" s="10">
        <f t="shared" si="11"/>
        <v>0.34907178624732582</v>
      </c>
      <c r="I71" s="10">
        <f t="shared" si="12"/>
        <v>1.0528213752674154E-2</v>
      </c>
      <c r="J71" s="10">
        <f t="shared" si="13"/>
        <v>1.1084328482199719E-4</v>
      </c>
      <c r="Q71" s="1"/>
      <c r="V71" s="1"/>
      <c r="AB71" s="1">
        <f t="array" ref="AB71">MAX(IF($C$4:$C$200=MEDIAN($M$1-1,$M$1+1,C71),$D$4:$D$200,0))</f>
        <v>2.2599999999999998</v>
      </c>
      <c r="AC71" s="1">
        <f t="shared" si="14"/>
        <v>1.2299999999999978E-2</v>
      </c>
    </row>
    <row r="72" spans="2:29" x14ac:dyDescent="0.25">
      <c r="B72" s="1">
        <v>16.52</v>
      </c>
      <c r="C72" s="9">
        <v>99.7</v>
      </c>
      <c r="D72" s="9">
        <v>0.3473</v>
      </c>
      <c r="E72" s="9">
        <v>336.6</v>
      </c>
      <c r="F72" s="1">
        <f t="shared" si="10"/>
        <v>0.3473</v>
      </c>
      <c r="H72" s="10">
        <f t="shared" si="11"/>
        <v>0.34811830128290122</v>
      </c>
      <c r="I72" s="10">
        <f t="shared" si="12"/>
        <v>-8.1830128290122373E-4</v>
      </c>
      <c r="J72" s="10">
        <f t="shared" si="13"/>
        <v>6.6961698959778855E-7</v>
      </c>
      <c r="S72" s="15"/>
      <c r="T72" s="16"/>
      <c r="U72" s="15"/>
      <c r="V72" s="17"/>
      <c r="AB72" s="1">
        <f t="array" ref="AB72">MAX(IF($C$4:$C$200=MEDIAN($M$1-1,$M$1+1,C72),$D$4:$D$200,0))</f>
        <v>2.2599999999999998</v>
      </c>
      <c r="AC72" s="1">
        <f t="shared" si="14"/>
        <v>4.599999999999993E-3</v>
      </c>
    </row>
    <row r="73" spans="2:29" x14ac:dyDescent="0.25">
      <c r="B73" s="1">
        <v>16.776</v>
      </c>
      <c r="C73" s="9">
        <v>99.7</v>
      </c>
      <c r="D73" s="9">
        <v>0.3427</v>
      </c>
      <c r="E73" s="9">
        <v>335.4</v>
      </c>
      <c r="F73" s="1">
        <f t="shared" si="10"/>
        <v>0.3427</v>
      </c>
      <c r="H73" s="10">
        <f t="shared" si="11"/>
        <v>0.34724860136740521</v>
      </c>
      <c r="I73" s="10">
        <f t="shared" si="12"/>
        <v>-4.5486013674052028E-3</v>
      </c>
      <c r="J73" s="10">
        <f t="shared" si="13"/>
        <v>2.068977439956048E-5</v>
      </c>
      <c r="AB73" s="1">
        <f t="array" ref="AB73">MAX(IF($C$4:$C$200=MEDIAN($M$1-1,$M$1+1,C73),$D$4:$D$200,0))</f>
        <v>2.2599999999999998</v>
      </c>
      <c r="AC73" s="1">
        <f t="shared" si="14"/>
        <v>2.5000000000000022E-3</v>
      </c>
    </row>
    <row r="74" spans="2:29" x14ac:dyDescent="0.25">
      <c r="B74" s="1">
        <v>17.032</v>
      </c>
      <c r="C74" s="9">
        <v>99.7</v>
      </c>
      <c r="D74" s="9">
        <v>0.34520000000000001</v>
      </c>
      <c r="E74" s="9">
        <v>335.4</v>
      </c>
      <c r="F74" s="1">
        <f t="shared" si="10"/>
        <v>0.34520000000000001</v>
      </c>
      <c r="H74" s="10">
        <f t="shared" si="11"/>
        <v>0.34645532410427471</v>
      </c>
      <c r="I74" s="10">
        <f t="shared" si="12"/>
        <v>-1.2553241042747021E-3</v>
      </c>
      <c r="J74" s="10">
        <f t="shared" si="13"/>
        <v>1.575838606773083E-6</v>
      </c>
      <c r="AB74" s="1">
        <f t="array" ref="AB74">MAX(IF($C$4:$C$200=MEDIAN($M$1-1,$M$1+1,C74),$D$4:$D$200,0))</f>
        <v>2.2599999999999998</v>
      </c>
      <c r="AC74" s="1">
        <f t="shared" si="14"/>
        <v>9.299999999999975E-3</v>
      </c>
    </row>
    <row r="75" spans="2:29" x14ac:dyDescent="0.25">
      <c r="B75" s="1">
        <v>17.303999999999998</v>
      </c>
      <c r="C75" s="9">
        <v>99.84</v>
      </c>
      <c r="D75" s="9">
        <v>0.35449999999999998</v>
      </c>
      <c r="E75" s="9">
        <v>335.7</v>
      </c>
      <c r="F75" s="1">
        <f t="shared" si="10"/>
        <v>0.35449999999999998</v>
      </c>
      <c r="H75" s="10">
        <f t="shared" si="11"/>
        <v>0.34568870261105467</v>
      </c>
      <c r="I75" s="10">
        <f t="shared" si="12"/>
        <v>8.8112973889453161E-3</v>
      </c>
      <c r="J75" s="10">
        <f t="shared" si="13"/>
        <v>7.7638961676434548E-5</v>
      </c>
      <c r="AB75" s="1">
        <f t="array" ref="AB75">MAX(IF($C$4:$C$200=MEDIAN($M$1-1,$M$1+1,C75),$D$4:$D$200,0))</f>
        <v>0.36</v>
      </c>
      <c r="AC75" s="1">
        <f t="shared" si="14"/>
        <v>5.5000000000000049E-3</v>
      </c>
    </row>
    <row r="76" spans="2:29" x14ac:dyDescent="0.25">
      <c r="B76" s="1">
        <v>17.48</v>
      </c>
      <c r="C76" s="9">
        <v>99.84</v>
      </c>
      <c r="D76" s="9">
        <v>0.36</v>
      </c>
      <c r="E76" s="9">
        <v>335.7</v>
      </c>
      <c r="F76" s="1">
        <f t="shared" si="10"/>
        <v>0.36</v>
      </c>
      <c r="H76" s="10">
        <f t="shared" si="11"/>
        <v>0.34523111638897941</v>
      </c>
      <c r="I76" s="10">
        <f t="shared" si="12"/>
        <v>1.4768883611020578E-2</v>
      </c>
      <c r="J76" s="10">
        <f t="shared" si="13"/>
        <v>2.1811992311587222E-4</v>
      </c>
      <c r="AB76" s="1">
        <f t="array" ref="AB76">MAX(IF($C$4:$C$200=MEDIAN($M$1-1,$M$1+1,C76),$D$4:$D$200,0))</f>
        <v>0.36</v>
      </c>
      <c r="AC76" s="1">
        <f t="shared" si="14"/>
        <v>1.4000000000000123E-3</v>
      </c>
    </row>
    <row r="77" spans="2:29" x14ac:dyDescent="0.25">
      <c r="B77" s="1">
        <v>17.672000000000001</v>
      </c>
      <c r="C77" s="9">
        <v>99.87</v>
      </c>
      <c r="D77" s="9">
        <v>0.3614</v>
      </c>
      <c r="E77" s="9">
        <v>336.6</v>
      </c>
      <c r="F77" s="1">
        <f t="shared" si="10"/>
        <v>0.3614</v>
      </c>
      <c r="H77" s="10">
        <f t="shared" si="11"/>
        <v>0.34476384929316684</v>
      </c>
      <c r="I77" s="10">
        <f t="shared" si="12"/>
        <v>1.6636150706833164E-2</v>
      </c>
      <c r="J77" s="10">
        <f t="shared" si="13"/>
        <v>2.7676151034046557E-4</v>
      </c>
      <c r="AB77" s="1">
        <f t="array" ref="AB77">MAX(IF($C$4:$C$200=MEDIAN($M$1-1,$M$1+1,C77),$D$4:$D$200,0))</f>
        <v>0.42270000000000002</v>
      </c>
      <c r="AC77" s="1">
        <f t="shared" si="14"/>
        <v>5.0000000000000044E-4</v>
      </c>
    </row>
    <row r="78" spans="2:29" x14ac:dyDescent="0.25">
      <c r="B78" s="1">
        <v>17.96</v>
      </c>
      <c r="C78" s="9">
        <v>99.87</v>
      </c>
      <c r="D78" s="9">
        <v>0.3619</v>
      </c>
      <c r="E78" s="9">
        <v>336.6</v>
      </c>
      <c r="F78" s="1">
        <f t="shared" si="10"/>
        <v>0.3619</v>
      </c>
      <c r="H78" s="10">
        <f t="shared" si="11"/>
        <v>0.34412069350259777</v>
      </c>
      <c r="I78" s="10">
        <f t="shared" si="12"/>
        <v>1.7779306497402225E-2</v>
      </c>
      <c r="J78" s="10">
        <f t="shared" si="13"/>
        <v>3.16103739528569E-4</v>
      </c>
      <c r="AB78" s="1">
        <f t="array" ref="AB78">MAX(IF($C$4:$C$200=MEDIAN($M$1-1,$M$1+1,C78),$D$4:$D$200,0))</f>
        <v>0.42270000000000002</v>
      </c>
      <c r="AC78" s="1">
        <f t="shared" si="14"/>
        <v>6.7999999999999727E-3</v>
      </c>
    </row>
    <row r="79" spans="2:29" x14ac:dyDescent="0.25">
      <c r="B79" s="1">
        <v>18.216000000000001</v>
      </c>
      <c r="C79" s="9">
        <v>99.88</v>
      </c>
      <c r="D79" s="9">
        <v>0.35510000000000003</v>
      </c>
      <c r="E79" s="9">
        <v>336.7</v>
      </c>
      <c r="F79" s="1">
        <f t="shared" si="10"/>
        <v>0.35510000000000003</v>
      </c>
      <c r="H79" s="10">
        <f t="shared" si="11"/>
        <v>0.34360227313105218</v>
      </c>
      <c r="I79" s="10">
        <f t="shared" si="12"/>
        <v>1.1497726868947844E-2</v>
      </c>
      <c r="J79" s="10">
        <f t="shared" si="13"/>
        <v>1.321977231529252E-4</v>
      </c>
      <c r="AB79" s="1">
        <f t="array" ref="AB79">MAX(IF($C$4:$C$200=MEDIAN($M$1-1,$M$1+1,C79),$D$4:$D$200,0))</f>
        <v>0.35510000000000003</v>
      </c>
      <c r="AC79" s="1">
        <f t="shared" si="14"/>
        <v>0</v>
      </c>
    </row>
    <row r="80" spans="2:29" x14ac:dyDescent="0.25">
      <c r="B80" s="1">
        <v>18.38</v>
      </c>
      <c r="C80" s="9">
        <v>99.88</v>
      </c>
      <c r="D80" s="9">
        <v>0.35510000000000003</v>
      </c>
      <c r="E80" s="9">
        <v>336.7</v>
      </c>
      <c r="F80" s="1">
        <f t="shared" si="10"/>
        <v>0.35510000000000003</v>
      </c>
      <c r="H80" s="10">
        <f t="shared" si="11"/>
        <v>0.34329435959072718</v>
      </c>
      <c r="I80" s="10">
        <f t="shared" si="12"/>
        <v>1.1805640409272844E-2</v>
      </c>
      <c r="J80" s="10">
        <f t="shared" si="13"/>
        <v>1.3937314547305589E-4</v>
      </c>
      <c r="AB80" s="1">
        <f t="array" ref="AB80">MAX(IF($C$4:$C$200=MEDIAN($M$1-1,$M$1+1,C80),$D$4:$D$200,0))</f>
        <v>0.35510000000000003</v>
      </c>
      <c r="AC80" s="1">
        <f t="shared" si="14"/>
        <v>1.2200000000000044E-2</v>
      </c>
    </row>
    <row r="81" spans="2:29" x14ac:dyDescent="0.25">
      <c r="B81" s="1">
        <v>18.564</v>
      </c>
      <c r="C81" s="9">
        <v>99.94</v>
      </c>
      <c r="D81" s="9">
        <v>0.34289999999999998</v>
      </c>
      <c r="E81" s="9">
        <v>336.4</v>
      </c>
      <c r="F81" s="1">
        <f t="shared" si="10"/>
        <v>0.34289999999999998</v>
      </c>
      <c r="H81" s="10">
        <f t="shared" si="11"/>
        <v>0.34296981879657418</v>
      </c>
      <c r="I81" s="10">
        <f t="shared" si="12"/>
        <v>-6.9818796574194764E-5</v>
      </c>
      <c r="J81" s="10">
        <f t="shared" si="13"/>
        <v>4.8746643550687903E-9</v>
      </c>
      <c r="AB81" s="1">
        <f t="array" ref="AB81">MAX(IF($C$4:$C$200=MEDIAN($M$1-1,$M$1+1,C81),$D$4:$D$200,0))</f>
        <v>1.3160000000000001</v>
      </c>
      <c r="AC81" s="1">
        <f t="shared" si="14"/>
        <v>5.6999999999999829E-3</v>
      </c>
    </row>
    <row r="82" spans="2:29" x14ac:dyDescent="0.25">
      <c r="B82" s="1">
        <v>18.856000000000002</v>
      </c>
      <c r="C82" s="9">
        <v>99.94</v>
      </c>
      <c r="D82" s="9">
        <v>0.3372</v>
      </c>
      <c r="E82" s="9">
        <v>336.4</v>
      </c>
      <c r="F82" s="1">
        <f t="shared" si="10"/>
        <v>0.3372</v>
      </c>
      <c r="H82" s="10">
        <f t="shared" si="11"/>
        <v>0.34249686517246136</v>
      </c>
      <c r="I82" s="10">
        <f t="shared" si="12"/>
        <v>-5.2968651724613625E-3</v>
      </c>
      <c r="J82" s="10">
        <f t="shared" si="13"/>
        <v>2.8056780655234138E-5</v>
      </c>
      <c r="AB82" s="1">
        <f t="array" ref="AB82">MAX(IF($C$4:$C$200=MEDIAN($M$1-1,$M$1+1,C82),$D$4:$D$200,0))</f>
        <v>1.3160000000000001</v>
      </c>
      <c r="AC82" s="1">
        <f t="shared" si="14"/>
        <v>8.4000000000000186E-3</v>
      </c>
    </row>
    <row r="83" spans="2:29" x14ac:dyDescent="0.25">
      <c r="B83" s="1">
        <v>19.148</v>
      </c>
      <c r="C83" s="9">
        <v>99.96</v>
      </c>
      <c r="D83" s="9">
        <v>0.34560000000000002</v>
      </c>
      <c r="E83" s="9">
        <v>337.4</v>
      </c>
      <c r="F83" s="1">
        <f t="shared" si="10"/>
        <v>0.34560000000000002</v>
      </c>
      <c r="H83" s="10">
        <f t="shared" si="11"/>
        <v>0.34207101487755498</v>
      </c>
      <c r="I83" s="10">
        <f t="shared" si="12"/>
        <v>3.5289851224450386E-3</v>
      </c>
      <c r="J83" s="10">
        <f t="shared" si="13"/>
        <v>1.2453735994438423E-5</v>
      </c>
      <c r="AB83" s="1">
        <f t="array" ref="AB83">MAX(IF($C$4:$C$200=MEDIAN($M$1-1,$M$1+1,C83),$D$4:$D$200,0))</f>
        <v>0.94969999999999999</v>
      </c>
      <c r="AC83" s="1">
        <f t="shared" si="14"/>
        <v>0</v>
      </c>
    </row>
    <row r="84" spans="2:29" x14ac:dyDescent="0.25">
      <c r="B84" s="1">
        <v>19.356000000000002</v>
      </c>
      <c r="C84" s="9">
        <v>99.96</v>
      </c>
      <c r="D84" s="9">
        <v>0.34560000000000002</v>
      </c>
      <c r="E84" s="9">
        <v>337.4</v>
      </c>
      <c r="F84" s="1">
        <f t="shared" si="10"/>
        <v>0.34560000000000002</v>
      </c>
      <c r="H84" s="10">
        <f t="shared" si="11"/>
        <v>0.34179379068846627</v>
      </c>
      <c r="I84" s="10">
        <f t="shared" si="12"/>
        <v>3.8062093115337481E-3</v>
      </c>
      <c r="J84" s="10">
        <f t="shared" si="13"/>
        <v>1.4487229323206209E-5</v>
      </c>
      <c r="AB84" s="1">
        <f t="array" ref="AB84">MAX(IF($C$4:$C$200=MEDIAN($M$1-1,$M$1+1,C84),$D$4:$D$200,0))</f>
        <v>0.94969999999999999</v>
      </c>
      <c r="AC84" s="1">
        <f t="shared" si="14"/>
        <v>6.0000000000004494E-4</v>
      </c>
    </row>
    <row r="85" spans="2:29" x14ac:dyDescent="0.25">
      <c r="B85" s="1">
        <v>19.52</v>
      </c>
      <c r="C85" s="9">
        <v>99.77</v>
      </c>
      <c r="D85" s="9">
        <v>0.34499999999999997</v>
      </c>
      <c r="E85" s="9">
        <v>338.2</v>
      </c>
      <c r="F85" s="1">
        <f t="shared" si="10"/>
        <v>0.34499999999999997</v>
      </c>
      <c r="H85" s="10">
        <f t="shared" si="11"/>
        <v>0.34158935755432696</v>
      </c>
      <c r="I85" s="10">
        <f t="shared" si="12"/>
        <v>3.4106424456730178E-3</v>
      </c>
      <c r="J85" s="10">
        <f t="shared" si="13"/>
        <v>1.1632481892226425E-5</v>
      </c>
      <c r="AB85" s="1">
        <f t="array" ref="AB85">MAX(IF($C$4:$C$200=MEDIAN($M$1-1,$M$1+1,C85),$D$4:$D$200,0))</f>
        <v>0.37940000000000002</v>
      </c>
      <c r="AC85" s="1">
        <f t="shared" si="14"/>
        <v>3.9999999999995595E-4</v>
      </c>
    </row>
    <row r="86" spans="2:29" x14ac:dyDescent="0.25">
      <c r="B86" s="1">
        <v>19.78</v>
      </c>
      <c r="C86" s="9">
        <v>99.77</v>
      </c>
      <c r="D86" s="9">
        <v>0.34460000000000002</v>
      </c>
      <c r="E86" s="9">
        <v>338.2</v>
      </c>
      <c r="F86" s="1">
        <f t="shared" si="10"/>
        <v>0.34460000000000002</v>
      </c>
      <c r="H86" s="10">
        <f t="shared" si="11"/>
        <v>0.34128895966286787</v>
      </c>
      <c r="I86" s="10">
        <f t="shared" si="12"/>
        <v>3.3110403371321429E-3</v>
      </c>
      <c r="J86" s="10">
        <f t="shared" si="13"/>
        <v>1.0962988114116135E-5</v>
      </c>
      <c r="S86" s="13"/>
      <c r="T86" s="14"/>
      <c r="U86" s="13"/>
      <c r="V86" s="18"/>
      <c r="AB86" s="1">
        <f t="array" ref="AB86">MAX(IF($C$4:$C$200=MEDIAN($M$1-1,$M$1+1,C86),$D$4:$D$200,0))</f>
        <v>0.37940000000000002</v>
      </c>
      <c r="AC86" s="1">
        <f t="shared" si="14"/>
        <v>1.5900000000000025E-2</v>
      </c>
    </row>
    <row r="87" spans="2:29" x14ac:dyDescent="0.25">
      <c r="B87" s="1">
        <v>20.059999999999999</v>
      </c>
      <c r="C87" s="9">
        <v>99.85</v>
      </c>
      <c r="D87" s="9">
        <v>0.32869999999999999</v>
      </c>
      <c r="E87" s="9">
        <v>337.9</v>
      </c>
      <c r="F87" s="1">
        <f t="shared" si="10"/>
        <v>0.32869999999999999</v>
      </c>
      <c r="H87" s="10">
        <f t="shared" si="11"/>
        <v>0.34099534488890582</v>
      </c>
      <c r="I87" s="10">
        <f t="shared" si="12"/>
        <v>-1.2295344888905824E-2</v>
      </c>
      <c r="J87" s="10">
        <f t="shared" si="13"/>
        <v>1.5117550593714255E-4</v>
      </c>
      <c r="AB87" s="1">
        <f t="array" ref="AB87">MAX(IF($C$4:$C$200=MEDIAN($M$1-1,$M$1+1,C87),$D$4:$D$200,0))</f>
        <v>0.41249999999999998</v>
      </c>
      <c r="AC87" s="1">
        <f t="shared" si="14"/>
        <v>8.0000000000000071E-3</v>
      </c>
    </row>
    <row r="88" spans="2:29" x14ac:dyDescent="0.25">
      <c r="B88" s="1">
        <v>20.295999999999999</v>
      </c>
      <c r="C88" s="9">
        <v>99.85</v>
      </c>
      <c r="D88" s="9">
        <v>0.32069999999999999</v>
      </c>
      <c r="E88" s="9">
        <v>337.9</v>
      </c>
      <c r="F88" s="1">
        <f t="shared" si="10"/>
        <v>0.32069999999999999</v>
      </c>
      <c r="H88" s="10">
        <f t="shared" si="11"/>
        <v>0.34076980551805836</v>
      </c>
      <c r="I88" s="10">
        <f t="shared" si="12"/>
        <v>-2.006980551805837E-2</v>
      </c>
      <c r="J88" s="10">
        <f t="shared" si="13"/>
        <v>4.0279709353268619E-4</v>
      </c>
      <c r="T88" s="1"/>
      <c r="AB88" s="1">
        <f t="array" ref="AB88">MAX(IF($C$4:$C$200=MEDIAN($M$1-1,$M$1+1,C88),$D$4:$D$200,0))</f>
        <v>0.41249999999999998</v>
      </c>
      <c r="AC88" s="1">
        <f t="shared" si="14"/>
        <v>6.5000000000000058E-3</v>
      </c>
    </row>
    <row r="89" spans="2:29" x14ac:dyDescent="0.25">
      <c r="B89" s="1">
        <v>20.48</v>
      </c>
      <c r="C89" s="9">
        <v>99.84</v>
      </c>
      <c r="D89" s="9">
        <v>0.31419999999999998</v>
      </c>
      <c r="E89" s="9">
        <v>336.5</v>
      </c>
      <c r="F89" s="1">
        <f t="shared" si="10"/>
        <v>0.31419999999999998</v>
      </c>
      <c r="H89" s="10">
        <f t="shared" si="11"/>
        <v>0.34060675947343722</v>
      </c>
      <c r="I89" s="10">
        <f t="shared" si="12"/>
        <v>-2.6406759473437236E-2</v>
      </c>
      <c r="J89" s="10">
        <f t="shared" si="13"/>
        <v>6.9731694588796714E-4</v>
      </c>
      <c r="AB89" s="1">
        <f t="array" ref="AB89">MAX(IF($C$4:$C$200=MEDIAN($M$1-1,$M$1+1,C89),$D$4:$D$200,0))</f>
        <v>0.36</v>
      </c>
      <c r="AC89" s="1">
        <f t="shared" si="14"/>
        <v>2.3000000000000242E-3</v>
      </c>
    </row>
    <row r="90" spans="2:29" x14ac:dyDescent="0.25">
      <c r="B90" s="1">
        <v>20.7</v>
      </c>
      <c r="C90" s="9">
        <v>99.84</v>
      </c>
      <c r="D90" s="9">
        <v>0.3165</v>
      </c>
      <c r="E90" s="9">
        <v>336.5</v>
      </c>
      <c r="F90" s="1">
        <f t="shared" si="10"/>
        <v>0.3165</v>
      </c>
      <c r="H90" s="10">
        <f t="shared" si="11"/>
        <v>0.34042544584478929</v>
      </c>
      <c r="I90" s="10">
        <f t="shared" si="12"/>
        <v>-2.3925445844789284E-2</v>
      </c>
      <c r="J90" s="10">
        <f t="shared" si="13"/>
        <v>5.7242695887194486E-4</v>
      </c>
      <c r="AB90" s="1">
        <f t="array" ref="AB90">MAX(IF($C$4:$C$200=MEDIAN($M$1-1,$M$1+1,C90),$D$4:$D$200,0))</f>
        <v>0.36</v>
      </c>
      <c r="AC90" s="1">
        <f t="shared" si="14"/>
        <v>1.2900000000000023E-2</v>
      </c>
    </row>
    <row r="91" spans="2:29" x14ac:dyDescent="0.25">
      <c r="B91" s="1">
        <v>21.02</v>
      </c>
      <c r="C91" s="9">
        <v>99.87</v>
      </c>
      <c r="D91" s="9">
        <v>0.32940000000000003</v>
      </c>
      <c r="E91" s="9">
        <v>337.6</v>
      </c>
      <c r="F91" s="1">
        <f t="shared" si="10"/>
        <v>0.32940000000000003</v>
      </c>
      <c r="H91" s="10">
        <f t="shared" si="11"/>
        <v>0.34018602884817017</v>
      </c>
      <c r="I91" s="10">
        <f t="shared" si="12"/>
        <v>-1.0786028848170148E-2</v>
      </c>
      <c r="J91" s="10">
        <f t="shared" si="13"/>
        <v>1.1633841831355866E-4</v>
      </c>
      <c r="AB91" s="1">
        <f t="array" ref="AB91">MAX(IF($C$4:$C$200=MEDIAN($M$1-1,$M$1+1,C91),$D$4:$D$200,0))</f>
        <v>0.42270000000000002</v>
      </c>
      <c r="AC91" s="1">
        <f t="shared" si="14"/>
        <v>4.9999999999999489E-3</v>
      </c>
    </row>
    <row r="92" spans="2:29" x14ac:dyDescent="0.25">
      <c r="B92" s="1">
        <v>21.276</v>
      </c>
      <c r="C92" s="9">
        <v>99.87</v>
      </c>
      <c r="D92" s="9">
        <v>0.33439999999999998</v>
      </c>
      <c r="E92" s="9">
        <v>337.6</v>
      </c>
      <c r="F92" s="1">
        <f t="shared" si="10"/>
        <v>0.33439999999999998</v>
      </c>
      <c r="H92" s="10">
        <f t="shared" si="11"/>
        <v>0.34001335705461599</v>
      </c>
      <c r="I92" s="10">
        <f t="shared" si="12"/>
        <v>-5.6133570546160194E-3</v>
      </c>
      <c r="J92" s="10">
        <f t="shared" si="13"/>
        <v>3.1509777422607436E-5</v>
      </c>
      <c r="AB92" s="1">
        <f t="array" ref="AB92">MAX(IF($C$4:$C$200=MEDIAN($M$1-1,$M$1+1,C92),$D$4:$D$200,0))</f>
        <v>0.42270000000000002</v>
      </c>
      <c r="AC92" s="1">
        <f t="shared" si="14"/>
        <v>5.5000000000000049E-3</v>
      </c>
    </row>
    <row r="93" spans="2:29" x14ac:dyDescent="0.25">
      <c r="B93" s="1">
        <v>21.44</v>
      </c>
      <c r="C93" s="9">
        <v>99.97</v>
      </c>
      <c r="D93" s="9">
        <v>0.33989999999999998</v>
      </c>
      <c r="E93" s="9">
        <v>339.5</v>
      </c>
      <c r="F93" s="1">
        <f t="shared" si="10"/>
        <v>0.33989999999999998</v>
      </c>
      <c r="H93" s="10">
        <f t="shared" si="11"/>
        <v>0.33991079938870339</v>
      </c>
      <c r="I93" s="10">
        <f t="shared" si="12"/>
        <v>-1.0799388703408574E-5</v>
      </c>
      <c r="J93" s="10">
        <f t="shared" si="13"/>
        <v>1.1662679636730872E-10</v>
      </c>
      <c r="AB93" s="1">
        <f t="array" ref="AB93">MAX(IF($C$4:$C$200=MEDIAN($M$1-1,$M$1+1,C93),$D$4:$D$200,0))</f>
        <v>0.33989999999999998</v>
      </c>
      <c r="AC93" s="1">
        <f t="shared" si="14"/>
        <v>4.0000000000000036E-3</v>
      </c>
    </row>
    <row r="94" spans="2:29" x14ac:dyDescent="0.25">
      <c r="B94" s="1">
        <v>21.664000000000001</v>
      </c>
      <c r="C94" s="9">
        <v>99.97</v>
      </c>
      <c r="D94" s="9">
        <v>0.33589999999999998</v>
      </c>
      <c r="E94" s="9">
        <v>339.5</v>
      </c>
      <c r="F94" s="1">
        <f t="shared" si="10"/>
        <v>0.33589999999999998</v>
      </c>
      <c r="H94" s="10">
        <f t="shared" si="11"/>
        <v>0.33978013528613271</v>
      </c>
      <c r="I94" s="10">
        <f t="shared" si="12"/>
        <v>-3.8801352861327354E-3</v>
      </c>
      <c r="J94" s="10">
        <f t="shared" si="13"/>
        <v>1.5055449838692365E-5</v>
      </c>
      <c r="AB94" s="1">
        <f t="array" ref="AB94">MAX(IF($C$4:$C$200=MEDIAN($M$1-1,$M$1+1,C94),$D$4:$D$200,0))</f>
        <v>0.33989999999999998</v>
      </c>
      <c r="AC94" s="1">
        <f t="shared" si="14"/>
        <v>1.2999999999999678E-3</v>
      </c>
    </row>
    <row r="95" spans="2:29" x14ac:dyDescent="0.25">
      <c r="B95" s="1">
        <v>21.98</v>
      </c>
      <c r="C95" s="9">
        <v>99.9</v>
      </c>
      <c r="D95" s="9">
        <v>0.33460000000000001</v>
      </c>
      <c r="E95" s="9">
        <v>339.6</v>
      </c>
      <c r="F95" s="1">
        <f t="shared" si="10"/>
        <v>0.33460000000000001</v>
      </c>
      <c r="H95" s="10">
        <f t="shared" si="11"/>
        <v>0.33961280193958787</v>
      </c>
      <c r="I95" s="10">
        <f t="shared" si="12"/>
        <v>-5.0128019395878631E-3</v>
      </c>
      <c r="J95" s="10">
        <f t="shared" si="13"/>
        <v>2.5128183285535841E-5</v>
      </c>
      <c r="AB95" s="1">
        <f t="array" ref="AB95">MAX(IF($C$4:$C$200=MEDIAN($M$1-1,$M$1+1,C95),$D$4:$D$200,0))</f>
        <v>0.43890000000000001</v>
      </c>
      <c r="AC95" s="1">
        <f t="shared" si="14"/>
        <v>1.9000000000000128E-3</v>
      </c>
    </row>
    <row r="96" spans="2:29" x14ac:dyDescent="0.25">
      <c r="B96" s="1">
        <v>22.22</v>
      </c>
      <c r="C96" s="9">
        <v>99.9</v>
      </c>
      <c r="D96" s="9">
        <v>0.3327</v>
      </c>
      <c r="E96" s="9">
        <v>339.6</v>
      </c>
      <c r="F96" s="1">
        <f t="shared" si="10"/>
        <v>0.3327</v>
      </c>
      <c r="H96" s="10">
        <f t="shared" si="11"/>
        <v>0.33949781968347148</v>
      </c>
      <c r="I96" s="10">
        <f t="shared" si="12"/>
        <v>-6.7978196834714844E-3</v>
      </c>
      <c r="J96" s="10">
        <f t="shared" si="13"/>
        <v>4.6210352448992354E-5</v>
      </c>
      <c r="AB96" s="1">
        <f t="array" ref="AB96">MAX(IF($C$4:$C$200=MEDIAN($M$1-1,$M$1+1,C96),$D$4:$D$200,0))</f>
        <v>0.43890000000000001</v>
      </c>
      <c r="AC96" s="1">
        <f t="shared" si="14"/>
        <v>1.1999999999999789E-3</v>
      </c>
    </row>
    <row r="97" spans="2:29" x14ac:dyDescent="0.25">
      <c r="B97" s="1">
        <v>22.396000000000001</v>
      </c>
      <c r="C97" s="9">
        <v>99.9</v>
      </c>
      <c r="D97" s="9">
        <v>0.33150000000000002</v>
      </c>
      <c r="E97" s="9">
        <v>339.6</v>
      </c>
      <c r="F97" s="1">
        <f t="shared" si="10"/>
        <v>0.33150000000000002</v>
      </c>
      <c r="H97" s="10">
        <f t="shared" si="11"/>
        <v>0.33941958213615342</v>
      </c>
      <c r="I97" s="10">
        <f t="shared" si="12"/>
        <v>-7.9195821361534025E-3</v>
      </c>
      <c r="J97" s="10">
        <f t="shared" si="13"/>
        <v>6.2719781211280094E-5</v>
      </c>
      <c r="AB97" s="1">
        <f t="array" ref="AB97">MAX(IF($C$4:$C$200=MEDIAN($M$1-1,$M$1+1,C97),$D$4:$D$200,0))</f>
        <v>0.43890000000000001</v>
      </c>
      <c r="AC97" s="1">
        <f t="shared" si="14"/>
        <v>0</v>
      </c>
    </row>
    <row r="98" spans="2:29" x14ac:dyDescent="0.25">
      <c r="B98" s="1">
        <v>22.556000000000001</v>
      </c>
      <c r="C98" s="9">
        <v>99.83</v>
      </c>
      <c r="D98" s="9">
        <v>0.33150000000000002</v>
      </c>
      <c r="E98" s="9">
        <v>339.2</v>
      </c>
      <c r="F98" s="1">
        <f t="shared" si="10"/>
        <v>0.33150000000000002</v>
      </c>
      <c r="H98" s="10">
        <f t="shared" si="11"/>
        <v>0.33935262506334363</v>
      </c>
      <c r="I98" s="10">
        <f t="shared" si="12"/>
        <v>-7.8526250633436101E-3</v>
      </c>
      <c r="J98" s="10">
        <f t="shared" si="13"/>
        <v>6.1663720385452241E-5</v>
      </c>
      <c r="AB98" s="1">
        <f t="array" ref="AB98">MAX(IF($C$4:$C$200=MEDIAN($M$1-1,$M$1+1,C98),$D$4:$D$200,0))</f>
        <v>0.34939999999999999</v>
      </c>
      <c r="AC98" s="1">
        <f t="shared" si="14"/>
        <v>1.2999999999999956E-2</v>
      </c>
    </row>
    <row r="99" spans="2:29" x14ac:dyDescent="0.25">
      <c r="B99" s="1">
        <v>22.844000000000001</v>
      </c>
      <c r="C99" s="9">
        <v>99.83</v>
      </c>
      <c r="D99" s="9">
        <v>0.34449999999999997</v>
      </c>
      <c r="E99" s="9">
        <v>339.2</v>
      </c>
      <c r="F99" s="1">
        <f t="shared" si="10"/>
        <v>0.34449999999999997</v>
      </c>
      <c r="H99" s="10">
        <f t="shared" si="11"/>
        <v>0.33924138748526866</v>
      </c>
      <c r="I99" s="10">
        <f t="shared" si="12"/>
        <v>5.258612514731309E-3</v>
      </c>
      <c r="J99" s="10">
        <f t="shared" si="13"/>
        <v>2.765300558008874E-5</v>
      </c>
      <c r="AB99" s="1">
        <f t="array" ref="AB99">MAX(IF($C$4:$C$200=MEDIAN($M$1-1,$M$1+1,C99),$D$4:$D$200,0))</f>
        <v>0.34939999999999999</v>
      </c>
      <c r="AC99" s="1">
        <f t="shared" si="14"/>
        <v>9.8000000000000309E-3</v>
      </c>
    </row>
    <row r="100" spans="2:29" x14ac:dyDescent="0.25">
      <c r="B100" s="1">
        <v>23.123999999999999</v>
      </c>
      <c r="C100" s="9">
        <v>99.92</v>
      </c>
      <c r="D100" s="9">
        <v>0.3543</v>
      </c>
      <c r="E100" s="9">
        <v>339.4</v>
      </c>
      <c r="F100" s="1">
        <f t="shared" ref="F100:F131" si="15">IF(C100=MEDIAN($M$1-1,$M$1+1,C100),IF(D100&lt;=AVERAGE($AB$3,AVERAGEIF($B$4:$B$200,"&gt;20",$D$4:$D$200)),D100,0),0)</f>
        <v>0.3543</v>
      </c>
      <c r="H100" s="10">
        <f t="shared" ref="H100:H131" si="16">IF(MATCH(F100,$F$4:$F$200,0)&gt;=MATCH(MAX($F$4:$F$200),$F$4:$F$200,0),$M$4+($M$5-$M$4)*(1-EXP(-B100/$M$6)),0)</f>
        <v>0.33914373279342191</v>
      </c>
      <c r="I100" s="10">
        <f t="shared" ref="I100:I131" si="17">IF(H100&gt;0,D100-H100,0)</f>
        <v>1.5156267206578089E-2</v>
      </c>
      <c r="J100" s="10">
        <f t="shared" ref="J100:J131" si="18">I100^2</f>
        <v>2.2971243563719439E-4</v>
      </c>
      <c r="AB100" s="1">
        <f t="array" ref="AB100">MAX(IF($C$4:$C$200=MEDIAN($M$1-1,$M$1+1,C100),$D$4:$D$200,0))</f>
        <v>0.3543</v>
      </c>
      <c r="AC100" s="1">
        <f t="shared" ref="AC100:AC131" si="19">ABS(D100-D101)</f>
        <v>0</v>
      </c>
    </row>
    <row r="101" spans="2:29" x14ac:dyDescent="0.25">
      <c r="B101" s="1">
        <v>23.327999999999999</v>
      </c>
      <c r="C101" s="9">
        <v>99.92</v>
      </c>
      <c r="D101" s="9">
        <v>0.3543</v>
      </c>
      <c r="E101" s="9">
        <v>339.4</v>
      </c>
      <c r="F101" s="1">
        <f t="shared" si="15"/>
        <v>0.3543</v>
      </c>
      <c r="H101" s="10">
        <f t="shared" si="16"/>
        <v>0.33907852201563315</v>
      </c>
      <c r="I101" s="10">
        <f t="shared" si="17"/>
        <v>1.5221477984366849E-2</v>
      </c>
      <c r="J101" s="10">
        <f t="shared" si="18"/>
        <v>2.3169339202856469E-4</v>
      </c>
      <c r="AB101" s="1">
        <f t="array" ref="AB101">MAX(IF($C$4:$C$200=MEDIAN($M$1-1,$M$1+1,C101),$D$4:$D$200,0))</f>
        <v>0.3543</v>
      </c>
      <c r="AC101" s="1">
        <f t="shared" si="19"/>
        <v>7.4000000000000177E-3</v>
      </c>
    </row>
    <row r="102" spans="2:29" x14ac:dyDescent="0.25">
      <c r="B102" s="1">
        <v>23.52</v>
      </c>
      <c r="C102" s="9">
        <v>99.86</v>
      </c>
      <c r="D102" s="9">
        <v>0.34689999999999999</v>
      </c>
      <c r="E102" s="9">
        <v>340.2</v>
      </c>
      <c r="F102" s="1">
        <f t="shared" si="15"/>
        <v>0.34689999999999999</v>
      </c>
      <c r="H102" s="10">
        <f t="shared" si="16"/>
        <v>0.33902136298835428</v>
      </c>
      <c r="I102" s="10">
        <f t="shared" si="17"/>
        <v>7.8786370116457061E-3</v>
      </c>
      <c r="J102" s="10">
        <f t="shared" si="18"/>
        <v>6.2072921161273586E-5</v>
      </c>
      <c r="AB102" s="1">
        <f t="array" ref="AB102">MAX(IF($C$4:$C$200=MEDIAN($M$1-1,$M$1+1,C102),$D$4:$D$200,0))</f>
        <v>0.34939999999999999</v>
      </c>
      <c r="AC102" s="1">
        <f t="shared" si="19"/>
        <v>1.9000000000000128E-3</v>
      </c>
    </row>
    <row r="103" spans="2:29" x14ac:dyDescent="0.25">
      <c r="B103" s="1">
        <v>23.744</v>
      </c>
      <c r="C103" s="9">
        <v>99.86</v>
      </c>
      <c r="D103" s="9">
        <v>0.34499999999999997</v>
      </c>
      <c r="E103" s="9">
        <v>340.2</v>
      </c>
      <c r="F103" s="1">
        <f t="shared" si="15"/>
        <v>0.34499999999999997</v>
      </c>
      <c r="H103" s="10">
        <f t="shared" si="16"/>
        <v>0.33895947478597588</v>
      </c>
      <c r="I103" s="10">
        <f t="shared" si="17"/>
        <v>6.040525214024095E-3</v>
      </c>
      <c r="J103" s="10">
        <f t="shared" si="18"/>
        <v>3.6487944861260838E-5</v>
      </c>
      <c r="AB103" s="1">
        <f t="array" ref="AB103">MAX(IF($C$4:$C$200=MEDIAN($M$1-1,$M$1+1,C103),$D$4:$D$200,0))</f>
        <v>0.34939999999999999</v>
      </c>
      <c r="AC103" s="1">
        <f t="shared" si="19"/>
        <v>3.3999999999999586E-3</v>
      </c>
    </row>
    <row r="104" spans="2:29" x14ac:dyDescent="0.25">
      <c r="B104" s="1">
        <v>24.044</v>
      </c>
      <c r="C104" s="9">
        <v>99.86</v>
      </c>
      <c r="D104" s="9">
        <v>0.34160000000000001</v>
      </c>
      <c r="E104" s="9">
        <v>340.4</v>
      </c>
      <c r="F104" s="1">
        <f t="shared" si="15"/>
        <v>0.34160000000000001</v>
      </c>
      <c r="H104" s="10">
        <f t="shared" si="16"/>
        <v>0.3388840188356399</v>
      </c>
      <c r="I104" s="10">
        <f t="shared" si="17"/>
        <v>2.7159811643601151E-3</v>
      </c>
      <c r="J104" s="10">
        <f t="shared" si="18"/>
        <v>7.3765536851589265E-6</v>
      </c>
      <c r="AB104" s="1">
        <f t="array" ref="AB104">MAX(IF($C$4:$C$200=MEDIAN($M$1-1,$M$1+1,C104),$D$4:$D$200,0))</f>
        <v>0.34939999999999999</v>
      </c>
      <c r="AC104" s="1">
        <f t="shared" si="19"/>
        <v>2.2999999999999687E-3</v>
      </c>
    </row>
    <row r="105" spans="2:29" x14ac:dyDescent="0.25">
      <c r="B105" s="1">
        <v>24.251999999999999</v>
      </c>
      <c r="C105" s="9">
        <v>99.86</v>
      </c>
      <c r="D105" s="9">
        <v>0.34389999999999998</v>
      </c>
      <c r="E105" s="9">
        <v>340.4</v>
      </c>
      <c r="F105" s="1">
        <f t="shared" si="15"/>
        <v>0.34389999999999998</v>
      </c>
      <c r="H105" s="10">
        <f t="shared" si="16"/>
        <v>0.33883627755467582</v>
      </c>
      <c r="I105" s="10">
        <f t="shared" si="17"/>
        <v>5.0637224453241592E-3</v>
      </c>
      <c r="J105" s="10">
        <f t="shared" si="18"/>
        <v>2.5641285003279681E-5</v>
      </c>
      <c r="AB105" s="1">
        <f t="array" ref="AB105">MAX(IF($C$4:$C$200=MEDIAN($M$1-1,$M$1+1,C105),$D$4:$D$200,0))</f>
        <v>0.34939999999999999</v>
      </c>
      <c r="AC105" s="1">
        <f t="shared" si="19"/>
        <v>3.4000000000000141E-3</v>
      </c>
    </row>
    <row r="106" spans="2:29" x14ac:dyDescent="0.25">
      <c r="B106" s="1">
        <v>24.416</v>
      </c>
      <c r="C106" s="9">
        <v>99.91</v>
      </c>
      <c r="D106" s="9">
        <v>0.3473</v>
      </c>
      <c r="E106" s="9">
        <v>340.4</v>
      </c>
      <c r="F106" s="1">
        <f t="shared" si="15"/>
        <v>0.3473</v>
      </c>
      <c r="H106" s="10">
        <f t="shared" si="16"/>
        <v>0.33880107175345264</v>
      </c>
      <c r="I106" s="10">
        <f t="shared" si="17"/>
        <v>8.4989282465473548E-3</v>
      </c>
      <c r="J106" s="10">
        <f t="shared" si="18"/>
        <v>7.2231781339960498E-5</v>
      </c>
      <c r="AB106" s="1">
        <f t="array" ref="AB106">MAX(IF($C$4:$C$200=MEDIAN($M$1-1,$M$1+1,C106),$D$4:$D$200,0))</f>
        <v>1.097</v>
      </c>
      <c r="AC106" s="1">
        <f t="shared" si="19"/>
        <v>0</v>
      </c>
    </row>
    <row r="107" spans="2:29" x14ac:dyDescent="0.25">
      <c r="B107" s="1">
        <v>24.6</v>
      </c>
      <c r="C107" s="9">
        <v>99.91</v>
      </c>
      <c r="D107" s="9">
        <v>0.3473</v>
      </c>
      <c r="E107" s="9">
        <v>340.4</v>
      </c>
      <c r="F107" s="1">
        <f t="shared" si="15"/>
        <v>0.3473</v>
      </c>
      <c r="H107" s="10">
        <f t="shared" si="16"/>
        <v>0.33876396484780713</v>
      </c>
      <c r="I107" s="10">
        <f t="shared" si="17"/>
        <v>8.5360351521928668E-3</v>
      </c>
      <c r="J107" s="10">
        <f t="shared" si="18"/>
        <v>7.2863896119472298E-5</v>
      </c>
      <c r="AB107" s="1">
        <f t="array" ref="AB107">MAX(IF($C$4:$C$200=MEDIAN($M$1-1,$M$1+1,C107),$D$4:$D$200,0))</f>
        <v>1.097</v>
      </c>
      <c r="AC107" s="1">
        <f t="shared" si="19"/>
        <v>2.0999999999999908E-3</v>
      </c>
    </row>
    <row r="108" spans="2:29" x14ac:dyDescent="0.25">
      <c r="B108" s="1">
        <v>24.896000000000001</v>
      </c>
      <c r="C108" s="9">
        <v>99.86</v>
      </c>
      <c r="D108" s="9">
        <v>0.34939999999999999</v>
      </c>
      <c r="E108" s="9">
        <v>341.2</v>
      </c>
      <c r="F108" s="1">
        <f t="shared" si="15"/>
        <v>0.34939999999999999</v>
      </c>
      <c r="H108" s="10">
        <f t="shared" si="16"/>
        <v>0.33870918683292262</v>
      </c>
      <c r="I108" s="10">
        <f t="shared" si="17"/>
        <v>1.0690813167077373E-2</v>
      </c>
      <c r="J108" s="10">
        <f t="shared" si="18"/>
        <v>1.1429348617335494E-4</v>
      </c>
      <c r="AB108" s="1">
        <f t="array" ref="AB108">MAX(IF($C$4:$C$200=MEDIAN($M$1-1,$M$1+1,C108),$D$4:$D$200,0))</f>
        <v>0.34939999999999999</v>
      </c>
      <c r="AC108" s="1">
        <f t="shared" si="19"/>
        <v>3.4000000000000141E-3</v>
      </c>
    </row>
    <row r="109" spans="2:29" x14ac:dyDescent="0.25">
      <c r="B109" s="1">
        <v>25.164000000000001</v>
      </c>
      <c r="C109" s="9">
        <v>99.86</v>
      </c>
      <c r="D109" s="9">
        <v>0.34599999999999997</v>
      </c>
      <c r="E109" s="9">
        <v>341.2</v>
      </c>
      <c r="F109" s="1">
        <f t="shared" si="15"/>
        <v>0.34599999999999997</v>
      </c>
      <c r="H109" s="10">
        <f t="shared" si="16"/>
        <v>0.33866437309030362</v>
      </c>
      <c r="I109" s="10">
        <f t="shared" si="17"/>
        <v>7.3356269096963578E-3</v>
      </c>
      <c r="J109" s="10">
        <f t="shared" si="18"/>
        <v>5.3811422158261335E-5</v>
      </c>
      <c r="AB109" s="1">
        <f t="array" ref="AB109">MAX(IF($C$4:$C$200=MEDIAN($M$1-1,$M$1+1,C109),$D$4:$D$200,0))</f>
        <v>0.34939999999999999</v>
      </c>
      <c r="AC109" s="1">
        <f t="shared" si="19"/>
        <v>4.1999999999999815E-3</v>
      </c>
    </row>
    <row r="110" spans="2:29" x14ac:dyDescent="0.25">
      <c r="B110" s="1">
        <v>25.376000000000001</v>
      </c>
      <c r="C110" s="9">
        <v>99.85</v>
      </c>
      <c r="D110" s="9">
        <v>0.34179999999999999</v>
      </c>
      <c r="E110" s="9">
        <v>341</v>
      </c>
      <c r="F110" s="1">
        <f t="shared" si="15"/>
        <v>0.34179999999999999</v>
      </c>
      <c r="H110" s="10">
        <f t="shared" si="16"/>
        <v>0.33863185675382157</v>
      </c>
      <c r="I110" s="10">
        <f t="shared" si="17"/>
        <v>3.1681432461784231E-3</v>
      </c>
      <c r="J110" s="10">
        <f t="shared" si="18"/>
        <v>1.0037131628305956E-5</v>
      </c>
      <c r="AB110" s="1">
        <f t="array" ref="AB110">MAX(IF($C$4:$C$200=MEDIAN($M$1-1,$M$1+1,C110),$D$4:$D$200,0))</f>
        <v>0.41249999999999998</v>
      </c>
      <c r="AC110" s="1">
        <f t="shared" si="19"/>
        <v>0</v>
      </c>
    </row>
    <row r="111" spans="2:29" x14ac:dyDescent="0.25">
      <c r="B111" s="1">
        <v>25.536000000000001</v>
      </c>
      <c r="C111" s="9">
        <v>99.85</v>
      </c>
      <c r="D111" s="9">
        <v>0.34179999999999999</v>
      </c>
      <c r="E111" s="9">
        <v>341</v>
      </c>
      <c r="F111" s="1">
        <f t="shared" si="15"/>
        <v>0.34179999999999999</v>
      </c>
      <c r="H111" s="10">
        <f t="shared" si="16"/>
        <v>0.33860890486498185</v>
      </c>
      <c r="I111" s="10">
        <f t="shared" si="17"/>
        <v>3.1910951350181405E-3</v>
      </c>
      <c r="J111" s="10">
        <f t="shared" si="18"/>
        <v>1.0183088160736445E-5</v>
      </c>
      <c r="AB111" s="1">
        <f t="array" ref="AB111">MAX(IF($C$4:$C$200=MEDIAN($M$1-1,$M$1+1,C111),$D$4:$D$200,0))</f>
        <v>0.41249999999999998</v>
      </c>
      <c r="AC111" s="1">
        <f t="shared" si="19"/>
        <v>5.2999999999999714E-3</v>
      </c>
    </row>
    <row r="112" spans="2:29" x14ac:dyDescent="0.25">
      <c r="B112" s="1">
        <v>25.844000000000001</v>
      </c>
      <c r="C112" s="9">
        <v>99.88</v>
      </c>
      <c r="D112" s="9">
        <v>0.33650000000000002</v>
      </c>
      <c r="E112" s="9">
        <v>340.5</v>
      </c>
      <c r="F112" s="1">
        <f t="shared" si="15"/>
        <v>0.33650000000000002</v>
      </c>
      <c r="H112" s="10">
        <f t="shared" si="16"/>
        <v>0.33856826996130884</v>
      </c>
      <c r="I112" s="10">
        <f t="shared" si="17"/>
        <v>-2.0682699613088218E-3</v>
      </c>
      <c r="J112" s="10">
        <f t="shared" si="18"/>
        <v>4.2777406328523952E-6</v>
      </c>
      <c r="AB112" s="1">
        <f t="array" ref="AB112">MAX(IF($C$4:$C$200=MEDIAN($M$1-1,$M$1+1,C112),$D$4:$D$200,0))</f>
        <v>0.35510000000000003</v>
      </c>
      <c r="AC112" s="1">
        <f t="shared" si="19"/>
        <v>6.9999999999997842E-4</v>
      </c>
    </row>
    <row r="113" spans="2:29" x14ac:dyDescent="0.25">
      <c r="B113" s="1">
        <v>26.132000000000001</v>
      </c>
      <c r="C113" s="9">
        <v>99.88</v>
      </c>
      <c r="D113" s="9">
        <v>0.3372</v>
      </c>
      <c r="E113" s="9">
        <v>340.5</v>
      </c>
      <c r="F113" s="1">
        <f t="shared" si="15"/>
        <v>0.3372</v>
      </c>
      <c r="H113" s="10">
        <f t="shared" si="16"/>
        <v>0.33853413374627328</v>
      </c>
      <c r="I113" s="10">
        <f t="shared" si="17"/>
        <v>-1.3341337462732805E-3</v>
      </c>
      <c r="J113" s="10">
        <f t="shared" si="18"/>
        <v>1.7799128529451779E-6</v>
      </c>
      <c r="AB113" s="1">
        <f t="array" ref="AB113">MAX(IF($C$4:$C$200=MEDIAN($M$1-1,$M$1+1,C113),$D$4:$D$200,0))</f>
        <v>0.35510000000000003</v>
      </c>
      <c r="AC113" s="1">
        <f t="shared" si="19"/>
        <v>8.0000000000000071E-3</v>
      </c>
    </row>
    <row r="114" spans="2:29" x14ac:dyDescent="0.25">
      <c r="B114" s="1">
        <v>26.352</v>
      </c>
      <c r="C114" s="9">
        <v>99.84</v>
      </c>
      <c r="D114" s="9">
        <v>0.34520000000000001</v>
      </c>
      <c r="E114" s="9">
        <v>340.5</v>
      </c>
      <c r="F114" s="1">
        <f t="shared" si="15"/>
        <v>0.34520000000000001</v>
      </c>
      <c r="H114" s="10">
        <f t="shared" si="16"/>
        <v>0.3385103361810029</v>
      </c>
      <c r="I114" s="10">
        <f t="shared" si="17"/>
        <v>6.6896638189971047E-3</v>
      </c>
      <c r="J114" s="10">
        <f t="shared" si="18"/>
        <v>4.4751602011198927E-5</v>
      </c>
      <c r="AB114" s="1">
        <f t="array" ref="AB114">MAX(IF($C$4:$C$200=MEDIAN($M$1-1,$M$1+1,C114),$D$4:$D$200,0))</f>
        <v>0.36</v>
      </c>
      <c r="AC114" s="1">
        <f t="shared" si="19"/>
        <v>6.2999999999999723E-3</v>
      </c>
    </row>
    <row r="115" spans="2:29" x14ac:dyDescent="0.25">
      <c r="B115" s="1">
        <v>26.527999999999999</v>
      </c>
      <c r="C115" s="9">
        <v>99.84</v>
      </c>
      <c r="D115" s="9">
        <v>0.35149999999999998</v>
      </c>
      <c r="E115" s="9">
        <v>340.5</v>
      </c>
      <c r="F115" s="1">
        <f t="shared" si="15"/>
        <v>0.35149999999999998</v>
      </c>
      <c r="H115" s="10">
        <f t="shared" si="16"/>
        <v>0.33849260705589002</v>
      </c>
      <c r="I115" s="10">
        <f t="shared" si="17"/>
        <v>1.3007392944109963E-2</v>
      </c>
      <c r="J115" s="10">
        <f t="shared" si="18"/>
        <v>1.6919227120248167E-4</v>
      </c>
      <c r="AB115" s="1">
        <f t="array" ref="AB115">MAX(IF($C$4:$C$200=MEDIAN($M$1-1,$M$1+1,C115),$D$4:$D$200,0))</f>
        <v>0.36</v>
      </c>
      <c r="AC115" s="1">
        <f t="shared" si="19"/>
        <v>2.0999999999999908E-3</v>
      </c>
    </row>
    <row r="116" spans="2:29" x14ac:dyDescent="0.25">
      <c r="B116" s="1">
        <v>26.832000000000001</v>
      </c>
      <c r="C116" s="9">
        <v>99.83</v>
      </c>
      <c r="D116" s="9">
        <v>0.34939999999999999</v>
      </c>
      <c r="E116" s="9">
        <v>341.5</v>
      </c>
      <c r="F116" s="1">
        <f t="shared" si="15"/>
        <v>0.34939999999999999</v>
      </c>
      <c r="H116" s="10">
        <f t="shared" si="16"/>
        <v>0.33846450462951605</v>
      </c>
      <c r="I116" s="10">
        <f t="shared" si="17"/>
        <v>1.0935495370483939E-2</v>
      </c>
      <c r="J116" s="10">
        <f t="shared" si="18"/>
        <v>1.1958505899787565E-4</v>
      </c>
      <c r="AB116" s="1">
        <f t="array" ref="AB116">MAX(IF($C$4:$C$200=MEDIAN($M$1-1,$M$1+1,C116),$D$4:$D$200,0))</f>
        <v>0.34939999999999999</v>
      </c>
      <c r="AC116" s="1">
        <f t="shared" si="19"/>
        <v>3.7999999999999701E-3</v>
      </c>
    </row>
    <row r="117" spans="2:29" x14ac:dyDescent="0.25">
      <c r="B117" s="1">
        <v>27.088000000000001</v>
      </c>
      <c r="C117" s="9">
        <v>99.83</v>
      </c>
      <c r="D117" s="9">
        <v>0.34560000000000002</v>
      </c>
      <c r="E117" s="9">
        <v>341.5</v>
      </c>
      <c r="F117" s="1">
        <f t="shared" si="15"/>
        <v>0.34560000000000002</v>
      </c>
      <c r="H117" s="10">
        <f t="shared" si="16"/>
        <v>0.33844310736704841</v>
      </c>
      <c r="I117" s="10">
        <f t="shared" si="17"/>
        <v>7.1568926329516058E-3</v>
      </c>
      <c r="J117" s="10">
        <f t="shared" si="18"/>
        <v>5.1221112159596968E-5</v>
      </c>
      <c r="AB117" s="1">
        <f t="array" ref="AB117">MAX(IF($C$4:$C$200=MEDIAN($M$1-1,$M$1+1,C117),$D$4:$D$200,0))</f>
        <v>0.34939999999999999</v>
      </c>
      <c r="AC117" s="1">
        <f t="shared" si="19"/>
        <v>2.5000000000000022E-3</v>
      </c>
    </row>
    <row r="118" spans="2:29" x14ac:dyDescent="0.25">
      <c r="B118" s="1">
        <v>27.268000000000001</v>
      </c>
      <c r="C118" s="9">
        <v>99.86</v>
      </c>
      <c r="D118" s="9">
        <v>0.34310000000000002</v>
      </c>
      <c r="E118" s="9">
        <v>341.1</v>
      </c>
      <c r="F118" s="1">
        <f t="shared" si="15"/>
        <v>0.34310000000000002</v>
      </c>
      <c r="H118" s="10">
        <f t="shared" si="16"/>
        <v>0.33842919829388718</v>
      </c>
      <c r="I118" s="10">
        <f t="shared" si="17"/>
        <v>4.6708017061128371E-3</v>
      </c>
      <c r="J118" s="10">
        <f t="shared" si="18"/>
        <v>2.1816388577826589E-5</v>
      </c>
      <c r="AB118" s="1">
        <f t="array" ref="AB118">MAX(IF($C$4:$C$200=MEDIAN($M$1-1,$M$1+1,C118),$D$4:$D$200,0))</f>
        <v>0.34939999999999999</v>
      </c>
      <c r="AC118" s="1">
        <f t="shared" si="19"/>
        <v>2.3000000000000242E-3</v>
      </c>
    </row>
    <row r="119" spans="2:29" x14ac:dyDescent="0.25">
      <c r="B119" s="1">
        <v>27.423999999999999</v>
      </c>
      <c r="C119" s="9">
        <v>99.86</v>
      </c>
      <c r="D119" s="9">
        <v>0.34079999999999999</v>
      </c>
      <c r="E119" s="9">
        <v>341.1</v>
      </c>
      <c r="F119" s="1">
        <f t="shared" si="15"/>
        <v>0.34079999999999999</v>
      </c>
      <c r="H119" s="10">
        <f t="shared" si="16"/>
        <v>0.33841785033056127</v>
      </c>
      <c r="I119" s="10">
        <f t="shared" si="17"/>
        <v>2.3821496694387267E-3</v>
      </c>
      <c r="J119" s="10">
        <f t="shared" si="18"/>
        <v>5.6746370476070347E-6</v>
      </c>
      <c r="AB119" s="1">
        <f t="array" ref="AB119">MAX(IF($C$4:$C$200=MEDIAN($M$1-1,$M$1+1,C119),$D$4:$D$200,0))</f>
        <v>0.34939999999999999</v>
      </c>
      <c r="AC119" s="1">
        <f t="shared" si="19"/>
        <v>0</v>
      </c>
    </row>
    <row r="120" spans="2:29" x14ac:dyDescent="0.25">
      <c r="B120" s="1">
        <v>27.571999999999999</v>
      </c>
      <c r="C120" s="9">
        <v>99.86</v>
      </c>
      <c r="D120" s="9">
        <v>0.34079999999999999</v>
      </c>
      <c r="E120" s="9">
        <v>341.1</v>
      </c>
      <c r="F120" s="1">
        <f t="shared" si="15"/>
        <v>0.34079999999999999</v>
      </c>
      <c r="H120" s="10">
        <f t="shared" si="16"/>
        <v>0.33840765661854322</v>
      </c>
      <c r="I120" s="10">
        <f t="shared" si="17"/>
        <v>2.3923433814567741E-3</v>
      </c>
      <c r="J120" s="10">
        <f t="shared" si="18"/>
        <v>5.7233068548000324E-6</v>
      </c>
      <c r="AB120" s="1">
        <f t="array" ref="AB120">MAX(IF($C$4:$C$200=MEDIAN($M$1-1,$M$1+1,C120),$D$4:$D$200,0))</f>
        <v>0.34939999999999999</v>
      </c>
      <c r="AC120" s="1">
        <f t="shared" si="19"/>
        <v>2.5999999999999912E-3</v>
      </c>
    </row>
    <row r="121" spans="2:29" x14ac:dyDescent="0.25">
      <c r="B121" s="1">
        <v>27.888000000000002</v>
      </c>
      <c r="C121" s="9">
        <v>99.85</v>
      </c>
      <c r="D121" s="9">
        <v>0.3382</v>
      </c>
      <c r="E121" s="9">
        <v>340.8</v>
      </c>
      <c r="F121" s="1">
        <f t="shared" si="15"/>
        <v>0.3382</v>
      </c>
      <c r="H121" s="10">
        <f t="shared" si="16"/>
        <v>0.3383876238878516</v>
      </c>
      <c r="I121" s="10">
        <f t="shared" si="17"/>
        <v>-1.8762388785159567E-4</v>
      </c>
      <c r="J121" s="10">
        <f t="shared" si="18"/>
        <v>3.5202723292548149E-8</v>
      </c>
      <c r="AB121" s="1">
        <f t="array" ref="AB121">MAX(IF($C$4:$C$200=MEDIAN($M$1-1,$M$1+1,C121),$D$4:$D$200,0))</f>
        <v>0.41249999999999998</v>
      </c>
      <c r="AC121" s="1">
        <f t="shared" si="19"/>
        <v>4.8000000000000265E-3</v>
      </c>
    </row>
    <row r="122" spans="2:29" x14ac:dyDescent="0.25">
      <c r="B122" s="1">
        <v>28.164000000000001</v>
      </c>
      <c r="C122" s="9">
        <v>99.72</v>
      </c>
      <c r="D122" s="9">
        <v>0.34300000000000003</v>
      </c>
      <c r="E122" s="9">
        <v>341.1</v>
      </c>
      <c r="F122" s="1">
        <f t="shared" si="15"/>
        <v>0.34300000000000003</v>
      </c>
      <c r="H122" s="10">
        <f t="shared" si="16"/>
        <v>0.33837189416344016</v>
      </c>
      <c r="I122" s="10">
        <f t="shared" si="17"/>
        <v>4.6281058365598704E-3</v>
      </c>
      <c r="J122" s="10">
        <f t="shared" si="18"/>
        <v>2.1419363634399538E-5</v>
      </c>
      <c r="AB122" s="1">
        <f t="array" ref="AB122">MAX(IF($C$4:$C$200=MEDIAN($M$1-1,$M$1+1,C122),$D$4:$D$200,0))</f>
        <v>0.35020000000000001</v>
      </c>
      <c r="AC122" s="1">
        <f t="shared" si="19"/>
        <v>7.1999999999999842E-3</v>
      </c>
    </row>
    <row r="123" spans="2:29" x14ac:dyDescent="0.25">
      <c r="B123" s="1">
        <v>28.4</v>
      </c>
      <c r="C123" s="9">
        <v>99.72</v>
      </c>
      <c r="D123" s="9">
        <v>0.35020000000000001</v>
      </c>
      <c r="E123" s="9">
        <v>341.1</v>
      </c>
      <c r="F123" s="1">
        <f t="shared" si="15"/>
        <v>0.35020000000000001</v>
      </c>
      <c r="H123" s="10">
        <f t="shared" si="16"/>
        <v>0.33835962734936054</v>
      </c>
      <c r="I123" s="10">
        <f t="shared" si="17"/>
        <v>1.1840372650639475E-2</v>
      </c>
      <c r="J123" s="10">
        <f t="shared" si="18"/>
        <v>1.4019442450601127E-4</v>
      </c>
      <c r="AB123" s="1">
        <f t="array" ref="AB123">MAX(IF($C$4:$C$200=MEDIAN($M$1-1,$M$1+1,C123),$D$4:$D$200,0))</f>
        <v>0.35020000000000001</v>
      </c>
      <c r="AC123" s="1">
        <f t="shared" si="19"/>
        <v>0</v>
      </c>
    </row>
    <row r="124" spans="2:29" x14ac:dyDescent="0.25">
      <c r="B124" s="1">
        <v>28.56</v>
      </c>
      <c r="C124" s="9">
        <v>99.72</v>
      </c>
      <c r="D124" s="9">
        <v>0.35020000000000001</v>
      </c>
      <c r="E124" s="9">
        <v>341.1</v>
      </c>
      <c r="F124" s="1">
        <f t="shared" si="15"/>
        <v>0.35020000000000001</v>
      </c>
      <c r="H124" s="10">
        <f t="shared" si="16"/>
        <v>0.33835188317794884</v>
      </c>
      <c r="I124" s="10">
        <f t="shared" si="17"/>
        <v>1.1848116822051169E-2</v>
      </c>
      <c r="J124" s="10">
        <f t="shared" si="18"/>
        <v>1.403778722289719E-4</v>
      </c>
      <c r="AB124" s="1">
        <f t="array" ref="AB124">MAX(IF($C$4:$C$200=MEDIAN($M$1-1,$M$1+1,C124),$D$4:$D$200,0))</f>
        <v>0.35020000000000001</v>
      </c>
      <c r="AC124" s="1">
        <f t="shared" si="19"/>
        <v>2.7000000000000357E-3</v>
      </c>
    </row>
    <row r="125" spans="2:29" x14ac:dyDescent="0.25">
      <c r="B125" s="1">
        <v>28.86</v>
      </c>
      <c r="C125" s="9">
        <v>99.78</v>
      </c>
      <c r="D125" s="9">
        <v>0.34749999999999998</v>
      </c>
      <c r="E125" s="9">
        <v>341.9</v>
      </c>
      <c r="F125" s="1">
        <f t="shared" si="15"/>
        <v>0.34749999999999998</v>
      </c>
      <c r="H125" s="10">
        <f t="shared" si="16"/>
        <v>0.3383385098630618</v>
      </c>
      <c r="I125" s="10">
        <f t="shared" si="17"/>
        <v>9.1614901369381774E-3</v>
      </c>
      <c r="J125" s="10">
        <f t="shared" si="18"/>
        <v>8.3932901529215506E-5</v>
      </c>
      <c r="AB125" s="1">
        <f t="array" ref="AB125">MAX(IF($C$4:$C$200=MEDIAN($M$1-1,$M$1+1,C125),$D$4:$D$200,0))</f>
        <v>0.34749999999999998</v>
      </c>
      <c r="AC125" s="1">
        <f t="shared" si="19"/>
        <v>1.1599999999999999E-2</v>
      </c>
    </row>
    <row r="126" spans="2:29" x14ac:dyDescent="0.25">
      <c r="B126" s="1">
        <v>29.167999999999999</v>
      </c>
      <c r="C126" s="9">
        <v>99.68</v>
      </c>
      <c r="D126" s="9">
        <v>0.33589999999999998</v>
      </c>
      <c r="E126" s="9">
        <v>341.1</v>
      </c>
      <c r="F126" s="1">
        <f t="shared" si="15"/>
        <v>0.33589999999999998</v>
      </c>
      <c r="H126" s="10">
        <f t="shared" si="16"/>
        <v>0.33832620020777426</v>
      </c>
      <c r="I126" s="10">
        <f t="shared" si="17"/>
        <v>-2.4262002077742872E-3</v>
      </c>
      <c r="J126" s="10">
        <f t="shared" si="18"/>
        <v>5.8864474482039946E-6</v>
      </c>
      <c r="AB126" s="1">
        <f t="array" ref="AB126">MAX(IF($C$4:$C$200=MEDIAN($M$1-1,$M$1+1,C126),$D$4:$D$200,0))</f>
        <v>0.34460000000000002</v>
      </c>
      <c r="AC126" s="1">
        <f t="shared" si="19"/>
        <v>4.0000000000000036E-3</v>
      </c>
    </row>
    <row r="127" spans="2:29" x14ac:dyDescent="0.25">
      <c r="B127" s="1">
        <v>29.36</v>
      </c>
      <c r="C127" s="9">
        <v>99.68</v>
      </c>
      <c r="D127" s="9">
        <v>0.33189999999999997</v>
      </c>
      <c r="E127" s="9">
        <v>341.1</v>
      </c>
      <c r="F127" s="1">
        <f t="shared" si="15"/>
        <v>0.33189999999999997</v>
      </c>
      <c r="H127" s="10">
        <f t="shared" si="16"/>
        <v>0.33831918803315908</v>
      </c>
      <c r="I127" s="10">
        <f t="shared" si="17"/>
        <v>-6.4191880331591067E-3</v>
      </c>
      <c r="J127" s="10">
        <f t="shared" si="18"/>
        <v>4.1205975005053083E-5</v>
      </c>
      <c r="AB127" s="1">
        <f t="array" ref="AB127">MAX(IF($C$4:$C$200=MEDIAN($M$1-1,$M$1+1,C127),$D$4:$D$200,0))</f>
        <v>0.34460000000000002</v>
      </c>
      <c r="AC127" s="1">
        <f t="shared" si="19"/>
        <v>0</v>
      </c>
    </row>
    <row r="128" spans="2:29" x14ac:dyDescent="0.25">
      <c r="B128" s="1">
        <v>29.507999999999999</v>
      </c>
      <c r="C128" s="9">
        <v>99.68</v>
      </c>
      <c r="D128" s="9">
        <v>0.33189999999999997</v>
      </c>
      <c r="E128" s="9">
        <v>341.1</v>
      </c>
      <c r="F128" s="1">
        <f t="shared" si="15"/>
        <v>0.33189999999999997</v>
      </c>
      <c r="H128" s="10">
        <f t="shared" si="16"/>
        <v>0.33831410348136837</v>
      </c>
      <c r="I128" s="10">
        <f t="shared" si="17"/>
        <v>-6.4141034813683939E-3</v>
      </c>
      <c r="J128" s="10">
        <f t="shared" si="18"/>
        <v>4.1140723469702151E-5</v>
      </c>
      <c r="AB128" s="1">
        <f t="array" ref="AB128">MAX(IF($C$4:$C$200=MEDIAN($M$1-1,$M$1+1,C128),$D$4:$D$200,0))</f>
        <v>0.34460000000000002</v>
      </c>
      <c r="AC128" s="1">
        <f t="shared" si="19"/>
        <v>5.0000000000000044E-4</v>
      </c>
    </row>
    <row r="129" spans="2:29" x14ac:dyDescent="0.25">
      <c r="B129" s="1">
        <v>29.763999999999999</v>
      </c>
      <c r="C129" s="9">
        <v>99.74</v>
      </c>
      <c r="D129" s="9">
        <v>0.33139999999999997</v>
      </c>
      <c r="E129" s="9">
        <v>340.8</v>
      </c>
      <c r="F129" s="1">
        <f t="shared" si="15"/>
        <v>0.33139999999999997</v>
      </c>
      <c r="H129" s="10">
        <f t="shared" si="16"/>
        <v>0.33830592233454659</v>
      </c>
      <c r="I129" s="10">
        <f t="shared" si="17"/>
        <v>-6.9059223345466214E-3</v>
      </c>
      <c r="J129" s="10">
        <f t="shared" si="18"/>
        <v>4.7691763290789855E-5</v>
      </c>
      <c r="AB129" s="1">
        <f t="array" ref="AB129">MAX(IF($C$4:$C$200=MEDIAN($M$1-1,$M$1+1,C129),$D$4:$D$200,0))</f>
        <v>2.2999999999999998</v>
      </c>
      <c r="AC129" s="1">
        <f t="shared" si="19"/>
        <v>9.6000000000000529E-3</v>
      </c>
    </row>
    <row r="130" spans="2:29" x14ac:dyDescent="0.25">
      <c r="B130" s="1">
        <v>30.036000000000001</v>
      </c>
      <c r="C130" s="9">
        <v>99.74</v>
      </c>
      <c r="D130" s="9">
        <v>0.34100000000000003</v>
      </c>
      <c r="E130" s="9">
        <v>340.8</v>
      </c>
      <c r="F130" s="1">
        <f t="shared" si="15"/>
        <v>0.34100000000000003</v>
      </c>
      <c r="H130" s="10">
        <f t="shared" si="16"/>
        <v>0.33829801609131405</v>
      </c>
      <c r="I130" s="10">
        <f t="shared" si="17"/>
        <v>2.7019839086859787E-3</v>
      </c>
      <c r="J130" s="10">
        <f t="shared" si="18"/>
        <v>7.3007170427979593E-6</v>
      </c>
      <c r="AB130" s="1">
        <f t="array" ref="AB130">MAX(IF($C$4:$C$200=MEDIAN($M$1-1,$M$1+1,C130),$D$4:$D$200,0))</f>
        <v>2.2999999999999998</v>
      </c>
      <c r="AC130" s="1">
        <f t="shared" si="19"/>
        <v>5.1999999999999824E-3</v>
      </c>
    </row>
    <row r="131" spans="2:29" x14ac:dyDescent="0.25">
      <c r="B131" s="1">
        <v>30.271999999999998</v>
      </c>
      <c r="C131" s="9">
        <v>99.73</v>
      </c>
      <c r="D131" s="9">
        <v>0.34620000000000001</v>
      </c>
      <c r="E131" s="9">
        <v>341.3</v>
      </c>
      <c r="F131" s="1">
        <f t="shared" si="15"/>
        <v>0.34620000000000001</v>
      </c>
      <c r="H131" s="10">
        <f t="shared" si="16"/>
        <v>0.33829175517060905</v>
      </c>
      <c r="I131" s="10">
        <f t="shared" si="17"/>
        <v>7.9082448293909535E-3</v>
      </c>
      <c r="J131" s="10">
        <f t="shared" si="18"/>
        <v>6.2540336281588751E-5</v>
      </c>
      <c r="AB131" s="1">
        <f t="array" ref="AB131">MAX(IF($C$4:$C$200=MEDIAN($M$1-1,$M$1+1,C131),$D$4:$D$200,0))</f>
        <v>2.2999999999999998</v>
      </c>
      <c r="AC131" s="1">
        <f t="shared" si="19"/>
        <v>2.4000000000000132E-3</v>
      </c>
    </row>
    <row r="132" spans="2:29" x14ac:dyDescent="0.25">
      <c r="B132" s="1">
        <v>30.443999999999999</v>
      </c>
      <c r="C132" s="9">
        <v>99.73</v>
      </c>
      <c r="D132" s="9">
        <v>0.34860000000000002</v>
      </c>
      <c r="E132" s="9">
        <v>341.3</v>
      </c>
      <c r="F132" s="1">
        <f t="shared" ref="F132:F147" si="20">IF(C132=MEDIAN($M$1-1,$M$1+1,C132),IF(D132&lt;=AVERAGE($AB$3,AVERAGEIF($B$4:$B$200,"&gt;20",$D$4:$D$200)),D132,0),0)</f>
        <v>0.34860000000000002</v>
      </c>
      <c r="H132" s="10">
        <f t="shared" ref="H132:H147" si="21">IF(MATCH(F132,$F$4:$F$200,0)&gt;=MATCH(MAX($F$4:$F$200),$F$4:$F$200,0),$M$4+($M$5-$M$4)*(1-EXP(-B132/$M$6)),0)</f>
        <v>0.33828751519898814</v>
      </c>
      <c r="I132" s="10">
        <f t="shared" ref="I132:I147" si="22">IF(H132&gt;0,D132-H132,0)</f>
        <v>1.0312484801011879E-2</v>
      </c>
      <c r="J132" s="10">
        <f t="shared" ref="J132:J147" si="23">I132^2</f>
        <v>1.06347342771101E-4</v>
      </c>
      <c r="AB132" s="1">
        <f t="array" ref="AB132">MAX(IF($C$4:$C$200=MEDIAN($M$1-1,$M$1+1,C132),$D$4:$D$200,0))</f>
        <v>2.2999999999999998</v>
      </c>
      <c r="AC132" s="1">
        <f t="shared" ref="AC132:AC146" si="24">ABS(D132-D133)</f>
        <v>1.5000000000000013E-3</v>
      </c>
    </row>
    <row r="133" spans="2:29" x14ac:dyDescent="0.25">
      <c r="B133" s="1">
        <v>30.66</v>
      </c>
      <c r="C133" s="9">
        <v>99.78</v>
      </c>
      <c r="D133" s="9">
        <v>0.34710000000000002</v>
      </c>
      <c r="E133" s="9">
        <v>341.9</v>
      </c>
      <c r="F133" s="1">
        <f t="shared" si="20"/>
        <v>0.34710000000000002</v>
      </c>
      <c r="H133" s="10">
        <f t="shared" si="21"/>
        <v>0.33828254861543527</v>
      </c>
      <c r="I133" s="10">
        <f t="shared" si="22"/>
        <v>8.8174513845647451E-3</v>
      </c>
      <c r="J133" s="10">
        <f t="shared" si="23"/>
        <v>7.7747448919162734E-5</v>
      </c>
      <c r="AB133" s="1">
        <f t="array" ref="AB133">MAX(IF($C$4:$C$200=MEDIAN($M$1-1,$M$1+1,C133),$D$4:$D$200,0))</f>
        <v>0.34749999999999998</v>
      </c>
      <c r="AC133" s="1">
        <f t="shared" si="24"/>
        <v>1.1599999999999999E-2</v>
      </c>
    </row>
    <row r="134" spans="2:29" x14ac:dyDescent="0.25">
      <c r="B134" s="1">
        <v>30.963999999999999</v>
      </c>
      <c r="C134" s="9">
        <v>99.78</v>
      </c>
      <c r="D134" s="9">
        <v>0.33550000000000002</v>
      </c>
      <c r="E134" s="9">
        <v>341.9</v>
      </c>
      <c r="F134" s="1">
        <f t="shared" si="20"/>
        <v>0.33550000000000002</v>
      </c>
      <c r="H134" s="10">
        <f t="shared" si="21"/>
        <v>0.33827618042713903</v>
      </c>
      <c r="I134" s="10">
        <f t="shared" si="22"/>
        <v>-2.7761804271390078E-3</v>
      </c>
      <c r="J134" s="10">
        <f t="shared" si="23"/>
        <v>7.707177764029724E-6</v>
      </c>
      <c r="AB134" s="1">
        <f t="array" ref="AB134">MAX(IF($C$4:$C$200=MEDIAN($M$1-1,$M$1+1,C134),$D$4:$D$200,0))</f>
        <v>0.34749999999999998</v>
      </c>
      <c r="AC134" s="1">
        <f t="shared" si="24"/>
        <v>2.6000000000000467E-3</v>
      </c>
    </row>
    <row r="135" spans="2:29" x14ac:dyDescent="0.25">
      <c r="B135" s="1">
        <v>31.224</v>
      </c>
      <c r="C135" s="9">
        <v>100</v>
      </c>
      <c r="D135" s="9">
        <v>0.33289999999999997</v>
      </c>
      <c r="E135" s="9">
        <v>341.2</v>
      </c>
      <c r="F135" s="1">
        <f t="shared" si="20"/>
        <v>0.33289999999999997</v>
      </c>
      <c r="H135" s="10">
        <f t="shared" si="21"/>
        <v>0.33827125939242331</v>
      </c>
      <c r="I135" s="10">
        <f t="shared" si="22"/>
        <v>-5.3712593924233332E-3</v>
      </c>
      <c r="J135" s="10">
        <f t="shared" si="23"/>
        <v>2.8850427460695875E-5</v>
      </c>
      <c r="AB135" s="1">
        <f t="array" ref="AB135">MAX(IF($C$4:$C$200=MEDIAN($M$1-1,$M$1+1,C135),$D$4:$D$200,0))</f>
        <v>0.34770000000000001</v>
      </c>
      <c r="AC135" s="1">
        <f t="shared" si="24"/>
        <v>8.3999999999999631E-3</v>
      </c>
    </row>
    <row r="136" spans="2:29" x14ac:dyDescent="0.25">
      <c r="B136" s="1">
        <v>31.38</v>
      </c>
      <c r="C136" s="9">
        <v>100</v>
      </c>
      <c r="D136" s="9">
        <v>0.32450000000000001</v>
      </c>
      <c r="E136" s="9">
        <v>341.2</v>
      </c>
      <c r="F136" s="1">
        <f t="shared" si="20"/>
        <v>0.32450000000000001</v>
      </c>
      <c r="H136" s="10">
        <f t="shared" si="21"/>
        <v>0.338268520015514</v>
      </c>
      <c r="I136" s="10">
        <f t="shared" si="22"/>
        <v>-1.3768520015513985E-2</v>
      </c>
      <c r="J136" s="10">
        <f t="shared" si="23"/>
        <v>1.8957214341760924E-4</v>
      </c>
      <c r="AB136" s="1">
        <f t="array" ref="AB136">MAX(IF($C$4:$C$200=MEDIAN($M$1-1,$M$1+1,C136),$D$4:$D$200,0))</f>
        <v>0.34770000000000001</v>
      </c>
      <c r="AC136" s="1">
        <f t="shared" si="24"/>
        <v>0</v>
      </c>
    </row>
    <row r="137" spans="2:29" x14ac:dyDescent="0.25">
      <c r="B137" s="1">
        <v>31.556000000000001</v>
      </c>
      <c r="C137" s="9">
        <v>100</v>
      </c>
      <c r="D137" s="9">
        <v>0.32450000000000001</v>
      </c>
      <c r="E137" s="9">
        <v>340.6</v>
      </c>
      <c r="F137" s="1">
        <f t="shared" si="20"/>
        <v>0.32450000000000001</v>
      </c>
      <c r="H137" s="10">
        <f t="shared" si="21"/>
        <v>0.33826560826669194</v>
      </c>
      <c r="I137" s="10">
        <f t="shared" si="22"/>
        <v>-1.3765608266691931E-2</v>
      </c>
      <c r="J137" s="10">
        <f t="shared" si="23"/>
        <v>1.8949197095201724E-4</v>
      </c>
      <c r="AB137" s="1">
        <f t="array" ref="AB137">MAX(IF($C$4:$C$200=MEDIAN($M$1-1,$M$1+1,C137),$D$4:$D$200,0))</f>
        <v>0.34770000000000001</v>
      </c>
      <c r="AC137" s="1">
        <f t="shared" si="24"/>
        <v>2.3199999999999998E-2</v>
      </c>
    </row>
    <row r="138" spans="2:29" x14ac:dyDescent="0.25">
      <c r="B138" s="1">
        <v>31.856000000000002</v>
      </c>
      <c r="C138" s="9">
        <v>100</v>
      </c>
      <c r="D138" s="9">
        <v>0.34770000000000001</v>
      </c>
      <c r="E138" s="9">
        <v>340.6</v>
      </c>
      <c r="F138" s="1">
        <f t="shared" si="20"/>
        <v>0.34770000000000001</v>
      </c>
      <c r="H138" s="10">
        <f t="shared" si="21"/>
        <v>0.3382610503695842</v>
      </c>
      <c r="I138" s="10">
        <f t="shared" si="22"/>
        <v>9.4389496304158049E-3</v>
      </c>
      <c r="J138" s="10">
        <f t="shared" si="23"/>
        <v>8.9093770125526659E-5</v>
      </c>
      <c r="AB138" s="1">
        <f t="array" ref="AB138">MAX(IF($C$4:$C$200=MEDIAN($M$1-1,$M$1+1,C138),$D$4:$D$200,0))</f>
        <v>0.34770000000000001</v>
      </c>
      <c r="AC138" s="1">
        <f t="shared" si="24"/>
        <v>1.0000000000000009E-3</v>
      </c>
    </row>
    <row r="139" spans="2:29" x14ac:dyDescent="0.25">
      <c r="B139" s="1">
        <v>32.148000000000003</v>
      </c>
      <c r="C139" s="9">
        <v>100</v>
      </c>
      <c r="D139" s="9">
        <v>0.34670000000000001</v>
      </c>
      <c r="E139" s="9">
        <v>341.8</v>
      </c>
      <c r="F139" s="1">
        <f t="shared" si="20"/>
        <v>0.34670000000000001</v>
      </c>
      <c r="H139" s="10">
        <f t="shared" si="21"/>
        <v>0.33825706168847347</v>
      </c>
      <c r="I139" s="10">
        <f t="shared" si="22"/>
        <v>8.4429383115265377E-3</v>
      </c>
      <c r="J139" s="10">
        <f t="shared" si="23"/>
        <v>7.128320733224259E-5</v>
      </c>
      <c r="AB139" s="1">
        <f t="array" ref="AB139">MAX(IF($C$4:$C$200=MEDIAN($M$1-1,$M$1+1,C139),$D$4:$D$200,0))</f>
        <v>0.34770000000000001</v>
      </c>
      <c r="AC139" s="1">
        <f t="shared" si="24"/>
        <v>1.3000000000000234E-3</v>
      </c>
    </row>
    <row r="140" spans="2:29" x14ac:dyDescent="0.25">
      <c r="B140" s="1">
        <v>32.375999999999998</v>
      </c>
      <c r="C140" s="9">
        <v>100</v>
      </c>
      <c r="D140" s="9">
        <v>0.34539999999999998</v>
      </c>
      <c r="E140" s="9">
        <v>341.8</v>
      </c>
      <c r="F140" s="1">
        <f t="shared" si="20"/>
        <v>0.34539999999999998</v>
      </c>
      <c r="H140" s="10">
        <f t="shared" si="21"/>
        <v>0.33825422550034334</v>
      </c>
      <c r="I140" s="10">
        <f t="shared" si="22"/>
        <v>7.145774499656643E-3</v>
      </c>
      <c r="J140" s="10">
        <f t="shared" si="23"/>
        <v>5.1062093199943145E-5</v>
      </c>
      <c r="AB140" s="1">
        <f t="array" ref="AB140">MAX(IF($C$4:$C$200=MEDIAN($M$1-1,$M$1+1,C140),$D$4:$D$200,0))</f>
        <v>0.34770000000000001</v>
      </c>
      <c r="AC140" s="1">
        <f t="shared" si="24"/>
        <v>8.3999999999999631E-3</v>
      </c>
    </row>
    <row r="141" spans="2:29" x14ac:dyDescent="0.25">
      <c r="B141" s="1">
        <v>32.567999999999998</v>
      </c>
      <c r="C141" s="9">
        <v>100</v>
      </c>
      <c r="D141" s="9">
        <v>0.33700000000000002</v>
      </c>
      <c r="E141" s="9">
        <v>341.8</v>
      </c>
      <c r="F141" s="1">
        <f t="shared" si="20"/>
        <v>0.33700000000000002</v>
      </c>
      <c r="H141" s="10">
        <f t="shared" si="21"/>
        <v>0.33825201088045898</v>
      </c>
      <c r="I141" s="10">
        <f t="shared" si="22"/>
        <v>-1.2520108804589536E-3</v>
      </c>
      <c r="J141" s="10">
        <f t="shared" si="23"/>
        <v>1.5675312447876041E-6</v>
      </c>
      <c r="AB141" s="1">
        <f t="array" ref="AB141">MAX(IF($C$4:$C$200=MEDIAN($M$1-1,$M$1+1,C141),$D$4:$D$200,0))</f>
        <v>0.34770000000000001</v>
      </c>
      <c r="AC141" s="1">
        <f t="shared" si="24"/>
        <v>1.5000000000000013E-3</v>
      </c>
    </row>
    <row r="142" spans="2:29" x14ac:dyDescent="0.25">
      <c r="B142" s="1">
        <v>32.868000000000002</v>
      </c>
      <c r="C142" s="9">
        <v>100</v>
      </c>
      <c r="D142" s="9">
        <v>0.33550000000000002</v>
      </c>
      <c r="E142" s="9">
        <v>341.8</v>
      </c>
      <c r="F142" s="1">
        <f t="shared" si="20"/>
        <v>0.33550000000000002</v>
      </c>
      <c r="H142" s="10">
        <f t="shared" si="21"/>
        <v>0.33824884234021768</v>
      </c>
      <c r="I142" s="10">
        <f t="shared" si="22"/>
        <v>-2.7488423402176609E-3</v>
      </c>
      <c r="J142" s="10">
        <f t="shared" si="23"/>
        <v>7.556134211373307E-6</v>
      </c>
      <c r="AB142" s="1">
        <f t="array" ref="AB142">MAX(IF($C$4:$C$200=MEDIAN($M$1-1,$M$1+1,C142),$D$4:$D$200,0))</f>
        <v>0.34770000000000001</v>
      </c>
      <c r="AC142" s="1">
        <f t="shared" si="24"/>
        <v>7.0000000000000062E-3</v>
      </c>
    </row>
    <row r="143" spans="2:29" x14ac:dyDescent="0.25">
      <c r="B143" s="1">
        <v>33.155999999999999</v>
      </c>
      <c r="C143" s="9">
        <v>100</v>
      </c>
      <c r="D143" s="9">
        <v>0.32850000000000001</v>
      </c>
      <c r="E143" s="9">
        <v>340.8</v>
      </c>
      <c r="F143" s="1">
        <f t="shared" si="20"/>
        <v>0.32850000000000001</v>
      </c>
      <c r="H143" s="10">
        <f t="shared" si="21"/>
        <v>0.33824610555755052</v>
      </c>
      <c r="I143" s="10">
        <f t="shared" si="22"/>
        <v>-9.7461055575505107E-3</v>
      </c>
      <c r="J143" s="10">
        <f t="shared" si="23"/>
        <v>9.498657353891695E-5</v>
      </c>
      <c r="AB143" s="1">
        <f t="array" ref="AB143">MAX(IF($C$4:$C$200=MEDIAN($M$1-1,$M$1+1,C143),$D$4:$D$200,0))</f>
        <v>0.34770000000000001</v>
      </c>
      <c r="AC143" s="1">
        <f t="shared" si="24"/>
        <v>2.3000000000000242E-3</v>
      </c>
    </row>
    <row r="144" spans="2:29" x14ac:dyDescent="0.25">
      <c r="B144" s="1">
        <v>33.380000000000003</v>
      </c>
      <c r="C144" s="9">
        <v>100</v>
      </c>
      <c r="D144" s="9">
        <v>0.32619999999999999</v>
      </c>
      <c r="E144" s="9">
        <v>340.8</v>
      </c>
      <c r="F144" s="1">
        <f t="shared" si="20"/>
        <v>0.32619999999999999</v>
      </c>
      <c r="H144" s="10">
        <f t="shared" si="21"/>
        <v>0.33824416433695026</v>
      </c>
      <c r="I144" s="10">
        <f t="shared" si="22"/>
        <v>-1.2044164336950269E-2</v>
      </c>
      <c r="J144" s="10">
        <f t="shared" si="23"/>
        <v>1.4506189457546472E-4</v>
      </c>
      <c r="AB144" s="1">
        <f t="array" ref="AB144">MAX(IF($C$4:$C$200=MEDIAN($M$1-1,$M$1+1,C144),$D$4:$D$200,0))</f>
        <v>0.34770000000000001</v>
      </c>
      <c r="AC144" s="1">
        <f t="shared" si="24"/>
        <v>0</v>
      </c>
    </row>
    <row r="145" spans="1:29" x14ac:dyDescent="0.25">
      <c r="B145" s="1">
        <v>33.543999999999997</v>
      </c>
      <c r="C145" s="9">
        <v>100</v>
      </c>
      <c r="D145" s="9">
        <v>0.32619999999999999</v>
      </c>
      <c r="E145" s="9">
        <v>340.5</v>
      </c>
      <c r="F145" s="1">
        <f t="shared" si="20"/>
        <v>0.32619999999999999</v>
      </c>
      <c r="H145" s="10">
        <f t="shared" si="21"/>
        <v>0.33824283894000162</v>
      </c>
      <c r="I145" s="10">
        <f t="shared" si="22"/>
        <v>-1.2042838940001632E-2</v>
      </c>
      <c r="J145" s="10">
        <f t="shared" si="23"/>
        <v>1.4502996973481965E-4</v>
      </c>
      <c r="AB145" s="1">
        <f t="array" ref="AB145">MAX(IF($C$4:$C$200=MEDIAN($M$1-1,$M$1+1,C145),$D$4:$D$200,0))</f>
        <v>0.34770000000000001</v>
      </c>
      <c r="AC145" s="1">
        <f t="shared" si="24"/>
        <v>8.4000000000000186E-3</v>
      </c>
    </row>
    <row r="146" spans="1:29" x14ac:dyDescent="0.25">
      <c r="B146" s="1">
        <v>33.847999999999999</v>
      </c>
      <c r="C146" s="9">
        <v>100</v>
      </c>
      <c r="D146" s="9">
        <v>0.33460000000000001</v>
      </c>
      <c r="E146" s="9">
        <v>340.5</v>
      </c>
      <c r="F146" s="1">
        <f t="shared" si="20"/>
        <v>0.33460000000000001</v>
      </c>
      <c r="H146" s="10">
        <f t="shared" si="21"/>
        <v>0.33824057941564689</v>
      </c>
      <c r="I146" s="10">
        <f t="shared" si="22"/>
        <v>-3.6405794156468829E-3</v>
      </c>
      <c r="J146" s="10">
        <f t="shared" si="23"/>
        <v>1.32538184816318E-5</v>
      </c>
      <c r="AB146" s="1">
        <f t="array" ref="AB146">MAX(IF($C$4:$C$200=MEDIAN($M$1-1,$M$1+1,C146),$D$4:$D$200,0))</f>
        <v>0.34770000000000001</v>
      </c>
      <c r="AC146" s="1">
        <f t="shared" si="24"/>
        <v>2.7999999999999692E-3</v>
      </c>
    </row>
    <row r="147" spans="1:29" ht="15.75" customHeight="1" thickBot="1" x14ac:dyDescent="0.3">
      <c r="A147"/>
      <c r="B147" s="1">
        <v>34.116</v>
      </c>
      <c r="C147" s="9">
        <v>100</v>
      </c>
      <c r="D147" s="9">
        <v>0.33739999999999998</v>
      </c>
      <c r="E147" s="9">
        <v>341.5</v>
      </c>
      <c r="F147" s="1">
        <f t="shared" si="20"/>
        <v>0.33739999999999998</v>
      </c>
      <c r="G147"/>
      <c r="H147" s="10">
        <f t="shared" si="21"/>
        <v>0.33823878218117986</v>
      </c>
      <c r="I147" s="10">
        <f t="shared" si="22"/>
        <v>-8.3878218117988679E-4</v>
      </c>
      <c r="J147" s="10">
        <f t="shared" si="23"/>
        <v>7.0355554746488845E-7</v>
      </c>
      <c r="K147"/>
      <c r="L147"/>
      <c r="M147"/>
      <c r="AB147" s="3">
        <f t="array" ref="AB147">MAX(IF($C$4:$C$200=MEDIAN($M$1-1,$M$1+1,C147),$D$4:$D$200,0))</f>
        <v>0.34770000000000001</v>
      </c>
      <c r="AC147" s="3"/>
    </row>
    <row r="148" spans="1:29" x14ac:dyDescent="0.25">
      <c r="H148" s="10"/>
      <c r="I148" s="10"/>
      <c r="J148" s="10"/>
      <c r="AB148" s="1">
        <f t="array" ref="AB148">MAX(IF($C$4:$C$200=MEDIAN($M$1-1,$M$1+1,C148),$D$4:$D$200,0))</f>
        <v>0.34770000000000001</v>
      </c>
      <c r="AC148" s="1">
        <f>AVERAGE(AC4:AC146)</f>
        <v>2.7223776223776232E-2</v>
      </c>
    </row>
    <row r="149" spans="1:29" x14ac:dyDescent="0.25">
      <c r="H149" s="10"/>
      <c r="I149" s="10"/>
      <c r="J149" s="10"/>
    </row>
    <row r="150" spans="1:29" x14ac:dyDescent="0.25">
      <c r="H150" s="10"/>
      <c r="I150" s="10"/>
      <c r="J150" s="10"/>
    </row>
    <row r="151" spans="1:29" x14ac:dyDescent="0.25">
      <c r="H151" s="10"/>
      <c r="I151" s="10"/>
      <c r="J151" s="10"/>
    </row>
    <row r="152" spans="1:29" x14ac:dyDescent="0.25">
      <c r="H152" s="10"/>
      <c r="I152" s="10"/>
      <c r="J152" s="10"/>
    </row>
    <row r="153" spans="1:29" x14ac:dyDescent="0.25">
      <c r="H153" s="10"/>
      <c r="I153" s="10"/>
      <c r="J153" s="10"/>
    </row>
    <row r="154" spans="1:29" x14ac:dyDescent="0.25">
      <c r="H154" s="10"/>
      <c r="I154" s="10"/>
      <c r="J154" s="10"/>
    </row>
    <row r="155" spans="1:29" x14ac:dyDescent="0.25">
      <c r="H155" s="10"/>
      <c r="I155" s="10"/>
      <c r="J155" s="10"/>
    </row>
    <row r="156" spans="1:29" x14ac:dyDescent="0.25">
      <c r="H156" s="10"/>
      <c r="I156" s="10"/>
      <c r="J156" s="10"/>
    </row>
    <row r="157" spans="1:29" x14ac:dyDescent="0.25">
      <c r="H157" s="10"/>
      <c r="I157" s="10"/>
      <c r="J157" s="10"/>
    </row>
    <row r="158" spans="1:29" x14ac:dyDescent="0.25">
      <c r="H158" s="10"/>
      <c r="I158" s="10"/>
      <c r="J158" s="10"/>
    </row>
    <row r="159" spans="1:29" x14ac:dyDescent="0.25">
      <c r="H159" s="10"/>
      <c r="I159" s="10"/>
      <c r="J159" s="10"/>
    </row>
    <row r="160" spans="1:29" x14ac:dyDescent="0.25">
      <c r="H160" s="10"/>
      <c r="I160" s="10"/>
      <c r="J160" s="10"/>
    </row>
    <row r="161" spans="8:10" x14ac:dyDescent="0.25">
      <c r="H161" s="10"/>
      <c r="I161" s="10"/>
      <c r="J161" s="10"/>
    </row>
    <row r="162" spans="8:10" x14ac:dyDescent="0.25">
      <c r="H162" s="10"/>
      <c r="I162" s="10"/>
      <c r="J162" s="10"/>
    </row>
    <row r="163" spans="8:10" x14ac:dyDescent="0.25">
      <c r="H163" s="10"/>
      <c r="I163" s="10"/>
      <c r="J163" s="10"/>
    </row>
    <row r="164" spans="8:10" x14ac:dyDescent="0.25">
      <c r="H164" s="10"/>
      <c r="I164" s="10"/>
      <c r="J164" s="10"/>
    </row>
    <row r="165" spans="8:10" x14ac:dyDescent="0.25">
      <c r="H165" s="10"/>
      <c r="I165" s="10"/>
      <c r="J165" s="10"/>
    </row>
    <row r="166" spans="8:10" x14ac:dyDescent="0.25">
      <c r="H166" s="10"/>
      <c r="I166" s="10"/>
      <c r="J166" s="10"/>
    </row>
    <row r="167" spans="8:10" x14ac:dyDescent="0.25">
      <c r="H167" s="10"/>
      <c r="I167" s="10"/>
      <c r="J167" s="10"/>
    </row>
    <row r="168" spans="8:10" x14ac:dyDescent="0.25">
      <c r="H168" s="10"/>
      <c r="I168" s="10"/>
      <c r="J168" s="10"/>
    </row>
    <row r="169" spans="8:10" x14ac:dyDescent="0.25">
      <c r="H169" s="10"/>
      <c r="I169" s="10"/>
      <c r="J169" s="10"/>
    </row>
    <row r="170" spans="8:10" x14ac:dyDescent="0.25">
      <c r="H170" s="10"/>
      <c r="I170" s="10"/>
      <c r="J170" s="10"/>
    </row>
    <row r="171" spans="8:10" x14ac:dyDescent="0.25">
      <c r="H171" s="10"/>
      <c r="I171" s="10"/>
      <c r="J171" s="10"/>
    </row>
    <row r="172" spans="8:10" x14ac:dyDescent="0.25">
      <c r="H172" s="10"/>
      <c r="I172" s="10"/>
      <c r="J172" s="10"/>
    </row>
    <row r="173" spans="8:10" x14ac:dyDescent="0.25">
      <c r="H173" s="10"/>
      <c r="I173" s="10"/>
      <c r="J173" s="10"/>
    </row>
    <row r="174" spans="8:10" x14ac:dyDescent="0.25">
      <c r="H174" s="10"/>
      <c r="I174" s="10"/>
      <c r="J174" s="10"/>
    </row>
    <row r="175" spans="8:10" x14ac:dyDescent="0.25">
      <c r="H175" s="10"/>
      <c r="I175" s="10"/>
      <c r="J175" s="10"/>
    </row>
    <row r="176" spans="8:10" x14ac:dyDescent="0.25">
      <c r="H176" s="10"/>
      <c r="I176" s="10"/>
      <c r="J176" s="10"/>
    </row>
    <row r="177" spans="8:10" x14ac:dyDescent="0.25">
      <c r="H177" s="10"/>
      <c r="I177" s="10"/>
      <c r="J177" s="10"/>
    </row>
    <row r="178" spans="8:10" x14ac:dyDescent="0.25">
      <c r="H178" s="10"/>
      <c r="I178" s="10"/>
      <c r="J178" s="10"/>
    </row>
    <row r="179" spans="8:10" x14ac:dyDescent="0.25">
      <c r="H179" s="10"/>
      <c r="I179" s="10"/>
      <c r="J179" s="10"/>
    </row>
    <row r="180" spans="8:10" x14ac:dyDescent="0.25">
      <c r="H180" s="10"/>
      <c r="I180" s="10"/>
      <c r="J180" s="10"/>
    </row>
    <row r="181" spans="8:10" x14ac:dyDescent="0.25">
      <c r="H181" s="10"/>
      <c r="I181" s="10"/>
      <c r="J181" s="10"/>
    </row>
    <row r="182" spans="8:10" x14ac:dyDescent="0.25">
      <c r="H182" s="10"/>
      <c r="I182" s="10"/>
      <c r="J182" s="10"/>
    </row>
    <row r="183" spans="8:10" x14ac:dyDescent="0.25">
      <c r="H183" s="10"/>
      <c r="I183" s="10"/>
      <c r="J183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5537A2CB-8011-406B-B39E-C5D887035F30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0819D1EE-68B6-4EF8-ABEC-622D48D03542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Automation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Automation!solver_rhs13</vt:lpstr>
      <vt:lpstr>Automation!solver_rhs17</vt:lpstr>
      <vt:lpstr>Automation!solver_rhs21</vt:lpstr>
      <vt:lpstr>Automation!solver_rhs25</vt:lpstr>
      <vt:lpstr>Automation!solver_rhs5</vt:lpstr>
      <vt:lpstr>Automation!solver_rhs9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2016-05-04T13:53:28Z</dcterms:modified>
</cp:coreProperties>
</file>