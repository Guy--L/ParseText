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480" activeTab="1"/>
  </bookViews>
  <sheets>
    <sheet name="Run Sheet" sheetId="1" r:id="rId1"/>
    <sheet name="Sample ID Sort" sheetId="2" r:id="rId2"/>
  </sheets>
  <definedNames>
    <definedName name="_xlnm._FilterDatabase" localSheetId="0" hidden="1">'Run Sheet'!$E$3:$I$26</definedName>
    <definedName name="_xlnm.Print_Titles" localSheetId="0">'Run Sheet'!$1:$2</definedName>
  </definedNames>
  <calcPr calcId="125725"/>
</workbook>
</file>

<file path=xl/calcChain.xml><?xml version="1.0" encoding="utf-8"?>
<calcChain xmlns="http://schemas.openxmlformats.org/spreadsheetml/2006/main">
  <c r="B14" i="1"/>
  <c r="B13"/>
  <c r="B12"/>
  <c r="B11"/>
  <c r="B10"/>
  <c r="B9"/>
  <c r="B8"/>
  <c r="B7"/>
  <c r="B6"/>
  <c r="B5"/>
  <c r="B4"/>
  <c r="B3"/>
  <c r="J14"/>
  <c r="K14" s="1"/>
  <c r="J13"/>
  <c r="K13" s="1"/>
  <c r="J12"/>
  <c r="K12" s="1"/>
  <c r="J11"/>
  <c r="K11" s="1"/>
  <c r="J10"/>
  <c r="K10" s="1"/>
  <c r="J9"/>
  <c r="K9" s="1"/>
  <c r="J8"/>
  <c r="K8" s="1"/>
  <c r="J7"/>
  <c r="K7" s="1"/>
  <c r="J6"/>
  <c r="K6" s="1"/>
  <c r="J5"/>
  <c r="K5" s="1"/>
  <c r="J4"/>
  <c r="K4" s="1"/>
  <c r="J3"/>
  <c r="K3" s="1"/>
  <c r="I5"/>
  <c r="I4"/>
  <c r="I11"/>
  <c r="I10"/>
  <c r="I13"/>
  <c r="I8"/>
  <c r="I3"/>
  <c r="I7"/>
  <c r="I14"/>
  <c r="I9"/>
  <c r="I6"/>
  <c r="I12"/>
  <c r="A14" l="1"/>
  <c r="A13"/>
  <c r="A12"/>
  <c r="A11"/>
  <c r="A10"/>
  <c r="A9"/>
  <c r="A8"/>
  <c r="A7"/>
  <c r="A4" l="1"/>
  <c r="A3"/>
  <c r="A6"/>
  <c r="A5"/>
</calcChain>
</file>

<file path=xl/sharedStrings.xml><?xml version="1.0" encoding="utf-8"?>
<sst xmlns="http://schemas.openxmlformats.org/spreadsheetml/2006/main" count="99" uniqueCount="34">
  <si>
    <t>SAMPLE NAME</t>
  </si>
  <si>
    <t>COMMENTS</t>
  </si>
  <si>
    <t>ROTATIONAL SPEED (sec -1)</t>
  </si>
  <si>
    <t>A</t>
  </si>
  <si>
    <t>B</t>
  </si>
  <si>
    <t>C</t>
  </si>
  <si>
    <t>D</t>
  </si>
  <si>
    <t>Product/Prototype Name</t>
  </si>
  <si>
    <t>Submitted Sample Description</t>
  </si>
  <si>
    <t>Test</t>
  </si>
  <si>
    <t>Random</t>
  </si>
  <si>
    <t>Container ID</t>
  </si>
  <si>
    <t>Test Code</t>
  </si>
  <si>
    <t>Test Date</t>
  </si>
  <si>
    <t>Product</t>
  </si>
  <si>
    <t>Sample</t>
  </si>
  <si>
    <t>Sample ID#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</si>
  <si>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</si>
  <si>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</t>
  </si>
  <si>
    <t>F</t>
  </si>
  <si>
    <t>G</t>
  </si>
  <si>
    <t>H</t>
  </si>
  <si>
    <t>I</t>
  </si>
  <si>
    <t>J</t>
  </si>
  <si>
    <t>K</t>
  </si>
  <si>
    <t>L</t>
  </si>
  <si>
    <t>1.00_s-1 min 100_s</t>
  </si>
  <si>
    <t>100_s</t>
  </si>
  <si>
    <t>REQUEST 343, EXPERIMENT EXP-15-CG27-94</t>
  </si>
  <si>
    <t>DOX - 100FA 100GMO 100TEA (ShG BS BP chassis)</t>
  </si>
  <si>
    <t>EXP-15-CC44-14-100100100-G-FP-002</t>
  </si>
  <si>
    <t>EXP-15-CC44-14-100100100-G-FP-004</t>
  </si>
  <si>
    <t>EXP-15-CC44-14-100100100-G-FP-006</t>
  </si>
  <si>
    <t>9/4/15 testing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</si>
</sst>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14" fontId="0" fillId="0" borderId="0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58"/>
  <sheetViews>
    <sheetView zoomScale="85" zoomScaleNormal="85" workbookViewId="0">
      <pane xSplit="4" ySplit="2" topLeftCell="E6" activePane="bottomRight" state="frozen"/>
      <selection pane="topRight" activeCell="E1" sqref="E1"/>
      <selection pane="bottomLeft" activeCell="A3" sqref="A3"/>
      <selection pane="bottomRight" activeCell="E3" sqref="E3:G14"/>
    </sheetView>
  </sheetViews>
  <sheetFormatPr defaultRowHeight="30" customHeight="1"/>
  <cols>
    <col min="1" max="1" width="7.42578125" customWidth="1"/>
    <col min="2" max="2" width="42.5703125" customWidth="1"/>
    <col min="3" max="3" width="13.5703125" customWidth="1"/>
    <col min="4" max="4" width="36.85546875" customWidth="1"/>
    <col min="5" max="5" width="45.85546875" bestFit="1" customWidth="1"/>
    <col min="6" max="6" width="34.28515625" customWidth="1"/>
    <col min="7" max="7" width="10" style="11" customWidth="1"/>
    <col min="8" max="8" width="18.28515625" bestFit="1" customWidth="1"/>
    <col min="10" max="10" width="19.140625" customWidth="1"/>
    <col min="11" max="11" width="53.7109375" bestFit="1" customWidth="1"/>
  </cols>
  <sheetData>
    <row r="1" spans="1:11" ht="30" customHeight="1">
      <c r="A1" s="19" t="s">
        <v>28</v>
      </c>
      <c r="B1" s="20"/>
      <c r="C1" s="20"/>
      <c r="D1" s="21"/>
    </row>
    <row r="2" spans="1:11" ht="30" customHeight="1">
      <c r="A2" s="4" t="s">
        <v>17</v>
      </c>
      <c r="B2" s="4" t="s">
        <v>0</v>
      </c>
      <c r="C2" s="5" t="s">
        <v>2</v>
      </c>
      <c r="D2" s="4" t="s">
        <v>1</v>
      </c>
      <c r="E2" s="6" t="s">
        <v>7</v>
      </c>
      <c r="F2" s="7" t="s">
        <v>8</v>
      </c>
      <c r="G2" s="13" t="s">
        <v>11</v>
      </c>
      <c r="H2" t="s">
        <v>9</v>
      </c>
      <c r="I2" t="s">
        <v>10</v>
      </c>
    </row>
    <row r="3" spans="1:11" ht="39.950000000000003" customHeight="1">
      <c r="A3" s="1" t="str">
        <f t="shared" ref="A3:A14" si="0">CHAR(65+ROW(A3)-ROW(A$3))</f>
        <v>A</v>
      </c>
      <c r="B3" s="14" t="str">
        <f>E3 &amp; CHAR(10) &amp; F3 &amp; "                           " &amp;  RIGHT(G3, 3) &amp; CHAR(10) &amp; H3 &amp;"                                                             "&amp;A3</f>
        <v>DOX - 100FA 100GMO 100TEA (ShG BS BP chassis)
EXP-15-CC44-14-100100100-G-FP-004                           699
1.00_s-1 min 100_s                                                             A</v>
      </c>
      <c r="C3" s="3">
        <v>100</v>
      </c>
      <c r="D3" s="2" t="s">
        <v>33</v>
      </c>
      <c r="E3" t="s">
        <v>29</v>
      </c>
      <c r="F3" t="s">
        <v>31</v>
      </c>
      <c r="G3">
        <v>30699</v>
      </c>
      <c r="H3" s="11" t="s">
        <v>26</v>
      </c>
      <c r="I3" s="11">
        <f t="shared" ref="I3:I14" ca="1" si="1">RAND()</f>
        <v>2.8057474965233808E-2</v>
      </c>
      <c r="J3" s="11" t="str">
        <f xml:space="preserve"> IF(LEN(H3) = 5, "100_s", "1_00_s-1 min 100_s")</f>
        <v>1_00_s-1 min 100_s</v>
      </c>
      <c r="K3" t="str">
        <f xml:space="preserve"> F3 &amp; " " &amp;J3 &amp; " " &amp; A3</f>
        <v>EXP-15-CC44-14-100100100-G-FP-004 1_00_s-1 min 100_s A</v>
      </c>
    </row>
    <row r="4" spans="1:11" ht="39.950000000000003" customHeight="1">
      <c r="A4" s="1" t="str">
        <f t="shared" si="0"/>
        <v>B</v>
      </c>
      <c r="B4" s="14" t="str">
        <f t="shared" ref="B4:B8" si="2">E4 &amp; CHAR(10) &amp; F4 &amp; "                           " &amp;  RIGHT(G4, 3) &amp; CHAR(10) &amp; H4 &amp;"                                                             "&amp;A4</f>
        <v>DOX - 100FA 100GMO 100TEA (ShG BS BP chassis)
EXP-15-CC44-14-100100100-G-FP-002                           697
1.00_s-1 min 100_s                                                             B</v>
      </c>
      <c r="C4" s="3">
        <v>100</v>
      </c>
      <c r="D4" s="2" t="s">
        <v>33</v>
      </c>
      <c r="E4" t="s">
        <v>29</v>
      </c>
      <c r="F4" s="17" t="s">
        <v>30</v>
      </c>
      <c r="G4">
        <v>30697</v>
      </c>
      <c r="H4" s="11" t="s">
        <v>26</v>
      </c>
      <c r="I4" s="11">
        <f t="shared" ca="1" si="1"/>
        <v>0.97509800475669639</v>
      </c>
      <c r="J4" s="11" t="str">
        <f t="shared" ref="J4:J14" si="3" xml:space="preserve"> IF(LEN(H4) = 5, "100_s", "1_00_s-1 min 100_s")</f>
        <v>1_00_s-1 min 100_s</v>
      </c>
      <c r="K4" t="str">
        <f t="shared" ref="K4:K14" si="4" xml:space="preserve"> F4 &amp; " " &amp;J4 &amp; " " &amp; A4</f>
        <v>EXP-15-CC44-14-100100100-G-FP-002 1_00_s-1 min 100_s B</v>
      </c>
    </row>
    <row r="5" spans="1:11" ht="39.950000000000003" customHeight="1">
      <c r="A5" s="1" t="str">
        <f t="shared" si="0"/>
        <v>C</v>
      </c>
      <c r="B5" s="14" t="str">
        <f t="shared" si="2"/>
        <v>DOX - 100FA 100GMO 100TEA (ShG BS BP chassis)
EXP-15-CC44-14-100100100-G-FP-006                           701
1.00_s-1 min 100_s                                                             C</v>
      </c>
      <c r="C5" s="3">
        <v>100</v>
      </c>
      <c r="D5" s="2" t="s">
        <v>33</v>
      </c>
      <c r="E5" t="s">
        <v>29</v>
      </c>
      <c r="F5" t="s">
        <v>32</v>
      </c>
      <c r="G5">
        <v>30701</v>
      </c>
      <c r="H5" s="11" t="s">
        <v>26</v>
      </c>
      <c r="I5" s="11">
        <f t="shared" ca="1" si="1"/>
        <v>0.84773994517673867</v>
      </c>
      <c r="J5" s="11" t="str">
        <f t="shared" si="3"/>
        <v>1_00_s-1 min 100_s</v>
      </c>
      <c r="K5" t="str">
        <f t="shared" si="4"/>
        <v>EXP-15-CC44-14-100100100-G-FP-006 1_00_s-1 min 100_s C</v>
      </c>
    </row>
    <row r="6" spans="1:11" ht="39.950000000000003" customHeight="1">
      <c r="A6" s="1" t="str">
        <f t="shared" si="0"/>
        <v>D</v>
      </c>
      <c r="B6" s="14" t="str">
        <f t="shared" si="2"/>
        <v>DOX - 100FA 100GMO 100TEA (ShG BS BP chassis)
EXP-15-CC44-14-100100100-G-FP-002                           697
1.00_s-1 min 100_s                                                             D</v>
      </c>
      <c r="C6" s="3">
        <v>100</v>
      </c>
      <c r="D6" s="2" t="s">
        <v>33</v>
      </c>
      <c r="E6" t="s">
        <v>29</v>
      </c>
      <c r="F6" s="17" t="s">
        <v>30</v>
      </c>
      <c r="G6">
        <v>30697</v>
      </c>
      <c r="H6" s="11" t="s">
        <v>26</v>
      </c>
      <c r="I6" s="11">
        <f t="shared" ca="1" si="1"/>
        <v>0.38261940381700366</v>
      </c>
      <c r="J6" s="11" t="str">
        <f t="shared" si="3"/>
        <v>1_00_s-1 min 100_s</v>
      </c>
      <c r="K6" t="str">
        <f t="shared" si="4"/>
        <v>EXP-15-CC44-14-100100100-G-FP-002 1_00_s-1 min 100_s D</v>
      </c>
    </row>
    <row r="7" spans="1:11" ht="39.950000000000003" customHeight="1">
      <c r="A7" s="1" t="str">
        <f t="shared" si="0"/>
        <v>E</v>
      </c>
      <c r="B7" s="14" t="str">
        <f t="shared" si="2"/>
        <v>DOX - 100FA 100GMO 100TEA (ShG BS BP chassis)
EXP-15-CC44-14-100100100-G-FP-006                           701
1.00_s-1 min 100_s                                                             E</v>
      </c>
      <c r="C7" s="3">
        <v>100</v>
      </c>
      <c r="D7" s="2" t="s">
        <v>33</v>
      </c>
      <c r="E7" t="s">
        <v>29</v>
      </c>
      <c r="F7" t="s">
        <v>32</v>
      </c>
      <c r="G7">
        <v>30701</v>
      </c>
      <c r="H7" s="11" t="s">
        <v>26</v>
      </c>
      <c r="I7" s="11">
        <f t="shared" ca="1" si="1"/>
        <v>0.80398797083391127</v>
      </c>
      <c r="J7" s="11" t="str">
        <f t="shared" si="3"/>
        <v>1_00_s-1 min 100_s</v>
      </c>
      <c r="K7" t="str">
        <f t="shared" si="4"/>
        <v>EXP-15-CC44-14-100100100-G-FP-006 1_00_s-1 min 100_s E</v>
      </c>
    </row>
    <row r="8" spans="1:11" ht="39.950000000000003" customHeight="1">
      <c r="A8" s="1" t="str">
        <f t="shared" si="0"/>
        <v>F</v>
      </c>
      <c r="B8" s="14" t="str">
        <f t="shared" si="2"/>
        <v>DOX - 100FA 100GMO 100TEA (ShG BS BP chassis)
EXP-15-CC44-14-100100100-G-FP-004                           699
1.00_s-1 min 100_s                                                             F</v>
      </c>
      <c r="C8" s="3">
        <v>100</v>
      </c>
      <c r="D8" s="2" t="s">
        <v>33</v>
      </c>
      <c r="E8" t="s">
        <v>29</v>
      </c>
      <c r="F8" t="s">
        <v>31</v>
      </c>
      <c r="G8">
        <v>30699</v>
      </c>
      <c r="H8" s="11" t="s">
        <v>26</v>
      </c>
      <c r="I8" s="11">
        <f t="shared" ca="1" si="1"/>
        <v>0.41369410388767136</v>
      </c>
      <c r="J8" s="11" t="str">
        <f t="shared" si="3"/>
        <v>1_00_s-1 min 100_s</v>
      </c>
      <c r="K8" t="str">
        <f t="shared" si="4"/>
        <v>EXP-15-CC44-14-100100100-G-FP-004 1_00_s-1 min 100_s F</v>
      </c>
    </row>
    <row r="9" spans="1:11" ht="39.950000000000003" customHeight="1">
      <c r="A9" s="1" t="str">
        <f t="shared" si="0"/>
        <v>G</v>
      </c>
      <c r="B9" s="14" t="str">
        <f>E9 &amp; CHAR(10) &amp; F9 &amp; "                           " &amp;  RIGHT(G9, 3) &amp; CHAR(10) &amp; H9 &amp;"                                                                                            "&amp;A9</f>
        <v>DOX - 100FA 100GMO 100TEA (ShG BS BP chassis)
EXP-15-CC44-14-100100100-G-FP-006                           701
100_s                                                                                            G</v>
      </c>
      <c r="C9" s="3">
        <v>100</v>
      </c>
      <c r="D9" s="2" t="s">
        <v>33</v>
      </c>
      <c r="E9" t="s">
        <v>29</v>
      </c>
      <c r="F9" t="s">
        <v>32</v>
      </c>
      <c r="G9">
        <v>30701</v>
      </c>
      <c r="H9" s="11" t="s">
        <v>27</v>
      </c>
      <c r="I9" s="11">
        <f t="shared" ca="1" si="1"/>
        <v>0.28764778796181822</v>
      </c>
      <c r="J9" s="11" t="str">
        <f t="shared" si="3"/>
        <v>100_s</v>
      </c>
      <c r="K9" t="str">
        <f t="shared" si="4"/>
        <v>EXP-15-CC44-14-100100100-G-FP-006 100_s G</v>
      </c>
    </row>
    <row r="10" spans="1:11" ht="39.950000000000003" customHeight="1">
      <c r="A10" s="1" t="str">
        <f t="shared" si="0"/>
        <v>H</v>
      </c>
      <c r="B10" s="14" t="str">
        <f t="shared" ref="B10:B14" si="5">E10 &amp; CHAR(10) &amp; F10 &amp; "                           " &amp;  RIGHT(G10, 3) &amp; CHAR(10) &amp; H10 &amp;"                                                                                            "&amp;A10</f>
        <v>DOX - 100FA 100GMO 100TEA (ShG BS BP chassis)
EXP-15-CC44-14-100100100-G-FP-004                           699
100_s                                                                                            H</v>
      </c>
      <c r="C10" s="3">
        <v>100</v>
      </c>
      <c r="D10" s="2" t="s">
        <v>33</v>
      </c>
      <c r="E10" t="s">
        <v>29</v>
      </c>
      <c r="F10" t="s">
        <v>31</v>
      </c>
      <c r="G10">
        <v>30699</v>
      </c>
      <c r="H10" s="11" t="s">
        <v>27</v>
      </c>
      <c r="I10" s="11">
        <f t="shared" ca="1" si="1"/>
        <v>0.42278955195796653</v>
      </c>
      <c r="J10" s="11" t="str">
        <f t="shared" si="3"/>
        <v>100_s</v>
      </c>
      <c r="K10" t="str">
        <f t="shared" si="4"/>
        <v>EXP-15-CC44-14-100100100-G-FP-004 100_s H</v>
      </c>
    </row>
    <row r="11" spans="1:11" ht="39.950000000000003" customHeight="1">
      <c r="A11" s="1" t="str">
        <f t="shared" si="0"/>
        <v>I</v>
      </c>
      <c r="B11" s="14" t="str">
        <f t="shared" si="5"/>
        <v>DOX - 100FA 100GMO 100TEA (ShG BS BP chassis)
EXP-15-CC44-14-100100100-G-FP-002                           697
100_s                                                                                            I</v>
      </c>
      <c r="C11" s="3">
        <v>100</v>
      </c>
      <c r="D11" s="2" t="s">
        <v>33</v>
      </c>
      <c r="E11" t="s">
        <v>29</v>
      </c>
      <c r="F11" s="17" t="s">
        <v>30</v>
      </c>
      <c r="G11">
        <v>30697</v>
      </c>
      <c r="H11" s="11" t="s">
        <v>27</v>
      </c>
      <c r="I11" s="11">
        <f t="shared" ca="1" si="1"/>
        <v>0.44770319033278572</v>
      </c>
      <c r="J11" s="11" t="str">
        <f t="shared" si="3"/>
        <v>100_s</v>
      </c>
      <c r="K11" t="str">
        <f t="shared" si="4"/>
        <v>EXP-15-CC44-14-100100100-G-FP-002 100_s I</v>
      </c>
    </row>
    <row r="12" spans="1:11" ht="39.950000000000003" customHeight="1">
      <c r="A12" s="1" t="str">
        <f t="shared" si="0"/>
        <v>J</v>
      </c>
      <c r="B12" s="14" t="str">
        <f t="shared" si="5"/>
        <v>DOX - 100FA 100GMO 100TEA (ShG BS BP chassis)
EXP-15-CC44-14-100100100-G-FP-006                           701
100_s                                                                                            J</v>
      </c>
      <c r="C12" s="3">
        <v>100</v>
      </c>
      <c r="D12" s="2" t="s">
        <v>33</v>
      </c>
      <c r="E12" t="s">
        <v>29</v>
      </c>
      <c r="F12" t="s">
        <v>32</v>
      </c>
      <c r="G12">
        <v>30701</v>
      </c>
      <c r="H12" s="11" t="s">
        <v>27</v>
      </c>
      <c r="I12" s="11">
        <f t="shared" ca="1" si="1"/>
        <v>7.7189638686649076E-2</v>
      </c>
      <c r="J12" s="11" t="str">
        <f t="shared" si="3"/>
        <v>100_s</v>
      </c>
      <c r="K12" t="str">
        <f t="shared" si="4"/>
        <v>EXP-15-CC44-14-100100100-G-FP-006 100_s J</v>
      </c>
    </row>
    <row r="13" spans="1:11" ht="39.950000000000003" customHeight="1">
      <c r="A13" s="1" t="str">
        <f t="shared" si="0"/>
        <v>K</v>
      </c>
      <c r="B13" s="14" t="str">
        <f t="shared" si="5"/>
        <v>DOX - 100FA 100GMO 100TEA (ShG BS BP chassis)
EXP-15-CC44-14-100100100-G-FP-004                           699
100_s                                                                                            K</v>
      </c>
      <c r="C13" s="3">
        <v>100</v>
      </c>
      <c r="D13" s="2" t="s">
        <v>33</v>
      </c>
      <c r="E13" t="s">
        <v>29</v>
      </c>
      <c r="F13" t="s">
        <v>31</v>
      </c>
      <c r="G13">
        <v>30699</v>
      </c>
      <c r="H13" s="11" t="s">
        <v>27</v>
      </c>
      <c r="I13" s="11">
        <f t="shared" ca="1" si="1"/>
        <v>0.23135030330567741</v>
      </c>
      <c r="J13" s="11" t="str">
        <f t="shared" si="3"/>
        <v>100_s</v>
      </c>
      <c r="K13" t="str">
        <f t="shared" si="4"/>
        <v>EXP-15-CC44-14-100100100-G-FP-004 100_s K</v>
      </c>
    </row>
    <row r="14" spans="1:11" ht="39.950000000000003" customHeight="1">
      <c r="A14" s="1" t="str">
        <f t="shared" si="0"/>
        <v>L</v>
      </c>
      <c r="B14" s="14" t="str">
        <f t="shared" si="5"/>
        <v>DOX - 100FA 100GMO 100TEA (ShG BS BP chassis)
EXP-15-CC44-14-100100100-G-FP-002                           697
100_s                                                                                            L</v>
      </c>
      <c r="C14" s="3">
        <v>100</v>
      </c>
      <c r="D14" s="2" t="s">
        <v>33</v>
      </c>
      <c r="E14" t="s">
        <v>29</v>
      </c>
      <c r="F14" s="17" t="s">
        <v>30</v>
      </c>
      <c r="G14">
        <v>30697</v>
      </c>
      <c r="H14" s="11" t="s">
        <v>27</v>
      </c>
      <c r="I14" s="11">
        <f t="shared" ca="1" si="1"/>
        <v>0.67746583485723932</v>
      </c>
      <c r="J14" s="11" t="str">
        <f t="shared" si="3"/>
        <v>100_s</v>
      </c>
      <c r="K14" t="str">
        <f t="shared" si="4"/>
        <v>EXP-15-CC44-14-100100100-G-FP-002 100_s L</v>
      </c>
    </row>
    <row r="15" spans="1:11" ht="39.950000000000003" customHeight="1">
      <c r="G15"/>
    </row>
    <row r="16" spans="1:11" ht="39.950000000000003" customHeight="1">
      <c r="G16"/>
    </row>
    <row r="17" spans="7:7" ht="39.950000000000003" customHeight="1">
      <c r="G17"/>
    </row>
    <row r="18" spans="7:7" ht="39.950000000000003" customHeight="1">
      <c r="G18"/>
    </row>
    <row r="19" spans="7:7" ht="39.950000000000003" customHeight="1">
      <c r="G19"/>
    </row>
    <row r="20" spans="7:7" ht="39.950000000000003" customHeight="1">
      <c r="G20"/>
    </row>
    <row r="21" spans="7:7" ht="39.950000000000003" customHeight="1">
      <c r="G21"/>
    </row>
    <row r="22" spans="7:7" ht="39.950000000000003" customHeight="1">
      <c r="G22"/>
    </row>
    <row r="23" spans="7:7" ht="39.950000000000003" customHeight="1">
      <c r="G23"/>
    </row>
    <row r="24" spans="7:7" ht="39.950000000000003" customHeight="1">
      <c r="G24"/>
    </row>
    <row r="25" spans="7:7" ht="39.950000000000003" customHeight="1">
      <c r="G25"/>
    </row>
    <row r="26" spans="7:7" ht="39.950000000000003" customHeight="1">
      <c r="G26"/>
    </row>
    <row r="27" spans="7:7" ht="39.950000000000003" customHeight="1">
      <c r="G27"/>
    </row>
    <row r="28" spans="7:7" ht="39.950000000000003" customHeight="1">
      <c r="G28"/>
    </row>
    <row r="29" spans="7:7" ht="39.950000000000003" customHeight="1">
      <c r="G29"/>
    </row>
    <row r="30" spans="7:7" ht="39.950000000000003" customHeight="1">
      <c r="G30"/>
    </row>
    <row r="31" spans="7:7" ht="39.950000000000003" customHeight="1">
      <c r="G31"/>
    </row>
    <row r="32" spans="7:7" ht="39.950000000000003" customHeight="1">
      <c r="G32"/>
    </row>
    <row r="33" spans="7:7" ht="39.950000000000003" customHeight="1">
      <c r="G33"/>
    </row>
    <row r="34" spans="7:7" ht="39.950000000000003" customHeight="1">
      <c r="G34"/>
    </row>
    <row r="35" spans="7:7" ht="39.950000000000003" customHeight="1">
      <c r="G35"/>
    </row>
    <row r="36" spans="7:7" ht="39.950000000000003" customHeight="1">
      <c r="G36"/>
    </row>
    <row r="37" spans="7:7" ht="39.950000000000003" customHeight="1">
      <c r="G37"/>
    </row>
    <row r="38" spans="7:7" ht="39.950000000000003" customHeight="1">
      <c r="G38"/>
    </row>
    <row r="39" spans="7:7" ht="39.950000000000003" customHeight="1">
      <c r="G39"/>
    </row>
    <row r="40" spans="7:7" ht="39.950000000000003" customHeight="1">
      <c r="G40"/>
    </row>
    <row r="41" spans="7:7" ht="39.950000000000003" customHeight="1">
      <c r="G41"/>
    </row>
    <row r="42" spans="7:7" ht="39.950000000000003" customHeight="1">
      <c r="G42"/>
    </row>
    <row r="43" spans="7:7" ht="39.950000000000003" customHeight="1">
      <c r="G43"/>
    </row>
    <row r="44" spans="7:7" ht="39.950000000000003" customHeight="1">
      <c r="G44"/>
    </row>
    <row r="45" spans="7:7" ht="39.950000000000003" customHeight="1">
      <c r="G45"/>
    </row>
    <row r="46" spans="7:7" ht="39.950000000000003" customHeight="1">
      <c r="G46"/>
    </row>
    <row r="47" spans="7:7" ht="39.950000000000003" customHeight="1">
      <c r="G47"/>
    </row>
    <row r="48" spans="7:7" ht="39.950000000000003" customHeight="1">
      <c r="G48"/>
    </row>
    <row r="49" spans="7:10" ht="39.950000000000003" customHeight="1">
      <c r="G49"/>
    </row>
    <row r="50" spans="7:10" ht="39.950000000000003" customHeight="1">
      <c r="G50"/>
    </row>
    <row r="51" spans="7:10" ht="30" customHeight="1">
      <c r="G51"/>
    </row>
    <row r="52" spans="7:10" ht="30" customHeight="1">
      <c r="G52"/>
    </row>
    <row r="53" spans="7:10" ht="30" customHeight="1">
      <c r="I53" s="11"/>
      <c r="J53" s="11"/>
    </row>
    <row r="54" spans="7:10" ht="30" customHeight="1">
      <c r="I54" s="11"/>
      <c r="J54" s="11"/>
    </row>
    <row r="55" spans="7:10" ht="30" customHeight="1">
      <c r="I55" s="11"/>
      <c r="J55" s="11"/>
    </row>
    <row r="56" spans="7:10" ht="30" customHeight="1">
      <c r="I56" s="11"/>
      <c r="J56" s="11"/>
    </row>
    <row r="57" spans="7:10" ht="30" customHeight="1">
      <c r="I57" s="11"/>
      <c r="J57" s="11"/>
    </row>
    <row r="58" spans="7:10" ht="30" customHeight="1">
      <c r="I58" s="11"/>
      <c r="J58" s="11"/>
    </row>
  </sheetData>
  <sortState ref="E9:I14">
    <sortCondition ref="I9:I14"/>
  </sortState>
  <mergeCells count="1">
    <mergeCell ref="A1:D1"/>
  </mergeCells>
  <pageMargins left="0.31" right="0.24" top="1.19" bottom="0.28999999999999998" header="0.23" footer="0.2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3"/>
  <sheetViews>
    <sheetView tabSelected="1" workbookViewId="0">
      <selection activeCell="A2" sqref="A2:E13"/>
    </sheetView>
  </sheetViews>
  <sheetFormatPr defaultRowHeight="15"/>
  <cols>
    <col min="1" max="1" width="6.7109375" customWidth="1"/>
    <col min="2" max="2" width="9.7109375" bestFit="1" customWidth="1"/>
    <col min="3" max="3" width="44.5703125" bestFit="1" customWidth="1"/>
    <col min="4" max="4" width="33.85546875" bestFit="1" customWidth="1"/>
    <col min="5" max="5" width="7.5703125" bestFit="1" customWidth="1"/>
  </cols>
  <sheetData>
    <row r="1" spans="1:5" ht="30.75" thickBot="1">
      <c r="A1" s="8" t="s">
        <v>12</v>
      </c>
      <c r="B1" s="9" t="s">
        <v>13</v>
      </c>
      <c r="C1" s="9" t="s">
        <v>14</v>
      </c>
      <c r="D1" s="8" t="s">
        <v>15</v>
      </c>
      <c r="E1" s="8" t="s">
        <v>16</v>
      </c>
    </row>
    <row r="2" spans="1:5">
      <c r="A2" s="10" t="s">
        <v>4</v>
      </c>
      <c r="B2" s="15">
        <v>42261</v>
      </c>
      <c r="C2" s="17" t="s">
        <v>29</v>
      </c>
      <c r="D2" s="17" t="s">
        <v>30</v>
      </c>
      <c r="E2">
        <v>30697</v>
      </c>
    </row>
    <row r="3" spans="1:5">
      <c r="A3" s="10" t="s">
        <v>6</v>
      </c>
      <c r="B3" s="15">
        <v>42261</v>
      </c>
      <c r="C3" s="17" t="s">
        <v>29</v>
      </c>
      <c r="D3" s="17" t="s">
        <v>30</v>
      </c>
      <c r="E3">
        <v>30697</v>
      </c>
    </row>
    <row r="4" spans="1:5">
      <c r="A4" s="11" t="s">
        <v>22</v>
      </c>
      <c r="B4" s="15">
        <v>42261</v>
      </c>
      <c r="C4" t="s">
        <v>29</v>
      </c>
      <c r="D4" s="17" t="s">
        <v>30</v>
      </c>
      <c r="E4">
        <v>30697</v>
      </c>
    </row>
    <row r="5" spans="1:5" ht="15.75" thickBot="1">
      <c r="A5" s="12" t="s">
        <v>25</v>
      </c>
      <c r="B5" s="16">
        <v>42261</v>
      </c>
      <c r="C5" s="18" t="s">
        <v>29</v>
      </c>
      <c r="D5" s="18" t="s">
        <v>30</v>
      </c>
      <c r="E5" s="18">
        <v>30697</v>
      </c>
    </row>
    <row r="6" spans="1:5">
      <c r="A6" s="11" t="s">
        <v>3</v>
      </c>
      <c r="B6" s="15">
        <v>42261</v>
      </c>
      <c r="C6" t="s">
        <v>29</v>
      </c>
      <c r="D6" s="17" t="s">
        <v>31</v>
      </c>
      <c r="E6">
        <v>30699</v>
      </c>
    </row>
    <row r="7" spans="1:5">
      <c r="A7" s="11" t="s">
        <v>19</v>
      </c>
      <c r="B7" s="15">
        <v>42261</v>
      </c>
      <c r="C7" t="s">
        <v>29</v>
      </c>
      <c r="D7" s="17" t="s">
        <v>31</v>
      </c>
      <c r="E7">
        <v>30699</v>
      </c>
    </row>
    <row r="8" spans="1:5">
      <c r="A8" s="11" t="s">
        <v>21</v>
      </c>
      <c r="B8" s="15">
        <v>42261</v>
      </c>
      <c r="C8" t="s">
        <v>29</v>
      </c>
      <c r="D8" s="17" t="s">
        <v>31</v>
      </c>
      <c r="E8">
        <v>30699</v>
      </c>
    </row>
    <row r="9" spans="1:5" ht="15.75" thickBot="1">
      <c r="A9" s="12" t="s">
        <v>24</v>
      </c>
      <c r="B9" s="16">
        <v>42261</v>
      </c>
      <c r="C9" s="18" t="s">
        <v>29</v>
      </c>
      <c r="D9" s="18" t="s">
        <v>31</v>
      </c>
      <c r="E9" s="18">
        <v>30699</v>
      </c>
    </row>
    <row r="10" spans="1:5">
      <c r="A10" s="10" t="s">
        <v>5</v>
      </c>
      <c r="B10" s="15">
        <v>42261</v>
      </c>
      <c r="C10" s="17" t="s">
        <v>29</v>
      </c>
      <c r="D10" s="17" t="s">
        <v>32</v>
      </c>
      <c r="E10">
        <v>30701</v>
      </c>
    </row>
    <row r="11" spans="1:5">
      <c r="A11" s="10" t="s">
        <v>18</v>
      </c>
      <c r="B11" s="15">
        <v>42261</v>
      </c>
      <c r="C11" s="17" t="s">
        <v>29</v>
      </c>
      <c r="D11" s="17" t="s">
        <v>32</v>
      </c>
      <c r="E11">
        <v>30701</v>
      </c>
    </row>
    <row r="12" spans="1:5">
      <c r="A12" s="11" t="s">
        <v>20</v>
      </c>
      <c r="B12" s="15">
        <v>42261</v>
      </c>
      <c r="C12" t="s">
        <v>29</v>
      </c>
      <c r="D12" s="17" t="s">
        <v>32</v>
      </c>
      <c r="E12">
        <v>30701</v>
      </c>
    </row>
    <row r="13" spans="1:5" ht="15.75" thickBot="1">
      <c r="A13" s="12" t="s">
        <v>23</v>
      </c>
      <c r="B13" s="16">
        <v>42261</v>
      </c>
      <c r="C13" s="18" t="s">
        <v>29</v>
      </c>
      <c r="D13" s="18" t="s">
        <v>32</v>
      </c>
      <c r="E13" s="18">
        <v>30701</v>
      </c>
    </row>
  </sheetData>
  <sortState ref="A2:E13">
    <sortCondition ref="E2:E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Run Sheet</vt:lpstr>
      <vt:lpstr>Sample ID Sort</vt:lpstr>
      <vt:lpstr>'Run Sheet'!Print_Titles</vt:lpstr>
    </vt:vector>
  </TitlesOfParts>
  <Company>Procter &amp; Gamble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mallon.dr</dc:creator>
  <cp:lastModifiedBy>mallon.dr</cp:lastModifiedBy>
  <cp:lastPrinted>2015-09-03T20:08:06Z</cp:lastPrinted>
  <dcterms:created xsi:type="dcterms:W3CDTF">2013-05-16T13:56:38Z</dcterms:created>
  <dcterms:modified xsi:type="dcterms:W3CDTF">2015-10-21T14:43:40Z</dcterms:modified>
</cp:coreProperties>
</file>