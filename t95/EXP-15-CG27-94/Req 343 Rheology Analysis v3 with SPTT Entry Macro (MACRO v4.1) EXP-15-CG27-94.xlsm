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showInkAnnotation="0" codeName="ThisWorkbook" defaultThemeVersion="124226"/>
  <x:bookViews>
    <x:workbookView xWindow="10920" yWindow="2895" windowWidth="4470" windowHeight="4740" tabRatio="513" firstSheet="0" activeTab="0"/>
  </x:bookViews>
  <x:sheets>
    <x:sheet name="Summary Table" sheetId="1" r:id="rId1"/>
    <x:sheet name="Automation" sheetId="7" r:id="rId2"/>
    <x:sheet name="Yield, Bubble Pinch" sheetId="11" r:id="rId3"/>
    <x:sheet name="Fract-Band" sheetId="12" r:id="rId4"/>
    <x:sheet name="SPTT Entry" sheetId="15" r:id="rId5"/>
    <x:sheet name="Template" sheetId="16" r:id="rId6"/>
  </x:sheets>
  <x:definedNames>
    <x:definedName name="solver_cvg" localSheetId="0">0.0001</x:definedName>
    <x:definedName name="solver_drv" localSheetId="0">1</x:definedName>
    <x:definedName name="solver_est" localSheetId="0">1</x:definedName>
    <x:definedName name="solver_itr" localSheetId="0">100</x:definedName>
    <x:definedName name="solver_lhs1" localSheetId="0">'Summary Table'!$L$6</x:definedName>
    <x:definedName name="solver_lhs2" localSheetId="0">'Summary Table'!$L$6</x:definedName>
    <x:definedName name="solver_lhs4" localSheetId="0">'Summary Table'!$L$7</x:definedName>
    <x:definedName name="solver_lin" localSheetId="0">2</x:definedName>
    <x:definedName name="solver_neg" localSheetId="0">2</x:definedName>
    <x:definedName name="solver_num" localSheetId="0">0</x:definedName>
    <x:definedName name="solver_nwt" localSheetId="0">1</x:definedName>
    <x:definedName name="solver_pre" localSheetId="0">0.000001</x:definedName>
    <x:definedName name="solver_rel1" localSheetId="0">1</x:definedName>
    <x:definedName name="solver_rel2" localSheetId="0">3</x:definedName>
    <x:definedName name="solver_rel3" localSheetId="0">3</x:definedName>
    <x:definedName name="solver_rel4" localSheetId="0">3</x:definedName>
    <x:definedName name="solver_rhs2" localSheetId="0">0</x:definedName>
    <x:definedName name="solver_rhs3" localSheetId="0">0</x:definedName>
    <x:definedName name="solver_rhs4" localSheetId="0">0</x:definedName>
    <x:definedName name="solver_scl" localSheetId="0">2</x:definedName>
    <x:definedName name="solver_sho" localSheetId="0">2</x:definedName>
    <x:definedName name="solver_tim" localSheetId="0">100</x:definedName>
    <x:definedName name="solver_tol" localSheetId="0">0.05</x:definedName>
    <x:definedName name="solver_typ" localSheetId="0">1</x:definedName>
    <x:definedName name="solver_val" localSheetId="0">0</x:definedName>
    <x:definedName name="solver_adj" localSheetId="1">Automation!$M$4:$M$6</x:definedName>
    <x:definedName name="solver_cvg" localSheetId="1">0.0001</x:definedName>
    <x:definedName name="solver_drv" localSheetId="1">1</x:definedName>
    <x:definedName name="solver_eng" localSheetId="1">1</x:definedName>
    <x:definedName name="solver_est" localSheetId="1">1</x:definedName>
    <x:definedName name="solver_itr" localSheetId="1">100</x:definedName>
    <x:definedName name="solver_lhs1" localSheetId="1">Automation!$M$5</x:definedName>
    <x:definedName name="solver_lhs10" localSheetId="1">Automation!$M$5</x:definedName>
    <x:definedName name="solver_lhs11" localSheetId="1">Automation!$M$4</x:definedName>
    <x:definedName name="solver_lhs12" localSheetId="1">Automation!$M$6</x:definedName>
    <x:definedName name="solver_lhs13" localSheetId="1">Automation!$M$5</x:definedName>
    <x:definedName name="solver_lhs14" localSheetId="1">Automation!$M$5</x:definedName>
    <x:definedName name="solver_lhs15" localSheetId="1">Automation!$M$4</x:definedName>
    <x:definedName name="solver_lhs16" localSheetId="1">Automation!$M$6</x:definedName>
    <x:definedName name="solver_lhs17" localSheetId="1">Automation!$M$5</x:definedName>
    <x:definedName name="solver_lhs18" localSheetId="1">Automation!$M$5</x:definedName>
    <x:definedName name="solver_lhs19" localSheetId="1">Automation!$M$4</x:definedName>
    <x:definedName name="solver_lhs2" localSheetId="1">Automation!$M$5</x:definedName>
    <x:definedName name="solver_lhs20" localSheetId="1">Automation!$M$6</x:definedName>
    <x:definedName name="solver_lhs21" localSheetId="1">Automation!$M$5</x:definedName>
    <x:definedName name="solver_lhs22" localSheetId="1">Automation!$M$5</x:definedName>
    <x:definedName name="solver_lhs23" localSheetId="1">Automation!$M$4</x:definedName>
    <x:definedName name="solver_lhs24" localSheetId="1">Automation!$M$6</x:definedName>
    <x:definedName name="solver_lhs25" localSheetId="1">Automation!$M$5</x:definedName>
    <x:definedName name="solver_lhs26" localSheetId="1">Automation!$M$5</x:definedName>
    <x:definedName name="solver_lhs27" localSheetId="1">Automation!$M$4</x:definedName>
    <x:definedName name="solver_lhs28" localSheetId="1">Automation!$M$6</x:definedName>
    <x:definedName name="solver_lhs3" localSheetId="1">Automation!$M$4</x:definedName>
    <x:definedName name="solver_lhs4" localSheetId="1">Automation!$M$6</x:definedName>
    <x:definedName name="solver_lhs5" localSheetId="1">Automation!$M$5</x:definedName>
    <x:definedName name="solver_lhs6" localSheetId="1">Automation!$M$5</x:definedName>
    <x:definedName name="solver_lhs7" localSheetId="1">Automation!$M$4</x:definedName>
    <x:definedName name="solver_lhs8" localSheetId="1">Automation!$M$6</x:definedName>
    <x:definedName name="solver_lhs9" localSheetId="1">Automation!$M$5</x:definedName>
    <x:definedName name="solver_lin" localSheetId="1">2</x:definedName>
    <x:definedName name="solver_neg" localSheetId="1">2</x:definedName>
    <x:definedName name="solver_num" localSheetId="1">4</x:definedName>
    <x:definedName name="solver_nwt" localSheetId="1">1</x:definedName>
    <x:definedName name="solver_opt" localSheetId="1">Automation!$M$3</x:definedName>
    <x:definedName name="solver_pre" localSheetId="1">0.000001</x:definedName>
    <x:definedName name="solver_rel1" localSheetId="1">1</x:definedName>
    <x:definedName name="solver_rel10" localSheetId="1">3</x:definedName>
    <x:definedName name="solver_rel11" localSheetId="1">3</x:definedName>
    <x:definedName name="solver_rel12" localSheetId="1">3</x:definedName>
    <x:definedName name="solver_rel13" localSheetId="1">1</x:definedName>
    <x:definedName name="solver_rel14" localSheetId="1">3</x:definedName>
    <x:definedName name="solver_rel15" localSheetId="1">3</x:definedName>
    <x:definedName name="solver_rel16" localSheetId="1">3</x:definedName>
    <x:definedName name="solver_rel17" localSheetId="1">1</x:definedName>
    <x:definedName name="solver_rel18" localSheetId="1">3</x:definedName>
    <x:definedName name="solver_rel19" localSheetId="1">3</x:definedName>
    <x:definedName name="solver_rel2" localSheetId="1">3</x:definedName>
    <x:definedName name="solver_rel20" localSheetId="1">3</x:definedName>
    <x:definedName name="solver_rel21" localSheetId="1">1</x:definedName>
    <x:definedName name="solver_rel22" localSheetId="1">3</x:definedName>
    <x:definedName name="solver_rel23" localSheetId="1">3</x:definedName>
    <x:definedName name="solver_rel24" localSheetId="1">3</x:definedName>
    <x:definedName name="solver_rel25" localSheetId="1">1</x:definedName>
    <x:definedName name="solver_rel26" localSheetId="1">3</x:definedName>
    <x:definedName name="solver_rel27" localSheetId="1">3</x:definedName>
    <x:definedName name="solver_rel28" localSheetId="1">3</x:definedName>
    <x:definedName name="solver_rel3" localSheetId="1">3</x:definedName>
    <x:definedName name="solver_rel4" localSheetId="1">3</x:definedName>
    <x:definedName name="solver_rel5" localSheetId="1">1</x:definedName>
    <x:definedName name="solver_rel6" localSheetId="1">3</x:definedName>
    <x:definedName name="solver_rel7" localSheetId="1">3</x:definedName>
    <x:definedName name="solver_rel8" localSheetId="1">3</x:definedName>
    <x:definedName name="solver_rel9" localSheetId="1">1</x:definedName>
    <x:definedName name="solver_rhs1" localSheetId="1">Automation!$M$4</x:definedName>
    <x:definedName name="solver_rhs10" localSheetId="1">0</x:definedName>
    <x:definedName name="solver_rhs11" localSheetId="1">0</x:definedName>
    <x:definedName name="solver_rhs12" localSheetId="1">0</x:definedName>
    <x:definedName name="solver_rhs13" localSheetId="1">Automation!$M$4</x:definedName>
    <x:definedName name="solver_rhs14" localSheetId="1">0</x:definedName>
    <x:definedName name="solver_rhs15" localSheetId="1">0</x:definedName>
    <x:definedName name="solver_rhs16" localSheetId="1">0</x:definedName>
    <x:definedName name="solver_rhs17" localSheetId="1">Automation!$M$4</x:definedName>
    <x:definedName name="solver_rhs18" localSheetId="1">0</x:definedName>
    <x:definedName name="solver_rhs19" localSheetId="1">0</x:definedName>
    <x:definedName name="solver_rhs2" localSheetId="1">0</x:definedName>
    <x:definedName name="solver_rhs20" localSheetId="1">0</x:definedName>
    <x:definedName name="solver_rhs21" localSheetId="1">Automation!$M$4</x:definedName>
    <x:definedName name="solver_rhs22" localSheetId="1">0</x:definedName>
    <x:definedName name="solver_rhs23" localSheetId="1">0</x:definedName>
    <x:definedName name="solver_rhs24" localSheetId="1">0</x:definedName>
    <x:definedName name="solver_rhs25" localSheetId="1">Automation!$M$4</x:definedName>
    <x:definedName name="solver_rhs26" localSheetId="1">0</x:definedName>
    <x:definedName name="solver_rhs27" localSheetId="1">0</x:definedName>
    <x:definedName name="solver_rhs28" localSheetId="1">0</x:definedName>
    <x:definedName name="solver_rhs3" localSheetId="1">0</x:definedName>
    <x:definedName name="solver_rhs4" localSheetId="1">0</x:definedName>
    <x:definedName name="solver_rhs5" localSheetId="1">Automation!$M$4</x:definedName>
    <x:definedName name="solver_rhs6" localSheetId="1">0</x:definedName>
    <x:definedName name="solver_rhs7" localSheetId="1">0</x:definedName>
    <x:definedName name="solver_rhs8" localSheetId="1">0</x:definedName>
    <x:definedName name="solver_rhs9" localSheetId="1">Automation!$M$4</x:definedName>
    <x:definedName name="solver_scl" localSheetId="1">2</x:definedName>
    <x:definedName name="solver_sho" localSheetId="1">2</x:definedName>
    <x:definedName name="solver_tim" localSheetId="1">100</x:definedName>
    <x:definedName name="solver_tol" localSheetId="1">0.05</x:definedName>
    <x:definedName name="solver_typ" localSheetId="1">2</x:definedName>
    <x:definedName name="solver_val" localSheetId="1">0</x:definedName>
    <x:definedName name="solver_ver" localSheetId="1">3</x:definedName>
  </x:definedNames>
  <x:calcPr calcId="145621"/>
</x:workbook>
</file>

<file path=xl/calcChain.xml><?xml version="1.0" encoding="utf-8"?>
<x:calcChain xmlns:x="http://schemas.openxmlformats.org/spreadsheetml/2006/main">
  <x:c r="E285" i="12"/>
  <x:c r="F285" i="12"/>
  <x:c r="E286" i="12"/>
  <x:c r="F286" i="12"/>
  <x:c r="E287" i="12"/>
  <x:c r="F287" i="12"/>
  <x:c r="E288" i="12"/>
  <x:c r="F288" i="12"/>
  <x:c r="E289" i="12"/>
  <x:c r="F289" i="12"/>
  <x:c r="E290" i="12"/>
  <x:c r="F290" i="12"/>
  <x:c r="E291" i="12"/>
  <x:c r="F291" i="12"/>
  <x:c r="E292" i="12"/>
  <x:c r="F292" i="12"/>
  <x:c r="E293" i="12"/>
  <x:c r="F293" i="12"/>
  <x:c r="E294" i="12"/>
  <x:c r="F294" i="12"/>
  <x:c r="E295" i="12"/>
  <x:c r="F295" i="12"/>
  <x:c r="E296" i="12"/>
  <x:c r="F296" i="12"/>
  <x:c r="E297" i="12"/>
  <x:c r="F297" i="12"/>
  <x:c r="E298" i="12"/>
  <x:c r="F298" i="12"/>
  <x:c r="E299" i="12"/>
  <x:c r="F299" i="12"/>
  <x:c r="E300" i="12"/>
  <x:c r="F300" i="12"/>
  <x:c r="E301" i="12"/>
  <x:c r="F301" i="12"/>
  <x:c r="E302" i="12"/>
  <x:c r="F302" i="12"/>
  <x:c r="E303" i="12"/>
  <x:c r="F303" i="12"/>
  <x:c r="E304" i="12"/>
  <x:c r="F304" i="12"/>
  <x:c r="E305" i="12"/>
  <x:c r="F305" i="12"/>
  <x:c r="E306" i="12"/>
  <x:c r="F306" i="12"/>
  <x:c r="E307" i="12"/>
  <x:c r="F307" i="12"/>
  <x:c r="E308" i="12"/>
  <x:c r="F308" i="12"/>
  <x:c r="E309" i="12"/>
  <x:c r="F309" i="12"/>
  <x:c r="E310" i="12"/>
  <x:c r="F310" i="12"/>
  <x:c r="E311" i="12"/>
  <x:c r="F311" i="12"/>
  <x:c r="E312" i="12"/>
  <x:c r="F312" i="12"/>
  <x:c r="E313" i="12"/>
  <x:c r="F313" i="12"/>
  <x:c r="E314" i="12"/>
  <x:c r="F314" i="12"/>
  <x:c r="E315" i="12"/>
  <x:c r="F315" i="12"/>
  <x:c r="E316" i="12"/>
  <x:c r="F316" i="12"/>
  <x:c r="E317" i="12"/>
  <x:c r="F317" i="12"/>
  <x:c r="E318" i="12"/>
  <x:c r="F318" i="12"/>
  <x:c r="E319" i="12"/>
  <x:c r="F319" i="12"/>
  <x:c r="E320" i="12"/>
  <x:c r="F320" i="12"/>
  <x:c r="E321" i="12"/>
  <x:c r="F321" i="12"/>
  <x:c r="E322" i="12"/>
  <x:c r="F322" i="12"/>
  <x:c r="E323" i="12"/>
  <x:c r="F323" i="12"/>
  <x:c r="E324" i="12"/>
  <x:c r="F324" i="12"/>
  <x:c r="E325" i="12"/>
  <x:c r="F325" i="12"/>
  <x:c r="E326" i="12"/>
  <x:c r="F326" i="12"/>
  <x:c r="E327" i="12"/>
  <x:c r="F327" i="12"/>
  <x:c r="E328" i="12"/>
  <x:c r="F328" i="12"/>
  <x:c r="E329" i="12"/>
  <x:c r="F329" i="12"/>
  <x:c r="E330" i="12"/>
  <x:c r="F330" i="12"/>
  <x:c r="E331" i="12"/>
  <x:c r="F331" i="12"/>
  <x:c r="E332" i="12"/>
  <x:c r="F332" i="12"/>
  <x:c r="E333" i="12"/>
  <x:c r="F333" i="12"/>
  <x:c r="E334" i="12"/>
  <x:c r="F334" i="12"/>
  <x:c r="E335" i="12"/>
  <x:c r="F335" i="12"/>
  <x:c r="E336" i="12"/>
  <x:c r="F336" i="12"/>
  <x:c r="E337" i="12"/>
  <x:c r="F337" i="12"/>
  <x:c r="E338" i="12"/>
  <x:c r="F338" i="12"/>
  <x:c r="E339" i="12"/>
  <x:c r="F339" i="12"/>
  <x:c r="E340" i="12"/>
  <x:c r="F340" i="12"/>
  <x:c r="E341" i="12"/>
  <x:c r="F341" i="12"/>
  <x:c r="E342" i="12"/>
  <x:c r="F342" i="12"/>
  <x:c r="E343" i="12"/>
  <x:c r="F343" i="12"/>
  <x:c r="E344" i="12"/>
  <x:c r="F344" i="12"/>
  <x:c r="E345" i="12"/>
  <x:c r="F345" i="12"/>
  <x:c r="E346" i="12"/>
  <x:c r="F346" i="12"/>
  <x:c r="E347" i="12"/>
  <x:c r="F347" i="12"/>
  <x:c r="E348" i="12"/>
  <x:c r="F348" i="12"/>
  <x:c r="E349" i="12"/>
  <x:c r="F349" i="12"/>
  <x:c r="E350" i="12"/>
  <x:c r="F350" i="12"/>
  <x:c r="E351" i="12"/>
  <x:c r="F351" i="12"/>
  <x:c r="E352" i="12"/>
  <x:c r="F352" i="12"/>
  <x:c r="E353" i="12"/>
  <x:c r="F353" i="12"/>
  <x:c r="E354" i="12"/>
  <x:c r="F354" i="12"/>
  <x:c r="E355" i="12"/>
  <x:c r="F355" i="12"/>
  <x:c r="E356" i="12"/>
  <x:c r="F356" i="12"/>
  <x:c r="E357" i="12"/>
  <x:c r="F357" i="12"/>
  <x:c r="E358" i="12"/>
  <x:c r="F358" i="12"/>
  <x:c r="E359" i="12"/>
  <x:c r="F359" i="12"/>
  <x:c r="E360" i="12"/>
  <x:c r="F360" i="12"/>
  <x:c r="E361" i="12"/>
  <x:c r="F361" i="12"/>
  <x:c r="E362" i="12"/>
  <x:c r="F362" i="12"/>
  <x:c r="E363" i="12"/>
  <x:c r="F363" i="12"/>
  <x:c r="E364" i="12"/>
  <x:c r="F364" i="12"/>
  <x:c r="E365" i="12"/>
  <x:c r="F365" i="12"/>
  <x:c r="E366" i="12"/>
  <x:c r="F366" i="12"/>
  <x:c r="E367" i="12"/>
  <x:c r="F367" i="12"/>
  <x:c r="E368" i="12"/>
  <x:c r="F368" i="12"/>
  <x:c r="E369" i="12"/>
  <x:c r="F369" i="12"/>
  <x:c r="E370" i="12"/>
  <x:c r="F370" i="12"/>
  <x:c r="E371" i="12"/>
  <x:c r="F371" i="12"/>
  <x:c r="E372" i="12"/>
  <x:c r="F372" i="12"/>
  <x:c r="E373" i="12"/>
  <x:c r="F373" i="12"/>
  <x:c r="E374" i="12"/>
  <x:c r="F374" i="12"/>
  <x:c r="E375" i="12"/>
  <x:c r="F375" i="12"/>
  <x:c r="E376" i="12"/>
  <x:c r="F376" i="12"/>
  <x:c r="E377" i="12"/>
  <x:c r="F377" i="12"/>
  <x:c r="E378" i="12"/>
  <x:c r="F378" i="12"/>
  <x:c r="E379" i="12"/>
  <x:c r="F379" i="12"/>
  <x:c r="E380" i="12"/>
  <x:c r="F380" i="12"/>
  <x:c r="E381" i="12"/>
  <x:c r="F381" i="12"/>
  <x:c r="E382" i="12"/>
  <x:c r="F382" i="12"/>
  <x:c r="E383" i="12"/>
  <x:c r="F383" i="12"/>
  <x:c r="E384" i="12"/>
  <x:c r="F384" i="12"/>
  <x:c r="E385" i="12"/>
  <x:c r="F385" i="12"/>
  <x:c r="E386" i="12"/>
  <x:c r="F386" i="12"/>
  <x:c r="E387" i="12"/>
  <x:c r="F387" i="12"/>
  <x:c r="E388" i="12"/>
  <x:c r="F388" i="12"/>
  <x:c r="E389" i="12"/>
  <x:c r="F389" i="12"/>
  <x:c r="E390" i="12"/>
  <x:c r="F390" i="12"/>
  <x:c r="E391" i="12"/>
  <x:c r="F391" i="12"/>
  <x:c r="E392" i="12"/>
  <x:c r="F392" i="12"/>
  <x:c r="E393" i="12"/>
  <x:c r="F393" i="12"/>
  <x:c r="E394" i="12"/>
  <x:c r="F394" i="12"/>
  <x:c r="E395" i="12"/>
  <x:c r="F395" i="12"/>
  <x:c r="E396" i="12"/>
  <x:c r="F396" i="12"/>
  <x:c r="E397" i="12"/>
  <x:c r="F397" i="12"/>
  <x:c r="E398" i="12"/>
  <x:c r="F398" i="12"/>
  <x:c r="E399" i="12"/>
  <x:c r="F399" i="12"/>
  <x:c r="E400" i="12"/>
  <x:c r="F400" i="12"/>
  <x:c r="E401" i="12"/>
  <x:c r="F401" i="12"/>
  <x:c r="E402" i="12"/>
  <x:c r="F402" i="12"/>
  <x:c r="E403" i="12"/>
  <x:c r="F403" i="12"/>
  <x:c r="E404" i="12"/>
  <x:c r="F404" i="12"/>
  <x:c r="E405" i="12"/>
  <x:c r="F405" i="12"/>
  <x:c r="E406" i="12"/>
  <x:c r="F406" i="12"/>
  <x:c r="E407" i="12"/>
  <x:c r="F407" i="12"/>
  <x:c r="E408" i="12"/>
  <x:c r="F408" i="12"/>
  <x:c r="E409" i="12"/>
  <x:c r="F409" i="12"/>
  <x:c r="E410" i="12"/>
  <x:c r="F410" i="12"/>
  <x:c r="E411" i="12"/>
  <x:c r="F411" i="12"/>
  <x:c r="E412" i="12"/>
  <x:c r="F412" i="12"/>
  <x:c r="E413" i="12"/>
  <x:c r="F413" i="12"/>
  <x:c r="E414" i="12"/>
  <x:c r="F414" i="12"/>
  <x:c r="E415" i="12"/>
  <x:c r="F415" i="12"/>
  <x:c r="E416" i="12"/>
  <x:c r="F416" i="12"/>
  <x:c r="E417" i="12"/>
  <x:c r="F417" i="12"/>
  <x:c r="E418" i="12"/>
  <x:c r="F418" i="12"/>
  <x:c r="E419" i="12"/>
  <x:c r="F419" i="12"/>
  <x:c r="E420" i="12"/>
  <x:c r="F420" i="12"/>
  <x:c r="E421" i="12"/>
  <x:c r="F421" i="12"/>
</x:calcChain>
</file>

<file path=xl/sharedStrings.xml><?xml version="1.0" encoding="utf-8"?>
<x:sst xmlns:x="http://schemas.openxmlformats.org/spreadsheetml/2006/main" count="122" uniqueCount="122">
  <x:si>
    <x:t xml:space="preserve">Request 343 - </x:t>
  </x:si>
  <x:si>
    <x:t>EXP-15-CG27-94</x:t>
  </x:si>
  <x:si>
    <x:t>approach value</x:t>
  </x:si>
  <x:si>
    <x:t>cohesion</x:t>
  </x:si>
  <x:si>
    <x:t>Test Code</x:t>
  </x:si>
  <x:si>
    <x:t>Test Date</x:t>
  </x:si>
  <x:si>
    <x:t>Product</x:t>
  </x:si>
  <x:si>
    <x:t>Sample</x:t>
  </x:si>
  <x:si>
    <x:t>Sample ID#</x:t>
  </x:si>
  <x:si>
    <x:t>N^2 Error</x:t>
  </x:si>
  <x:si>
    <x:r>
      <x:rPr>
        <x:vertAlign val="baseline"/>
        <x:sz val="11"/>
        <x:color theme="1"/>
        <x:rFont val="Calibri"/>
        <x:family val="2"/>
      </x:rPr>
      <x:t>N</x:t>
    </x:r>
    <x:r>
      <x:rPr>
        <x:vertAlign val="subscript"/>
        <x:sz val="11"/>
        <x:color theme="1"/>
        <x:rFont val="Calibri"/>
        <x:family val="2"/>
      </x:rPr>
      <x:t>0</x:t>
    </x:r>
  </x:si>
  <x:si>
    <x:t>Normal Force
Plateau (N)</x:t>
  </x:si>
  <x:si>
    <x:t>Time Constant</x:t>
  </x:si>
  <x:si>
    <x:t>t95</x:t>
  </x:si>
  <x:si>
    <x:t>Average</x:t>
  </x:si>
  <x:si>
    <x:t>Normal Force 1 (N)</x:t>
  </x:si>
  <x:si>
    <x:t>Time 1 (s)</x:t>
  </x:si>
  <x:si>
    <x:t>Yield Stress</x:t>
  </x:si>
  <x:si>
    <x:t>Yield Strain</x:t>
  </x:si>
  <x:si>
    <x:t>Bubble Pinch Stress</x:t>
  </x:si>
  <x:si>
    <x:t>Bubble Pinch Strain</x:t>
  </x:si>
  <x:si>
    <x:t>G' X/O Stress</x:t>
  </x:si>
  <x:si>
    <x:t>G' X/O Strain</x:t>
  </x:si>
  <x:si>
    <x:t>G' Plateau</x:t>
  </x:si>
  <x:si>
    <x:t>G" Plateau</x:t>
  </x:si>
  <x:si>
    <x:t>Fracture/Yield (categorical)</x:t>
  </x:si>
  <x:si>
    <x:t>F/Y Stress @ 5 s (Pa)</x:t>
  </x:si>
  <x:si>
    <x:t>F/Y Stress @ 60 s (Pa)</x:t>
  </x:si>
  <x:si>
    <x:t>F/Y Stress 60s-5s Delta (Pa)</x:t>
  </x:si>
  <x:si>
    <x:t>Fracture Peak Stress (Pa)</x:t>
  </x:si>
  <x:si>
    <x:t>B</x:t>
  </x:si>
  <x:si>
    <x:t>9/14/2015</x:t>
  </x:si>
  <x:si>
    <x:t>DOX - 100FA 100GMO 100TEA (ShG BS BP chassis)</x:t>
  </x:si>
  <x:si>
    <x:t>EXP-15-CC44-14-100100100-G-FP-002</x:t>
  </x:si>
  <x:si>
    <x:t>30697</x:t>
  </x:si>
  <x:si>
    <x:t>D</x:t>
  </x:si>
  <x:si>
    <x:t>I</x:t>
  </x:si>
  <x:si>
    <x:t>L</x:t>
  </x:si>
  <x:si>
    <x:t>A</x:t>
  </x:si>
  <x:si>
    <x:t>EXP-15-CC44-14-100100100-G-FP-004</x:t>
  </x:si>
  <x:si>
    <x:t>30699</x:t>
  </x:si>
  <x:si>
    <x:t>F</x:t>
  </x:si>
  <x:si>
    <x:t>H</x:t>
  </x:si>
  <x:si>
    <x:t>K</x:t>
  </x:si>
  <x:si>
    <x:t>C</x:t>
  </x:si>
  <x:si>
    <x:t>EXP-15-CC44-14-100100100-G-FP-006</x:t>
  </x:si>
  <x:si>
    <x:t>30701</x:t>
  </x:si>
  <x:si>
    <x:t>E</x:t>
  </x:si>
  <x:si>
    <x:t>G</x:t>
  </x:si>
  <x:si>
    <x:t>J</x:t>
  </x:si>
  <x:si>
    <x:t>Calc N</x:t>
  </x:si>
  <x:si>
    <x:t>Error</x:t>
  </x:si>
  <x:si>
    <x:t>Error Sq</x:t>
  </x:si>
  <x:si>
    <x:t>Shear Rate</x:t>
  </x:si>
  <x:si>
    <x:t>time</x:t>
  </x:si>
  <x:si>
    <x:t>shear rate</x:t>
  </x:si>
  <x:si>
    <x:t>normal force</x:t>
  </x:si>
  <x:si>
    <x:t>shear stress</x:t>
  </x:si>
  <x:si>
    <x:t>Adj N</x:t>
  </x:si>
  <x:si>
    <x:t>N</x:t>
  </x:si>
  <x:si>
    <x:t>N^2</x:t>
  </x:si>
  <x:si>
    <x:t>Pt D</x:t>
  </x:si>
  <x:si>
    <x:t>s</x:t>
  </x:si>
  <x:si>
    <x:t>1/s</x:t>
  </x:si>
  <x:si>
    <x:t>Pa</x:t>
  </x:si>
  <x:si>
    <x:t>N^2 sum</x:t>
  </x:si>
  <x:si>
    <x:t>N0</x:t>
  </x:si>
  <x:si>
    <x:t>Ninf</x:t>
  </x:si>
  <x:si>
    <x:t>time con</x:t>
  </x:si>
  <x:si>
    <x:t>osc. stress</x:t>
  </x:si>
  <x:si>
    <x:t>strain</x:t>
  </x:si>
  <x:si>
    <x:t>G'</x:t>
  </x:si>
  <x:si>
    <x:t>G''</x:t>
  </x:si>
  <x:si>
    <x:t>initial</x:t>
  </x:si>
  <x:si>
    <x:t>final</x:t>
  </x:si>
  <x:si>
    <x:t>Comparison</x:t>
  </x:si>
  <x:si>
    <x:t>Initial Slope</x:t>
  </x:si>
  <x:si>
    <x:t>Final Slope</x:t>
  </x:si>
  <x:si>
    <x:t>Initial b</x:t>
  </x:si>
  <x:si>
    <x:t>Final b</x:t>
  </x:si>
  <x:si>
    <x:t>Initial Y</x:t>
  </x:si>
  <x:si>
    <x:t>Final Y</x:t>
  </x:si>
  <x:si>
    <x:t>Initial X</x:t>
  </x:si>
  <x:si>
    <x:t>Final X</x:t>
  </x:si>
  <x:si>
    <x:t>Intersect X</x:t>
  </x:si>
  <x:si>
    <x:t>MidSlope</x:t>
  </x:si>
  <x:si>
    <x:t>Mid b</x:t>
  </x:si>
  <x:si>
    <x:t>YP stress</x:t>
  </x:si>
  <x:si>
    <x:t>YP strain</x:t>
  </x:si>
  <x:si>
    <x:t>BP stress</x:t>
  </x:si>
  <x:si>
    <x:t>BP strain</x:t>
  </x:si>
  <x:si>
    <x:t>G' X/O stress</x:t>
  </x:si>
  <x:si>
    <x:t>G' X/O strain</x:t>
  </x:si>
  <x:si>
    <x:t>G' plateau</x:t>
  </x:si>
  <x:si>
    <x:t>G" plateau</x:t>
  </x:si>
  <x:si>
    <x:t>adj. shear rate</x:t>
  </x:si>
  <x:si>
    <x:t>adj. shear stress</x:t>
  </x:si>
  <x:si>
    <x:t>Testing Analyst</x:t>
  </x:si>
  <x:si>
    <x:t>Comments/Other Test Description</x:t>
  </x:si>
  <x:si>
    <x:t>Test Type</x:t>
  </x:si>
  <x:si>
    <x:t>Date of Testing</x:t>
  </x:si>
  <x:si>
    <x:t>Related Container</x:t>
  </x:si>
  <x:si>
    <x:t>Result1</x:t>
  </x:si>
  <x:si>
    <x:t>Result2</x:t>
  </x:si>
  <x:si>
    <x:t>Result3</x:t>
  </x:si>
  <x:si>
    <x:t>Result4</x:t>
  </x:si>
  <x:si>
    <x:t>Dave Mallon &lt;-58200884&gt;</x:t>
  </x:si>
  <x:si>
    <x:t>Procedure in EXP-15-CB97-85.</x:t>
  </x:si>
  <x:si>
    <x:t>t95 N-squared Error</x:t>
  </x:si>
  <x:si>
    <x:t>t95 N0</x:t>
  </x:si>
  <x:si>
    <x:t>t95 Plateau Normal Force (N)</x:t>
  </x:si>
  <x:si>
    <x:t>t95 Time Constant</x:t>
  </x:si>
  <x:si>
    <x:t>t95 Transition Time</x:t>
  </x:si>
  <x:si>
    <x:t>F/B Cohesion Peak Force (N)</x:t>
  </x:si>
  <x:si>
    <x:t>F/B Cohesion Peak Time (s)</x:t>
  </x:si>
  <x:si>
    <x:t>Cohesion Peak Force (N)</x:t>
  </x:si>
  <x:si>
    <x:t>Cohesion Peak Time (s)</x:t>
  </x:si>
  <x:si>
    <x:t>Fracture(1)/Banding(0)</x:t>
  </x:si>
  <x:si>
    <x:t>F/B Shear Stress @ 5s</x:t>
  </x:si>
  <x:si>
    <x:t>F/B Shear Stress @ 60s</x:t>
  </x:si>
  <x:si>
    <x:t>F/B Stress 60s-5s Delta (Pa)</x:t>
  </x:si>
  <x:si>
    <x:t>F/B Fracture Peak Stress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</x:si>
</x:sst>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5">
    <x:numFmt numFmtId="164" formatCode="0.0000"/>
    <x:numFmt numFmtId="165" formatCode="0.000"/>
    <x:numFmt numFmtId="166" formatCode="0.0"/>
    <x:numFmt numFmtId="167" formatCode="0.00000"/>
    <x:numFmt numFmtId="4" formatCode=""/>
  </x:numFmts>
  <x:fonts count="7" x14ac:knownFonts="1">
    <x:font>
      <x:sz val="11"/>
      <x:color theme="1"/>
      <x:name val="Calibri"/>
      <x:family val="2"/>
      <x:scheme val="minor"/>
    </x:font>
    <x:font>
      <x:sz val="10"/>
      <x:color theme="1"/>
      <x:name val="Arial Unicode MS"/>
      <x:family val="2"/>
    </x:font>
    <x:font>
      <x:vertAlign val="subscript"/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b/>
      <x:sz val="16"/>
      <x:color theme="1"/>
      <x:name val="Calibri"/>
      <x:family val="2"/>
      <x:scheme val="minor"/>
    </x:font>
    <x:font>
      <x:sz val="11"/>
      <x:color rgb="FF000000"/>
      <x:name val="Calibri"/>
      <x:family val="2"/>
    </x:font>
    <x:font>
      <x:vertAlign val="baseline"/>
      <x:sz val="11"/>
      <x:color rgb="FF000000"/>
      <x:name val="Calibri"/>
      <x:family val="2"/>
    </x:font>
  </x:fonts>
  <x:fills count="3">
    <x:fill>
      <x:patternFill patternType="none"/>
    </x:fill>
    <x:fill>
      <x:patternFill patternType="gray125"/>
    </x:fill>
    <x:fill>
      <x:patternFill patternType="solid">
        <x:fgColor theme="0" tint="-0.14999847407452621"/>
        <x:bgColor indexed="64"/>
      </x:patternFill>
    </x:fill>
  </x:fills>
  <x:borders count="5">
    <x:border>
      <x:left/>
      <x:right/>
      <x:top/>
      <x:bottom/>
      <x:diagonal/>
    </x:border>
    <x:border>
      <x:left/>
      <x:right/>
      <x:top/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</x:borders>
  <x:cellStyleXfs count="44">
    <x:xf numFmtId="0" fontId="0" fillId="0" borderId="0"/>
    <x:xf numFmtId="0" fontId="0" fillId="0" borderId="0" applyNumberFormat="1" applyFill="1" applyBorder="0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6" fontId="0" fillId="0" borderId="0" applyNumberFormat="1" applyFill="1" applyBorder="0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  <x:xf numFmtId="164" fontId="0" fillId="2" borderId="0" applyNumberFormat="1" applyFill="0" applyBorder="0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49" fontId="4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49" fontId="3" fillId="0" borderId="1" applyNumberFormat="1" applyFill="1" applyBorder="1" applyAlignment="1" applyProtection="1">
      <x:protection locked="1" hidden="0"/>
    </x:xf>
    <x:xf numFmtId="165" fontId="0" fillId="0" borderId="1" applyNumberFormat="1" applyFill="1" applyBorder="1" applyAlignment="1" applyProtection="1">
      <x:protection locked="1" hidden="0"/>
    </x:xf>
    <x:xf numFmtId="164" fontId="0" fillId="0" borderId="1" applyNumberFormat="1" applyFill="1" applyBorder="1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2" fontId="0" fillId="0" borderId="1" applyNumberFormat="1" applyFill="1" applyBorder="1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  <x:xf numFmtId="165" fontId="0" fillId="2" borderId="0" applyNumberFormat="1" applyFill="0" applyBorder="0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14" fontId="0" fillId="0" borderId="1" applyNumberFormat="1" applyFill="1" applyBorder="1" applyAlignment="1" applyProtection="1">
      <x:protection locked="1" hidden="0"/>
    </x:xf>
    <x:xf numFmtId="49" fontId="0" fillId="0" borderId="1" applyNumberFormat="1" applyFill="1" applyBorder="1" applyAlignment="1" applyProtection="1">
      <x:protection locked="1" hidden="0"/>
    </x:xf>
    <x:xf numFmtId="166" fontId="0" fillId="0" borderId="1" applyNumberFormat="1" applyFill="1" applyBorder="1" applyAlignment="1" applyProtection="1">
      <x:protection locked="1" hidden="0"/>
    </x:xf>
    <x:xf numFmtId="2" fontId="0" fillId="0" borderId="1" applyNumberFormat="1" applyFill="1" applyBorder="1" applyAlignment="1" applyProtection="1">
      <x:protection locked="1" hidden="0"/>
    </x:xf>
    <x:xf numFmtId="165" fontId="0" fillId="2" borderId="1" applyNumberFormat="1" applyFill="0" applyBorder="1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0" fontId="0" fillId="0" borderId="0" applyNumberFormat="1" applyFill="1" applyBorder="0" applyAlignment="1" applyProtection="1">
      <x:protection locked="1" hidden="0"/>
    </x:xf>
    <x:xf numFmtId="167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1" fontId="0" fillId="0" borderId="0" applyNumberFormat="1" applyFill="1" applyBorder="0" applyAlignment="1" applyProtection="1">
      <x:protection locked="1" hidden="0"/>
    </x:xf>
    <x:xf numFmtId="0" fontId="1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  <x:xf numFmtId="164" fontId="0" fillId="0" borderId="0" applyNumberFormat="1" applyFill="1" applyBorder="0" applyAlignment="1" applyProtection="1">
      <x:protection locked="1" hidden="0"/>
    </x:xf>
    <x:xf numFmtId="166" fontId="0" fillId="0" borderId="0" applyNumberFormat="1" applyFill="1" applyBorder="0" applyAlignment="1" applyProtection="1">
      <x:protection locked="1" hidden="0"/>
    </x:xf>
    <x:xf numFmtId="165" fontId="0" fillId="0" borderId="0" applyNumberFormat="1" applyFill="1" applyBorder="0" applyAlignment="1" applyProtection="1">
      <x:protection locked="1" hidden="0"/>
    </x:xf>
  </x:cellStyleXfs>
  <x:cellXfs count="130">
    <x:xf numFmtId="0" fontId="0" fillId="0" borderId="0" xfId="0"/>
    <x:xf numFmtId="0" fontId="0" fillId="0" borderId="0" xfId="0" applyAlignment="1">
      <x:alignment horizontal="center" wrapText="1"/>
    </x:xf>
    <x:xf numFmtId="11" fontId="0" fillId="0" borderId="0" xfId="0" applyNumberFormat="1"/>
    <x:xf numFmtId="0" fontId="0" fillId="0" borderId="0" xfId="0" quotePrefix="1"/>
    <x:xf numFmtId="0" fontId="0" fillId="0" borderId="0" xfId="0" applyAlignment="1">
      <x:alignment horizontal="right"/>
    </x:xf>
    <x:xf numFmtId="0" fontId="0" fillId="0" borderId="0" xfId="0" applyAlignment="1">
      <x:alignment horizontal="center"/>
    </x:xf>
    <x:xf numFmtId="164" fontId="0" fillId="0" borderId="0" xfId="0" applyNumberFormat="1"/>
    <x:xf numFmtId="0" fontId="1" fillId="0" borderId="0" xfId="0" applyFont="1"/>
    <x:xf numFmtId="165" fontId="0" fillId="0" borderId="0" xfId="0" applyNumberFormat="1" applyFill="1" applyAlignment="1">
      <x:alignment horizontal="center" wrapText="1"/>
    </x:xf>
    <x:xf numFmtId="164" fontId="0" fillId="0" borderId="0" xfId="0" applyNumberFormat="1" applyFill="1" applyAlignment="1">
      <x:alignment horizontal="center" wrapText="1"/>
    </x:xf>
    <x:xf numFmtId="166" fontId="0" fillId="0" borderId="0" xfId="0" applyNumberFormat="1" applyFill="1" applyBorder="1" applyAlignment="1">
      <x:alignment horizontal="center" wrapText="1"/>
    </x:xf>
    <x:xf numFmtId="0" fontId="0" fillId="0" borderId="0" xfId="0" applyBorder="1"/>
    <x:xf numFmtId="0" fontId="0" fillId="0" borderId="1" xfId="0" applyFill="1" applyBorder="1" applyAlignment="1">
      <x:alignment horizontal="center" vertical="center" wrapText="1"/>
    </x:xf>
    <x:xf numFmtId="164" fontId="0" fillId="0" borderId="1" xfId="0" applyNumberFormat="1" applyFill="1" applyBorder="1" applyAlignment="1">
      <x:alignment horizontal="center" vertical="center" wrapText="1"/>
    </x:xf>
    <x:xf numFmtId="165" fontId="0" fillId="0" borderId="0" xfId="0" applyNumberFormat="1" applyBorder="1" applyAlignment="1">
      <x:alignment horizontal="center" vertical="center" wrapText="1"/>
    </x:xf>
    <x:xf numFmtId="164" fontId="0" fillId="0" borderId="0" xfId="0" applyNumberFormat="1" applyBorder="1" applyAlignment="1">
      <x:alignment horizontal="center" vertical="center" wrapText="1"/>
    </x:xf>
    <x:xf numFmtId="165" fontId="0" fillId="0" borderId="0" xfId="0" applyNumberFormat="1" applyAlignment="1">
      <x:alignment horizontal="center" vertical="center" wrapText="1"/>
    </x:xf>
    <x:xf numFmtId="165" fontId="0" fillId="0" borderId="0" xfId="0" applyNumberFormat="1" applyAlignment="1">
      <x:alignment horizontal="center" vertical="center"/>
    </x:xf>
    <x:xf numFmtId="164" fontId="0" fillId="0" borderId="0" xfId="0" applyNumberFormat="1" applyAlignment="1">
      <x:alignment horizontal="center" vertical="center" wrapText="1"/>
    </x:xf>
    <x:xf numFmtId="164" fontId="0" fillId="0" borderId="0" xfId="0" applyNumberFormat="1" applyAlignment="1">
      <x:alignment horizontal="center" vertical="center"/>
    </x:xf>
    <x:xf numFmtId="2" fontId="0" fillId="0" borderId="0" xfId="0" applyNumberFormat="1" applyFill="1" applyAlignment="1">
      <x:alignment horizontal="center" vertical="center" wrapText="1"/>
    </x:xf>
    <x:xf numFmtId="2" fontId="0" fillId="0" borderId="0" xfId="0" applyNumberFormat="1" applyAlignment="1">
      <x:alignment horizontal="center" vertical="center"/>
    </x:xf>
    <x:xf numFmtId="0" fontId="0" fillId="0" borderId="0" xfId="0" applyAlignment="1">
      <x:alignment horizontal="center" vertical="center"/>
    </x:xf>
    <x:xf numFmtId="0" fontId="0" fillId="0" borderId="0" xfId="0" applyFill="1" applyAlignment="1">
      <x:alignment horizontal="center" vertical="center" wrapText="1"/>
    </x:xf>
    <x:xf numFmtId="0" fontId="0" fillId="0" borderId="0" xfId="0" applyAlignment="1">
      <x:alignment horizontal="center" vertical="center" wrapText="1"/>
    </x:xf>
    <x:xf numFmtId="0" fontId="0" fillId="0" borderId="0" xfId="0"/>
    <x:xf numFmtId="0" fontId="0" fillId="0" borderId="0" xfId="0" applyBorder="1"/>
    <x:xf numFmtId="0" fontId="0" fillId="0" borderId="1" xfId="0" applyBorder="1" applyAlignment="1">
      <x:alignment horizontal="center" vertical="center" wrapText="1"/>
    </x:xf>
    <x:xf numFmtId="165" fontId="0" fillId="0" borderId="1" xfId="0" applyNumberFormat="1" applyBorder="1" applyAlignment="1">
      <x:alignment horizontal="center" vertical="center" wrapText="1"/>
    </x:xf>
    <x:xf numFmtId="164" fontId="0" fillId="0" borderId="1" xfId="0" applyNumberFormat="1" applyBorder="1" applyAlignment="1">
      <x:alignment horizontal="center" vertical="center" wrapText="1"/>
    </x:xf>
    <x:xf numFmtId="165" fontId="0" fillId="0" borderId="0" xfId="0" applyNumberFormat="1" applyBorder="1" applyAlignment="1">
      <x:alignment horizontal="center" vertical="center" wrapText="1"/>
    </x:xf>
    <x:xf numFmtId="164" fontId="0" fillId="0" borderId="0" xfId="0" applyNumberFormat="1" applyBorder="1" applyAlignment="1">
      <x:alignment horizontal="center" vertical="center" wrapText="1"/>
    </x:xf>
    <x:xf numFmtId="2" fontId="0" fillId="0" borderId="1" xfId="0" applyNumberFormat="1" applyFill="1" applyBorder="1" applyAlignment="1">
      <x:alignment horizontal="center" vertical="center" wrapText="1"/>
    </x:xf>
    <x:xf numFmtId="166" fontId="0" fillId="0" borderId="0" xfId="0" applyNumberFormat="1" applyFill="1" applyBorder="1" applyAlignment="1">
      <x:alignment horizontal="center" vertical="center" wrapText="1"/>
    </x:xf>
    <x:xf numFmtId="0" fontId="3" fillId="0" borderId="0" xfId="0" applyFont="1"/>
    <x:xf numFmtId="0" fontId="0" fillId="0" borderId="0" xfId="0"/>
    <x:xf numFmtId="164" fontId="0" fillId="0" borderId="0" xfId="0" applyNumberFormat="1" applyAlignment="1">
      <x:alignment horizontal="center"/>
    </x:xf>
    <x:xf numFmtId="167" fontId="0" fillId="0" borderId="0" xfId="0" applyNumberFormat="1"/>
    <x:xf numFmtId="165" fontId="0" fillId="0" borderId="0" xfId="0" applyNumberFormat="1"/>
    <x:xf numFmtId="49" fontId="0" fillId="0" borderId="0" xfId="0" applyNumberFormat="1"/>
    <x:xf numFmtId="0" fontId="0" fillId="0" borderId="1" xfId="0" applyBorder="1"/>
    <x:xf numFmtId="164" fontId="0" fillId="2" borderId="0" xfId="0" applyNumberFormat="1" applyFill="1"/>
    <x:xf numFmtId="167" fontId="0" fillId="0" borderId="0" xfId="0" applyNumberFormat="1" applyAlignment="1">
      <x:alignment horizontal="center"/>
    </x:xf>
    <x:xf numFmtId="2" fontId="0" fillId="0" borderId="0" xfId="0" applyNumberFormat="1" applyFill="1" applyBorder="1" applyAlignment="1">
      <x:alignment horizontal="center" vertical="center"/>
    </x:xf>
    <x:xf numFmtId="2" fontId="0" fillId="0" borderId="1" xfId="0" applyNumberFormat="1" applyFill="1" applyBorder="1" applyAlignment="1">
      <x:alignment horizontal="center" vertical="center"/>
    </x:xf>
    <x:xf numFmtId="165" fontId="0" fillId="0" borderId="1" xfId="0" applyNumberFormat="1" applyBorder="1"/>
    <x:xf numFmtId="2" fontId="0" fillId="0" borderId="0" xfId="0" applyNumberFormat="1"/>
    <x:xf numFmtId="165" fontId="0" fillId="2" borderId="0" xfId="0" applyNumberFormat="1" applyFill="1"/>
    <x:xf numFmtId="165" fontId="0" fillId="2" borderId="1" xfId="0" applyNumberFormat="1" applyFill="1" applyBorder="1"/>
    <x:xf numFmtId="0" fontId="0" fillId="0" borderId="0" xfId="0" quotePrefix="1" applyAlignment="1">
      <x:alignment horizontal="right"/>
    </x:xf>
    <x:xf numFmtId="0" fontId="0" fillId="0" borderId="0" xfId="0" applyNumberFormat="1"/>
    <x:xf numFmtId="0" fontId="3" fillId="0" borderId="1" xfId="0" applyFont="1" applyBorder="1" applyAlignment="1">
      <x:alignment horizontal="center" vertical="center" wrapText="1"/>
    </x:xf>
    <x:xf numFmtId="2" fontId="0" fillId="0" borderId="0" xfId="0" applyNumberFormat="1" applyBorder="1" applyAlignment="1">
      <x:alignment horizontal="center" vertical="center" wrapText="1"/>
    </x:xf>
    <x:xf numFmtId="165" fontId="0" fillId="0" borderId="0" xfId="0" applyNumberFormat="1" applyBorder="1" applyAlignment="1">
      <x:alignment horizontal="center"/>
    </x:xf>
    <x:xf numFmtId="165" fontId="0" fillId="0" borderId="0" xfId="0" applyNumberFormat="1" applyFill="1" applyBorder="1"/>
    <x:xf numFmtId="165" fontId="0" fillId="0" borderId="1" xfId="0" applyNumberFormat="1" applyFill="1" applyBorder="1"/>
    <x:xf numFmtId="0" fontId="4" fillId="0" borderId="2" xfId="0" applyFont="1" applyBorder="1" applyAlignment="1">
      <x:alignment vertical="center"/>
    </x:xf>
    <x:xf numFmtId="0" fontId="4" fillId="0" borderId="3" xfId="0" applyFont="1" applyBorder="1" applyAlignment="1">
      <x:alignment vertical="center"/>
    </x:xf>
    <x:xf numFmtId="0" fontId="4" fillId="0" borderId="4" xfId="0" applyFont="1" applyBorder="1" applyAlignment="1">
      <x:alignment vertical="center"/>
    </x:xf>
    <x:xf numFmtId="0" fontId="3" fillId="0" borderId="1" xfId="0" applyFont="1" applyBorder="1" applyAlignment="1">
      <x:alignment horizontal="center" vertical="center"/>
    </x:xf>
    <x:xf numFmtId="0" fontId="0" fillId="0" borderId="0" xfId="0" applyFont="1"/>
    <x:xf numFmtId="14" fontId="0" fillId="0" borderId="0" xfId="0" applyNumberFormat="1"/>
    <x:xf numFmtId="14" fontId="0" fillId="0" borderId="1" xfId="0" applyNumberFormat="1" applyBorder="1"/>
    <x:xf numFmtId="165" fontId="0" fillId="0" borderId="0" xfId="0" applyNumberFormat="1" applyBorder="1"/>
    <x:xf numFmtId="2" fontId="0" fillId="0" borderId="1" xfId="0" applyNumberFormat="1" applyBorder="1"/>
    <x:xf numFmtId="0" fontId="3" fillId="0" borderId="0" xfId="0" applyFont="1" applyBorder="1"/>
    <x:xf numFmtId="0" fontId="3" fillId="0" borderId="0" xfId="0" applyFont="1" applyAlignment="1">
      <x:alignment horizontal="left" vertical="center"/>
    </x:xf>
    <x:xf numFmtId="166" fontId="0" fillId="0" borderId="0" xfId="0" applyNumberFormat="1" applyFill="1" applyBorder="1" applyAlignment="1">
      <x:alignment horizontal="center" vertical="center" wrapText="1"/>
    </x:xf>
    <x:xf numFmtId="166" fontId="0" fillId="0" borderId="1" xfId="0" applyNumberFormat="1" applyFill="1" applyBorder="1" applyAlignment="1">
      <x:alignment horizontal="center" vertical="center" wrapText="1"/>
    </x:xf>
    <x:xf numFmtId="0" fontId="0" fillId="0" borderId="0" xfId="0" applyBorder="1" applyAlignment="1">
      <x:alignment horizontal="center" vertical="center"/>
    </x:xf>
    <x:xf numFmtId="0" fontId="0" fillId="0" borderId="1" xfId="0" applyBorder="1" applyAlignment="1">
      <x:alignment horizontal="center" vertical="center"/>
    </x:xf>
    <x:xf numFmtId="14" fontId="0" fillId="0" borderId="0" xfId="0" applyNumberFormat="1" applyBorder="1" applyAlignment="1">
      <x:alignment horizontal="center" vertical="center"/>
    </x:xf>
    <x:xf numFmtId="14" fontId="0" fillId="0" borderId="1" xfId="0" applyNumberFormat="1" applyBorder="1" applyAlignment="1">
      <x:alignment horizontal="center" vertical="center"/>
    </x:xf>
    <x:xf numFmtId="166" fontId="0" fillId="0" borderId="0" xfId="0" applyNumberFormat="1" applyFill="1" applyBorder="1" applyAlignment="1">
      <x:alignment horizontal="center" vertical="center" wrapText="1"/>
    </x:xf>
    <x:xf numFmtId="166" fontId="0" fillId="0" borderId="1" xfId="0" applyNumberFormat="1" applyFill="1" applyBorder="1" applyAlignment="1">
      <x:alignment horizontal="center" vertical="center" wrapText="1"/>
    </x:xf>
    <x:xf numFmtId="166" fontId="0" fillId="0" borderId="0" xfId="0" applyNumberFormat="1" applyFill="1" applyBorder="1" applyAlignment="1">
      <x:alignment horizontal="center" vertical="center" wrapText="1"/>
    </x:xf>
    <x:xf numFmtId="166" fontId="0" fillId="0" borderId="1" xfId="0" applyNumberFormat="1" applyFill="1" applyBorder="1" applyAlignment="1">
      <x:alignment horizontal="center" vertical="center" wrapText="1"/>
    </x:xf>
    <x:xf numFmtId="49" fontId="4" fillId="0" borderId="0" xfId="0" applyNumberFormat="1" applyFont="1" applyBorder="1" applyAlignment="1">
      <x:alignment horizontal="center" vertical="center"/>
    </x:xf>
    <x:xf numFmtId="49" fontId="0" fillId="0" borderId="0" xfId="0" applyNumberFormat="1" applyAlignment="1">
      <x:alignment horizontal="center" wrapText="1"/>
    </x:xf>
    <x:xf numFmtId="49" fontId="3" fillId="0" borderId="1" xfId="0" applyNumberFormat="1" applyFont="1" applyBorder="1" applyAlignment="1">
      <x:alignment horizontal="center" vertical="center" wrapText="1"/>
    </x:xf>
    <x:xf numFmtId="49" fontId="0" fillId="0" borderId="0" xfId="0" applyNumberFormat="1" applyAlignment="1">
      <x:alignment horizontal="center"/>
    </x:xf>
    <x:xf numFmtId="49" fontId="0" fillId="0" borderId="1" xfId="0" applyNumberFormat="1" applyBorder="1" applyAlignment="1">
      <x:alignment horizontal="center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6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4" fontId="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0" borderId="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4" fillId="0" borderId="3" xfId="0" applyNumberFormat="1" applyFill="1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4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49" fontId="4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3" fillId="0" borderId="0" xfId="0" applyNumberFormat="1" applyFill="1" applyBorder="0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3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3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9" fontId="3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5" fontId="0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4" fontId="0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1" xfId="0" applyNumberFormat="1" applyFill="1" applyBorder="1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65" fontId="0" fillId="2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0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1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3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4" fontId="0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66" fontId="0" fillId="0" borderId="0" xfId="0" applyNumberFormat="1" applyFill="1" applyBorder="0" applyAlignment="1" applyProtection="1">
      <x:alignment horizontal="center" vertical="bottom" textRotation="0" wrapText="1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0" fillId="0" borderId="0" xfId="0" applyNumberFormat="1" applyFill="1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1521"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ndense val="0"/>
        <x:extend val="0"/>
        <x:color rgb="FF9C0006"/>
      </x:font>
      <x:fill>
        <x:patternFill>
          <x:bgColor rgb="FFFFC7CE"/>
        </x:patternFill>
      </x:fill>
    </x:dxf>
    <x:dxf>
      <x:font>
        <x:color rgb="FF9C0006"/>
      </x:font>
      <x:fill>
        <x:patternFill patternType="solid">
          <x:bgColor rgb="FFFFC7CE"/>
        </x:patternFill>
      </x:fill>
      <x:border/>
    </x:dxf>
  </x:dxfs>
  <x:tableStyles count="0" defaultTableStyle="TableStyleMedium9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1.3076064363037929</c:v>
                </c:pt>
                <c:pt idx="16">
                  <c:v>1.2224241742211337</c:v>
                </c:pt>
                <c:pt idx="17">
                  <c:v>1.1540529346685409</c:v>
                </c:pt>
                <c:pt idx="18">
                  <c:v>1.1084776172579227</c:v>
                </c:pt>
                <c:pt idx="19">
                  <c:v>1.0654483016293153</c:v>
                </c:pt>
                <c:pt idx="20">
                  <c:v>0.98926755206525918</c:v>
                </c:pt>
                <c:pt idx="21">
                  <c:v>0.92780673094157295</c:v>
                </c:pt>
                <c:pt idx="22">
                  <c:v>0.87291586935905352</c:v>
                </c:pt>
                <c:pt idx="23">
                  <c:v>0.83871164502290618</c:v>
                </c:pt>
                <c:pt idx="24">
                  <c:v>0.78886579466691087</c:v>
                </c:pt>
                <c:pt idx="25">
                  <c:v>0.7416584660358998</c:v>
                </c:pt>
                <c:pt idx="26">
                  <c:v>0.71368616354662828</c:v>
                </c:pt>
                <c:pt idx="27">
                  <c:v>0.68865911263246726</c:v>
                </c:pt>
                <c:pt idx="28">
                  <c:v>0.65421137843382926</c:v>
                </c:pt>
                <c:pt idx="29">
                  <c:v>0.62479244376554233</c:v>
                </c:pt>
                <c:pt idx="30">
                  <c:v>0.60415757405786508</c:v>
                </c:pt>
                <c:pt idx="31">
                  <c:v>0.56139007694585308</c:v>
                </c:pt>
                <c:pt idx="32">
                  <c:v>0.54561839954682512</c:v>
                </c:pt>
                <c:pt idx="33">
                  <c:v>0.53403243204461859</c:v>
                </c:pt>
                <c:pt idx="34">
                  <c:v>0.52177004220787149</c:v>
                </c:pt>
                <c:pt idx="35">
                  <c:v>0.50953537529739412</c:v>
                </c:pt>
                <c:pt idx="36">
                  <c:v>0.49114914209580274</c:v>
                </c:pt>
                <c:pt idx="37">
                  <c:v>0.4767122495082754</c:v>
                </c:pt>
                <c:pt idx="38">
                  <c:v>0.46692487513695013</c:v>
                </c:pt>
                <c:pt idx="39">
                  <c:v>0.4604355425461617</c:v>
                </c:pt>
                <c:pt idx="40">
                  <c:v>0.45033890963134127</c:v>
                </c:pt>
                <c:pt idx="41">
                  <c:v>0.43816217843761773</c:v>
                </c:pt>
                <c:pt idx="42">
                  <c:v>0.43176897989152074</c:v>
                </c:pt>
                <c:pt idx="43">
                  <c:v>0.42591068152847766</c:v>
                </c:pt>
                <c:pt idx="44">
                  <c:v>0.41936294017455111</c:v>
                </c:pt>
                <c:pt idx="45">
                  <c:v>0.41107200039492042</c:v>
                </c:pt>
                <c:pt idx="46">
                  <c:v>0.40467040542381794</c:v>
                </c:pt>
                <c:pt idx="47">
                  <c:v>0.40095830177152836</c:v>
                </c:pt>
                <c:pt idx="48">
                  <c:v>0.39745356963195011</c:v>
                </c:pt>
                <c:pt idx="49">
                  <c:v>0.39102052895842876</c:v>
                </c:pt>
                <c:pt idx="50">
                  <c:v>0.38521856866060045</c:v>
                </c:pt>
                <c:pt idx="51">
                  <c:v>0.38265692856245836</c:v>
                </c:pt>
                <c:pt idx="52">
                  <c:v>0.37987419691020508</c:v>
                </c:pt>
                <c:pt idx="53">
                  <c:v>0.37605058042935946</c:v>
                </c:pt>
                <c:pt idx="54">
                  <c:v>0.37247935036321778</c:v>
                </c:pt>
                <c:pt idx="55">
                  <c:v>0.36983031461500948</c:v>
                </c:pt>
                <c:pt idx="56">
                  <c:v>0.3678082790210313</c:v>
                </c:pt>
                <c:pt idx="57">
                  <c:v>0.36623583236333168</c:v>
                </c:pt>
                <c:pt idx="58">
                  <c:v>0.3633372056078068</c:v>
                </c:pt>
                <c:pt idx="59">
                  <c:v>0.35997508765610098</c:v>
                </c:pt>
                <c:pt idx="60">
                  <c:v>0.3587598258284963</c:v>
                </c:pt>
                <c:pt idx="61">
                  <c:v>0.35747361349612383</c:v>
                </c:pt>
                <c:pt idx="62">
                  <c:v>0.35540733607236552</c:v>
                </c:pt>
                <c:pt idx="63">
                  <c:v>0.35362910760171529</c:v>
                </c:pt>
                <c:pt idx="64">
                  <c:v>0.35268497008389144</c:v>
                </c:pt>
                <c:pt idx="65">
                  <c:v>0.35152823681659617</c:v>
                </c:pt>
                <c:pt idx="66">
                  <c:v>0.3502029163621363</c:v>
                </c:pt>
                <c:pt idx="67">
                  <c:v>0.34907178624732671</c:v>
                </c:pt>
                <c:pt idx="68">
                  <c:v>0.34811830128290211</c:v>
                </c:pt>
                <c:pt idx="69">
                  <c:v>0.34724860136740565</c:v>
                </c:pt>
                <c:pt idx="70">
                  <c:v>0.34645532410427515</c:v>
                </c:pt>
                <c:pt idx="71">
                  <c:v>0.34568870261105555</c:v>
                </c:pt>
                <c:pt idx="72">
                  <c:v>0.34523111638897985</c:v>
                </c:pt>
                <c:pt idx="73">
                  <c:v>0.34476384929316772</c:v>
                </c:pt>
                <c:pt idx="74">
                  <c:v>0.34412069350259822</c:v>
                </c:pt>
                <c:pt idx="75">
                  <c:v>0.34360227313105263</c:v>
                </c:pt>
                <c:pt idx="76">
                  <c:v>0.34329435959072763</c:v>
                </c:pt>
                <c:pt idx="77">
                  <c:v>0.34296981879657462</c:v>
                </c:pt>
                <c:pt idx="78">
                  <c:v>0.34249686517246181</c:v>
                </c:pt>
                <c:pt idx="79">
                  <c:v>0.34207101487755542</c:v>
                </c:pt>
                <c:pt idx="80">
                  <c:v>0.34179379068846671</c:v>
                </c:pt>
                <c:pt idx="81">
                  <c:v>0.3415893575543274</c:v>
                </c:pt>
                <c:pt idx="82">
                  <c:v>0.34128895966286832</c:v>
                </c:pt>
                <c:pt idx="83">
                  <c:v>0.34099534488890626</c:v>
                </c:pt>
                <c:pt idx="84">
                  <c:v>0.3407698055180588</c:v>
                </c:pt>
                <c:pt idx="85">
                  <c:v>0.34060675947343766</c:v>
                </c:pt>
                <c:pt idx="86">
                  <c:v>0.34042544584478973</c:v>
                </c:pt>
                <c:pt idx="87">
                  <c:v>0.34018602884817062</c:v>
                </c:pt>
                <c:pt idx="88">
                  <c:v>0.34001335705461644</c:v>
                </c:pt>
                <c:pt idx="89">
                  <c:v>0.33991079938870383</c:v>
                </c:pt>
                <c:pt idx="90">
                  <c:v>0.33978013528613316</c:v>
                </c:pt>
                <c:pt idx="91">
                  <c:v>0.33961280193958832</c:v>
                </c:pt>
                <c:pt idx="92">
                  <c:v>0.33949781968347192</c:v>
                </c:pt>
                <c:pt idx="93">
                  <c:v>0.33941958213615386</c:v>
                </c:pt>
                <c:pt idx="94">
                  <c:v>0.33935262506334407</c:v>
                </c:pt>
                <c:pt idx="95">
                  <c:v>0.33924138748526911</c:v>
                </c:pt>
                <c:pt idx="96">
                  <c:v>0.33914373279342236</c:v>
                </c:pt>
                <c:pt idx="97">
                  <c:v>0.3390785220156336</c:v>
                </c:pt>
                <c:pt idx="98">
                  <c:v>0.33902136298835472</c:v>
                </c:pt>
                <c:pt idx="99">
                  <c:v>0.33895947478597632</c:v>
                </c:pt>
                <c:pt idx="100">
                  <c:v>0.33888401883564034</c:v>
                </c:pt>
                <c:pt idx="101">
                  <c:v>0.33883627755467627</c:v>
                </c:pt>
                <c:pt idx="102">
                  <c:v>0.33880107175345309</c:v>
                </c:pt>
                <c:pt idx="103">
                  <c:v>0.33876396484780757</c:v>
                </c:pt>
                <c:pt idx="104">
                  <c:v>0.33870918683292306</c:v>
                </c:pt>
                <c:pt idx="105">
                  <c:v>0.33866437309030406</c:v>
                </c:pt>
                <c:pt idx="106">
                  <c:v>0.33863185675382201</c:v>
                </c:pt>
                <c:pt idx="107">
                  <c:v>0.3386089048649823</c:v>
                </c:pt>
                <c:pt idx="108">
                  <c:v>0.33856826996130929</c:v>
                </c:pt>
                <c:pt idx="109">
                  <c:v>0.33853413374627372</c:v>
                </c:pt>
                <c:pt idx="110">
                  <c:v>0.33851033618100335</c:v>
                </c:pt>
                <c:pt idx="111">
                  <c:v>0.33849260705589046</c:v>
                </c:pt>
                <c:pt idx="112">
                  <c:v>0.33846450462951649</c:v>
                </c:pt>
                <c:pt idx="113">
                  <c:v>0.33844310736704886</c:v>
                </c:pt>
                <c:pt idx="114">
                  <c:v>0.33842919829388762</c:v>
                </c:pt>
                <c:pt idx="115">
                  <c:v>0.33841785033056171</c:v>
                </c:pt>
                <c:pt idx="116">
                  <c:v>0.33840765661854366</c:v>
                </c:pt>
                <c:pt idx="117">
                  <c:v>0.33838762388785204</c:v>
                </c:pt>
                <c:pt idx="118">
                  <c:v>0.3383718941634406</c:v>
                </c:pt>
                <c:pt idx="119">
                  <c:v>0.33835962734936098</c:v>
                </c:pt>
                <c:pt idx="120">
                  <c:v>0.33835188317794929</c:v>
                </c:pt>
                <c:pt idx="121">
                  <c:v>0.33833850986306224</c:v>
                </c:pt>
                <c:pt idx="122">
                  <c:v>0.33832620020777471</c:v>
                </c:pt>
                <c:pt idx="123">
                  <c:v>0.33831918803315952</c:v>
                </c:pt>
                <c:pt idx="124">
                  <c:v>0.33831410348136881</c:v>
                </c:pt>
                <c:pt idx="125">
                  <c:v>0.33830592233454704</c:v>
                </c:pt>
                <c:pt idx="126">
                  <c:v>0.33829801609131449</c:v>
                </c:pt>
                <c:pt idx="127">
                  <c:v>0.3382917551706095</c:v>
                </c:pt>
                <c:pt idx="128">
                  <c:v>0.33828751519898859</c:v>
                </c:pt>
                <c:pt idx="129">
                  <c:v>0.33828254861543572</c:v>
                </c:pt>
                <c:pt idx="130">
                  <c:v>0.33827618042713947</c:v>
                </c:pt>
                <c:pt idx="131">
                  <c:v>0.33827125939242375</c:v>
                </c:pt>
                <c:pt idx="132">
                  <c:v>0.33826852001551444</c:v>
                </c:pt>
                <c:pt idx="133">
                  <c:v>0.33826560826669239</c:v>
                </c:pt>
                <c:pt idx="134">
                  <c:v>0.33826105036958465</c:v>
                </c:pt>
                <c:pt idx="135">
                  <c:v>0.33825706168847391</c:v>
                </c:pt>
                <c:pt idx="136">
                  <c:v>0.33825422550034379</c:v>
                </c:pt>
                <c:pt idx="137">
                  <c:v>0.33825201088045942</c:v>
                </c:pt>
                <c:pt idx="138">
                  <c:v>0.33824884234021813</c:v>
                </c:pt>
                <c:pt idx="139">
                  <c:v>0.33824610555755097</c:v>
                </c:pt>
                <c:pt idx="140">
                  <c:v>0.3382441643369507</c:v>
                </c:pt>
                <c:pt idx="141">
                  <c:v>0.33824283894000207</c:v>
                </c:pt>
                <c:pt idx="142">
                  <c:v>0.33824057941564734</c:v>
                </c:pt>
                <c:pt idx="143">
                  <c:v>0.33823878218118031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2.5019999999999998</c:v>
                </c:pt>
                <c:pt idx="1">
                  <c:v>1.643</c:v>
                </c:pt>
                <c:pt idx="2">
                  <c:v>2.0630000000000002</c:v>
                </c:pt>
                <c:pt idx="3">
                  <c:v>2.282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2.2970000000000002</c:v>
                </c:pt>
                <c:pt idx="7">
                  <c:v>2.2599999999999998</c:v>
                </c:pt>
                <c:pt idx="8">
                  <c:v>2.2250000000000001</c:v>
                </c:pt>
                <c:pt idx="9">
                  <c:v>2.1240000000000001</c:v>
                </c:pt>
                <c:pt idx="10">
                  <c:v>1.994</c:v>
                </c:pt>
                <c:pt idx="11">
                  <c:v>1.994</c:v>
                </c:pt>
                <c:pt idx="12">
                  <c:v>1.8520000000000001</c:v>
                </c:pt>
                <c:pt idx="13">
                  <c:v>1.575</c:v>
                </c:pt>
                <c:pt idx="14">
                  <c:v>1.421</c:v>
                </c:pt>
                <c:pt idx="15">
                  <c:v>1.3160000000000001</c:v>
                </c:pt>
                <c:pt idx="16">
                  <c:v>1.1950000000000001</c:v>
                </c:pt>
                <c:pt idx="17">
                  <c:v>1.097</c:v>
                </c:pt>
                <c:pt idx="18">
                  <c:v>1.097</c:v>
                </c:pt>
                <c:pt idx="19">
                  <c:v>1.0489999999999999</c:v>
                </c:pt>
                <c:pt idx="20">
                  <c:v>0.99239999999999995</c:v>
                </c:pt>
                <c:pt idx="21">
                  <c:v>0.94969999999999999</c:v>
                </c:pt>
                <c:pt idx="22">
                  <c:v>0.92059999999999997</c:v>
                </c:pt>
                <c:pt idx="23">
                  <c:v>0.8891</c:v>
                </c:pt>
                <c:pt idx="24">
                  <c:v>0.83950000000000002</c:v>
                </c:pt>
                <c:pt idx="25">
                  <c:v>0.75949999999999995</c:v>
                </c:pt>
                <c:pt idx="26">
                  <c:v>0.75949999999999995</c:v>
                </c:pt>
                <c:pt idx="27">
                  <c:v>0.70669999999999999</c:v>
                </c:pt>
                <c:pt idx="28">
                  <c:v>0.66090000000000004</c:v>
                </c:pt>
                <c:pt idx="29">
                  <c:v>0.63109999999999999</c:v>
                </c:pt>
                <c:pt idx="30">
                  <c:v>0.59519999999999995</c:v>
                </c:pt>
                <c:pt idx="31">
                  <c:v>0.55059999999999998</c:v>
                </c:pt>
                <c:pt idx="32">
                  <c:v>0.52869999999999995</c:v>
                </c:pt>
                <c:pt idx="33">
                  <c:v>0.51280000000000003</c:v>
                </c:pt>
                <c:pt idx="34">
                  <c:v>0.51280000000000003</c:v>
                </c:pt>
                <c:pt idx="35">
                  <c:v>0.4909</c:v>
                </c:pt>
                <c:pt idx="36">
                  <c:v>0.47689999999999999</c:v>
                </c:pt>
                <c:pt idx="37">
                  <c:v>0.45879999999999999</c:v>
                </c:pt>
                <c:pt idx="38">
                  <c:v>0.44319999999999998</c:v>
                </c:pt>
                <c:pt idx="39">
                  <c:v>0.43890000000000001</c:v>
                </c:pt>
                <c:pt idx="40">
                  <c:v>0.42959999999999998</c:v>
                </c:pt>
                <c:pt idx="41">
                  <c:v>0.42270000000000002</c:v>
                </c:pt>
                <c:pt idx="42">
                  <c:v>0.41760000000000003</c:v>
                </c:pt>
                <c:pt idx="43">
                  <c:v>0.41249999999999998</c:v>
                </c:pt>
                <c:pt idx="44">
                  <c:v>0.39800000000000002</c:v>
                </c:pt>
                <c:pt idx="45">
                  <c:v>0.38719999999999999</c:v>
                </c:pt>
                <c:pt idx="46">
                  <c:v>0.38490000000000002</c:v>
                </c:pt>
                <c:pt idx="47">
                  <c:v>0.38490000000000002</c:v>
                </c:pt>
                <c:pt idx="48">
                  <c:v>0.38600000000000001</c:v>
                </c:pt>
                <c:pt idx="49">
                  <c:v>0.38619999999999999</c:v>
                </c:pt>
                <c:pt idx="50">
                  <c:v>0.38190000000000002</c:v>
                </c:pt>
                <c:pt idx="51">
                  <c:v>0.38190000000000002</c:v>
                </c:pt>
                <c:pt idx="52">
                  <c:v>0.37290000000000001</c:v>
                </c:pt>
                <c:pt idx="53">
                  <c:v>0.37290000000000001</c:v>
                </c:pt>
                <c:pt idx="54">
                  <c:v>0.36530000000000001</c:v>
                </c:pt>
                <c:pt idx="55">
                  <c:v>0.3669</c:v>
                </c:pt>
                <c:pt idx="56">
                  <c:v>0.37540000000000001</c:v>
                </c:pt>
                <c:pt idx="57">
                  <c:v>0.37540000000000001</c:v>
                </c:pt>
                <c:pt idx="58" formatCode="0.00E+00">
                  <c:v>0.37940000000000002</c:v>
                </c:pt>
                <c:pt idx="59" formatCode="0.00E+00">
                  <c:v>0.37240000000000001</c:v>
                </c:pt>
                <c:pt idx="60" formatCode="0.00E+00">
                  <c:v>0.35909999999999997</c:v>
                </c:pt>
                <c:pt idx="61" formatCode="0.00E+00">
                  <c:v>0.35110000000000002</c:v>
                </c:pt>
                <c:pt idx="62" formatCode="0.00E+00">
                  <c:v>0.34460000000000002</c:v>
                </c:pt>
                <c:pt idx="63" formatCode="0.00E+00">
                  <c:v>0.35680000000000001</c:v>
                </c:pt>
                <c:pt idx="64" formatCode="0.00E+00">
                  <c:v>0.36709999999999998</c:v>
                </c:pt>
                <c:pt idx="65" formatCode="0.00E+00">
                  <c:v>0.37390000000000001</c:v>
                </c:pt>
                <c:pt idx="66" formatCode="0.00E+00">
                  <c:v>0.36799999999999999</c:v>
                </c:pt>
                <c:pt idx="67" formatCode="0.00E+00">
                  <c:v>0.35959999999999998</c:v>
                </c:pt>
                <c:pt idx="68" formatCode="0.00E+00">
                  <c:v>0.3473</c:v>
                </c:pt>
                <c:pt idx="69" formatCode="0.00E+00">
                  <c:v>0.3427</c:v>
                </c:pt>
                <c:pt idx="70" formatCode="0.00E+00">
                  <c:v>0.34520000000000001</c:v>
                </c:pt>
                <c:pt idx="71" formatCode="0.00E+00">
                  <c:v>0.35449999999999998</c:v>
                </c:pt>
                <c:pt idx="72" formatCode="0.00E+00">
                  <c:v>0.36</c:v>
                </c:pt>
                <c:pt idx="73" formatCode="0.00E+00">
                  <c:v>0.3614</c:v>
                </c:pt>
                <c:pt idx="74" formatCode="0.00E+00">
                  <c:v>0.3619</c:v>
                </c:pt>
                <c:pt idx="75" formatCode="0.00E+00">
                  <c:v>0.35510000000000003</c:v>
                </c:pt>
                <c:pt idx="76" formatCode="0.00E+00">
                  <c:v>0.35510000000000003</c:v>
                </c:pt>
                <c:pt idx="77" formatCode="0.00E+00">
                  <c:v>0.34289999999999998</c:v>
                </c:pt>
                <c:pt idx="78" formatCode="0.00E+00">
                  <c:v>0.3372</c:v>
                </c:pt>
                <c:pt idx="79" formatCode="0.00E+00">
                  <c:v>0.34560000000000002</c:v>
                </c:pt>
                <c:pt idx="80" formatCode="0.00E+00">
                  <c:v>0.34560000000000002</c:v>
                </c:pt>
                <c:pt idx="81" formatCode="0.00E+00">
                  <c:v>0.34499999999999997</c:v>
                </c:pt>
                <c:pt idx="82" formatCode="0.00E+00">
                  <c:v>0.34460000000000002</c:v>
                </c:pt>
                <c:pt idx="83" formatCode="0.00E+00">
                  <c:v>0.32869999999999999</c:v>
                </c:pt>
                <c:pt idx="84" formatCode="0.00E+00">
                  <c:v>0.32069999999999999</c:v>
                </c:pt>
                <c:pt idx="85" formatCode="0.00E+00">
                  <c:v>0.31419999999999998</c:v>
                </c:pt>
                <c:pt idx="86" formatCode="0.00E+00">
                  <c:v>0.3165</c:v>
                </c:pt>
                <c:pt idx="87" formatCode="0.00E+00">
                  <c:v>0.32940000000000003</c:v>
                </c:pt>
                <c:pt idx="88" formatCode="0.00E+00">
                  <c:v>0.33439999999999998</c:v>
                </c:pt>
                <c:pt idx="89" formatCode="0.00E+00">
                  <c:v>0.33989999999999998</c:v>
                </c:pt>
                <c:pt idx="90" formatCode="0.00E+00">
                  <c:v>0.33589999999999998</c:v>
                </c:pt>
                <c:pt idx="91" formatCode="0.00E+00">
                  <c:v>0.33460000000000001</c:v>
                </c:pt>
                <c:pt idx="92" formatCode="0.00E+00">
                  <c:v>0.3327</c:v>
                </c:pt>
                <c:pt idx="93" formatCode="0.00E+00">
                  <c:v>0.33150000000000002</c:v>
                </c:pt>
                <c:pt idx="94" formatCode="0.00E+00">
                  <c:v>0.33150000000000002</c:v>
                </c:pt>
                <c:pt idx="95" formatCode="0.00E+00">
                  <c:v>0.34449999999999997</c:v>
                </c:pt>
                <c:pt idx="96" formatCode="0.00E+00">
                  <c:v>0.3543</c:v>
                </c:pt>
                <c:pt idx="97" formatCode="0.00E+00">
                  <c:v>0.3543</c:v>
                </c:pt>
                <c:pt idx="98" formatCode="0.00E+00">
                  <c:v>0.34689999999999999</c:v>
                </c:pt>
                <c:pt idx="99" formatCode="0.00E+00">
                  <c:v>0.34499999999999997</c:v>
                </c:pt>
                <c:pt idx="100" formatCode="0.00E+00">
                  <c:v>0.34160000000000001</c:v>
                </c:pt>
                <c:pt idx="101" formatCode="0.00E+00">
                  <c:v>0.34389999999999998</c:v>
                </c:pt>
                <c:pt idx="102" formatCode="0.00E+00">
                  <c:v>0.3473</c:v>
                </c:pt>
                <c:pt idx="103" formatCode="0.00E+00">
                  <c:v>0.3473</c:v>
                </c:pt>
                <c:pt idx="104" formatCode="0.00E+00">
                  <c:v>0.34939999999999999</c:v>
                </c:pt>
                <c:pt idx="105" formatCode="0.00E+00">
                  <c:v>0.34599999999999997</c:v>
                </c:pt>
                <c:pt idx="106" formatCode="0.00E+00">
                  <c:v>0.34179999999999999</c:v>
                </c:pt>
                <c:pt idx="107" formatCode="0.00E+00">
                  <c:v>0.34179999999999999</c:v>
                </c:pt>
                <c:pt idx="108" formatCode="0.00E+00">
                  <c:v>0.33650000000000002</c:v>
                </c:pt>
                <c:pt idx="109" formatCode="0.00E+00">
                  <c:v>0.3372</c:v>
                </c:pt>
                <c:pt idx="110" formatCode="0.00E+00">
                  <c:v>0.34520000000000001</c:v>
                </c:pt>
                <c:pt idx="111" formatCode="0.00E+00">
                  <c:v>0.35149999999999998</c:v>
                </c:pt>
                <c:pt idx="112" formatCode="0.00E+00">
                  <c:v>0.34939999999999999</c:v>
                </c:pt>
                <c:pt idx="113" formatCode="0.00E+00">
                  <c:v>0.34560000000000002</c:v>
                </c:pt>
                <c:pt idx="114" formatCode="0.00E+00">
                  <c:v>0.34310000000000002</c:v>
                </c:pt>
                <c:pt idx="115" formatCode="0.00E+00">
                  <c:v>0.34079999999999999</c:v>
                </c:pt>
                <c:pt idx="116" formatCode="0.00E+00">
                  <c:v>0.34079999999999999</c:v>
                </c:pt>
                <c:pt idx="117" formatCode="0.00E+00">
                  <c:v>0.3382</c:v>
                </c:pt>
                <c:pt idx="118" formatCode="0.00E+00">
                  <c:v>0.34300000000000003</c:v>
                </c:pt>
                <c:pt idx="119" formatCode="0.00E+00">
                  <c:v>0.35020000000000001</c:v>
                </c:pt>
                <c:pt idx="120" formatCode="0.00E+00">
                  <c:v>0.35020000000000001</c:v>
                </c:pt>
                <c:pt idx="121" formatCode="0.00E+00">
                  <c:v>0.34749999999999998</c:v>
                </c:pt>
                <c:pt idx="122" formatCode="0.00E+00">
                  <c:v>0.33589999999999998</c:v>
                </c:pt>
                <c:pt idx="123" formatCode="0.00E+00">
                  <c:v>0.33189999999999997</c:v>
                </c:pt>
                <c:pt idx="124" formatCode="0.00E+00">
                  <c:v>0.33189999999999997</c:v>
                </c:pt>
                <c:pt idx="125" formatCode="0.00E+00">
                  <c:v>0.33139999999999997</c:v>
                </c:pt>
                <c:pt idx="126" formatCode="0.00E+00">
                  <c:v>0.34100000000000003</c:v>
                </c:pt>
                <c:pt idx="127" formatCode="0.00E+00">
                  <c:v>0.34620000000000001</c:v>
                </c:pt>
                <c:pt idx="128" formatCode="0.00E+00">
                  <c:v>0.34860000000000002</c:v>
                </c:pt>
                <c:pt idx="129" formatCode="0.00E+00">
                  <c:v>0.34710000000000002</c:v>
                </c:pt>
                <c:pt idx="130" formatCode="0.00E+00">
                  <c:v>0.33550000000000002</c:v>
                </c:pt>
                <c:pt idx="131" formatCode="0.00E+00">
                  <c:v>0.33289999999999997</c:v>
                </c:pt>
                <c:pt idx="132" formatCode="0.00E+00">
                  <c:v>0.32450000000000001</c:v>
                </c:pt>
                <c:pt idx="133" formatCode="0.00E+00">
                  <c:v>0.32450000000000001</c:v>
                </c:pt>
                <c:pt idx="134" formatCode="0.00E+00">
                  <c:v>0.34770000000000001</c:v>
                </c:pt>
                <c:pt idx="135" formatCode="0.00E+00">
                  <c:v>0.34670000000000001</c:v>
                </c:pt>
                <c:pt idx="136" formatCode="0.00E+00">
                  <c:v>0.34539999999999998</c:v>
                </c:pt>
                <c:pt idx="137" formatCode="0.00E+00">
                  <c:v>0.33700000000000002</c:v>
                </c:pt>
                <c:pt idx="138" formatCode="0.00E+00">
                  <c:v>0.33550000000000002</c:v>
                </c:pt>
                <c:pt idx="139" formatCode="0.00E+00">
                  <c:v>0.32850000000000001</c:v>
                </c:pt>
                <c:pt idx="140" formatCode="0.00E+00">
                  <c:v>0.32619999999999999</c:v>
                </c:pt>
                <c:pt idx="141" formatCode="0.00E+00">
                  <c:v>0.32619999999999999</c:v>
                </c:pt>
                <c:pt idx="142" formatCode="0.00E+00">
                  <c:v>0.33460000000000001</c:v>
                </c:pt>
                <c:pt idx="143" formatCode="0.00E+00">
                  <c:v>0.33739999999999998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48160"/>
        <c:axId val="116237440"/>
      </c:scatterChart>
      <c:valAx>
        <c:axId val="9954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116237440"/>
        <c:crosses val="autoZero"/>
        <c:crossBetween val="midCat"/>
      </c:valAx>
      <c:valAx>
        <c:axId val="1162374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9954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0.1726</c:v>
                </c:pt>
                <c:pt idx="1">
                  <c:v>0.94169999999999998</c:v>
                </c:pt>
                <c:pt idx="2" formatCode="0.00E+00">
                  <c:v>1.171</c:v>
                </c:pt>
                <c:pt idx="3" formatCode="0.00E+00">
                  <c:v>1.4770000000000001</c:v>
                </c:pt>
                <c:pt idx="4">
                  <c:v>1.857</c:v>
                </c:pt>
                <c:pt idx="5">
                  <c:v>2.33</c:v>
                </c:pt>
                <c:pt idx="6">
                  <c:v>2.95</c:v>
                </c:pt>
                <c:pt idx="7">
                  <c:v>3.6890000000000001</c:v>
                </c:pt>
                <c:pt idx="8">
                  <c:v>4.6559999999999997</c:v>
                </c:pt>
                <c:pt idx="9">
                  <c:v>5.867</c:v>
                </c:pt>
                <c:pt idx="10">
                  <c:v>7.37</c:v>
                </c:pt>
                <c:pt idx="11">
                  <c:v>9.2390000000000008</c:v>
                </c:pt>
                <c:pt idx="12">
                  <c:v>11.58</c:v>
                </c:pt>
                <c:pt idx="13">
                  <c:v>14.47</c:v>
                </c:pt>
                <c:pt idx="14">
                  <c:v>17.97</c:v>
                </c:pt>
                <c:pt idx="15">
                  <c:v>22.15</c:v>
                </c:pt>
                <c:pt idx="16">
                  <c:v>27.34</c:v>
                </c:pt>
                <c:pt idx="17">
                  <c:v>33.01</c:v>
                </c:pt>
                <c:pt idx="18">
                  <c:v>39.51</c:v>
                </c:pt>
                <c:pt idx="19">
                  <c:v>46.58</c:v>
                </c:pt>
                <c:pt idx="20">
                  <c:v>53.75</c:v>
                </c:pt>
                <c:pt idx="21">
                  <c:v>61.06</c:v>
                </c:pt>
                <c:pt idx="22">
                  <c:v>68.94</c:v>
                </c:pt>
                <c:pt idx="23">
                  <c:v>77.52</c:v>
                </c:pt>
                <c:pt idx="24">
                  <c:v>87.61</c:v>
                </c:pt>
                <c:pt idx="25">
                  <c:v>98.58</c:v>
                </c:pt>
                <c:pt idx="26">
                  <c:v>111.4</c:v>
                </c:pt>
                <c:pt idx="27">
                  <c:v>123.9</c:v>
                </c:pt>
                <c:pt idx="28">
                  <c:v>136.30000000000001</c:v>
                </c:pt>
                <c:pt idx="29">
                  <c:v>146.1</c:v>
                </c:pt>
                <c:pt idx="30">
                  <c:v>155.30000000000001</c:v>
                </c:pt>
                <c:pt idx="31">
                  <c:v>165.3</c:v>
                </c:pt>
                <c:pt idx="32">
                  <c:v>175.5</c:v>
                </c:pt>
                <c:pt idx="33">
                  <c:v>187.1</c:v>
                </c:pt>
                <c:pt idx="34">
                  <c:v>199.4</c:v>
                </c:pt>
                <c:pt idx="35">
                  <c:v>212.7</c:v>
                </c:pt>
                <c:pt idx="36">
                  <c:v>227.5</c:v>
                </c:pt>
                <c:pt idx="37">
                  <c:v>242.8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0.22210838391980567</c:v>
                </c:pt>
                <c:pt idx="1">
                  <c:v>0.93982822838066948</c:v>
                </c:pt>
                <c:pt idx="2">
                  <c:v>1.1717770214950594</c:v>
                </c:pt>
                <c:pt idx="3">
                  <c:v>1.4683200838567729</c:v>
                </c:pt>
                <c:pt idx="4">
                  <c:v>1.8606841307705171</c:v>
                </c:pt>
                <c:pt idx="5">
                  <c:v>2.3201523956794805</c:v>
                </c:pt>
                <c:pt idx="6">
                  <c:v>2.9570888014690913</c:v>
                </c:pt>
                <c:pt idx="7">
                  <c:v>3.6892556156347567</c:v>
                </c:pt>
                <c:pt idx="8">
                  <c:v>4.6545523752667632</c:v>
                </c:pt>
                <c:pt idx="9">
                  <c:v>5.878669144020046</c:v>
                </c:pt>
                <c:pt idx="10">
                  <c:v>7.3925373491113247</c:v>
                </c:pt>
                <c:pt idx="11">
                  <c:v>9.3096952603718925</c:v>
                </c:pt>
                <c:pt idx="12">
                  <c:v>11.73474868297142</c:v>
                </c:pt>
                <c:pt idx="13">
                  <c:v>14.799839036284428</c:v>
                </c:pt>
                <c:pt idx="14">
                  <c:v>18.685830274203429</c:v>
                </c:pt>
                <c:pt idx="15">
                  <c:v>23.513052292583424</c:v>
                </c:pt>
                <c:pt idx="16">
                  <c:v>29.948117950056812</c:v>
                </c:pt>
                <c:pt idx="17">
                  <c:v>37.793184227671773</c:v>
                </c:pt>
                <c:pt idx="18">
                  <c:v>47.947403353351071</c:v>
                </c:pt>
                <c:pt idx="19">
                  <c:v>60.909073975574046</c:v>
                </c:pt>
                <c:pt idx="20">
                  <c:v>77.084955435543861</c:v>
                </c:pt>
                <c:pt idx="21">
                  <c:v>97.098105598914685</c:v>
                </c:pt>
                <c:pt idx="22">
                  <c:v>122.19021087567508</c:v>
                </c:pt>
                <c:pt idx="23">
                  <c:v>153.3061931473859</c:v>
                </c:pt>
                <c:pt idx="24">
                  <c:v>193.18484943013365</c:v>
                </c:pt>
                <c:pt idx="25">
                  <c:v>241.23560354794287</c:v>
                </c:pt>
                <c:pt idx="26">
                  <c:v>305.54934911167823</c:v>
                </c:pt>
                <c:pt idx="27">
                  <c:v>382.90006376007352</c:v>
                </c:pt>
                <c:pt idx="28">
                  <c:v>490.03796428423465</c:v>
                </c:pt>
                <c:pt idx="29">
                  <c:v>618.90906808429531</c:v>
                </c:pt>
                <c:pt idx="30">
                  <c:v>772.17835015434514</c:v>
                </c:pt>
                <c:pt idx="31">
                  <c:v>975.63184277791584</c:v>
                </c:pt>
                <c:pt idx="32">
                  <c:v>1213.4125756300641</c:v>
                </c:pt>
                <c:pt idx="33">
                  <c:v>1516.3043318835148</c:v>
                </c:pt>
                <c:pt idx="34">
                  <c:v>1910.5877513691789</c:v>
                </c:pt>
                <c:pt idx="35">
                  <c:v>2386.4445051614634</c:v>
                </c:pt>
                <c:pt idx="36">
                  <c:v>2989.4966028544782</c:v>
                </c:pt>
                <c:pt idx="37">
                  <c:v>3761.7487749644824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134.55037277514973</c:v>
                </c:pt>
                <c:pt idx="1">
                  <c:v>134.57486824797564</c:v>
                </c:pt>
                <c:pt idx="2">
                  <c:v>134.58278456156594</c:v>
                </c:pt>
                <c:pt idx="3">
                  <c:v>134.592905450074</c:v>
                </c:pt>
                <c:pt idx="4">
                  <c:v>134.60629666800284</c:v>
                </c:pt>
                <c:pt idx="5">
                  <c:v>134.62197812433197</c:v>
                </c:pt>
                <c:pt idx="6">
                  <c:v>134.64371649277791</c:v>
                </c:pt>
                <c:pt idx="7">
                  <c:v>134.66870503453114</c:v>
                </c:pt>
                <c:pt idx="8">
                  <c:v>134.70165020210177</c:v>
                </c:pt>
                <c:pt idx="9">
                  <c:v>134.74342878642847</c:v>
                </c:pt>
                <c:pt idx="10">
                  <c:v>134.79509646395755</c:v>
                </c:pt>
                <c:pt idx="11">
                  <c:v>134.8605282475159</c:v>
                </c:pt>
                <c:pt idx="12">
                  <c:v>134.94329428871308</c:v>
                </c:pt>
                <c:pt idx="13">
                  <c:v>135.04790451795228</c:v>
                </c:pt>
                <c:pt idx="14">
                  <c:v>135.18053174500312</c:v>
                </c:pt>
                <c:pt idx="15">
                  <c:v>135.34528277799811</c:v>
                </c:pt>
                <c:pt idx="16">
                  <c:v>135.5649088300882</c:v>
                </c:pt>
                <c:pt idx="17">
                  <c:v>135.83265760323968</c:v>
                </c:pt>
                <c:pt idx="18">
                  <c:v>136.1792167803074</c:v>
                </c:pt>
                <c:pt idx="19">
                  <c:v>136.6215930820853</c:v>
                </c:pt>
                <c:pt idx="20">
                  <c:v>137.17366903176963</c:v>
                </c:pt>
                <c:pt idx="21">
                  <c:v>137.85670932913828</c:v>
                </c:pt>
                <c:pt idx="22">
                  <c:v>138.71309220289558</c:v>
                </c:pt>
                <c:pt idx="23">
                  <c:v>139.77506743469525</c:v>
                </c:pt>
                <c:pt idx="24">
                  <c:v>141.13610900104916</c:v>
                </c:pt>
                <c:pt idx="25">
                  <c:v>142.77606078842376</c:v>
                </c:pt>
                <c:pt idx="26">
                  <c:v>144.97106155222889</c:v>
                </c:pt>
                <c:pt idx="27">
                  <c:v>147.61100852228745</c:v>
                </c:pt>
                <c:pt idx="28">
                  <c:v>151.26757946869515</c:v>
                </c:pt>
                <c:pt idx="29">
                  <c:v>155.66589539313799</c:v>
                </c:pt>
                <c:pt idx="30">
                  <c:v>160.89691075793621</c:v>
                </c:pt>
                <c:pt idx="31">
                  <c:v>167.84069187024906</c:v>
                </c:pt>
                <c:pt idx="32">
                  <c:v>175.95604708170029</c:v>
                </c:pt>
                <c:pt idx="33">
                  <c:v>186.29361381022699</c:v>
                </c:pt>
                <c:pt idx="34">
                  <c:v>199.75033910807269</c:v>
                </c:pt>
                <c:pt idx="35">
                  <c:v>215.99112758774197</c:v>
                </c:pt>
                <c:pt idx="36">
                  <c:v>236.57303901970261</c:v>
                </c:pt>
                <c:pt idx="37">
                  <c:v>262.92967697902941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14496"/>
        <c:axId val="116316032"/>
      </c:scatterChart>
      <c:valAx>
        <c:axId val="116314496"/>
        <c:scaling>
          <c:logBase val="10"/>
          <c:orientation val="minMax"/>
          <c:min val="1.0000000000000221E-4"/>
        </c:scaling>
        <c:delete val="0"/>
        <c:axPos val="b"/>
        <c:numFmt formatCode="0.000" sourceLinked="1"/>
        <c:majorTickMark val="out"/>
        <c:minorTickMark val="none"/>
        <c:tickLblPos val="nextTo"/>
        <c:crossAx val="116316032"/>
        <c:crosses val="autoZero"/>
        <c:crossBetween val="midCat"/>
      </c:valAx>
      <c:valAx>
        <c:axId val="116316032"/>
        <c:scaling>
          <c:logBase val="10"/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6314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-19.579999999999998</c:v>
                </c:pt>
                <c:pt idx="1">
                  <c:v>-19.600000000000001</c:v>
                </c:pt>
                <c:pt idx="2">
                  <c:v>-19.600000000000001</c:v>
                </c:pt>
                <c:pt idx="3">
                  <c:v>-19.59</c:v>
                </c:pt>
                <c:pt idx="4">
                  <c:v>-19.559999999999999</c:v>
                </c:pt>
                <c:pt idx="5">
                  <c:v>-19.52</c:v>
                </c:pt>
                <c:pt idx="6">
                  <c:v>-19.48</c:v>
                </c:pt>
                <c:pt idx="7">
                  <c:v>-19.420000000000002</c:v>
                </c:pt>
                <c:pt idx="8">
                  <c:v>-19.37</c:v>
                </c:pt>
                <c:pt idx="9">
                  <c:v>-19.309999999999999</c:v>
                </c:pt>
                <c:pt idx="10">
                  <c:v>-19.25</c:v>
                </c:pt>
                <c:pt idx="11">
                  <c:v>-19.18</c:v>
                </c:pt>
                <c:pt idx="12">
                  <c:v>-19.12</c:v>
                </c:pt>
                <c:pt idx="13">
                  <c:v>-19.059999999999999</c:v>
                </c:pt>
                <c:pt idx="14">
                  <c:v>-19</c:v>
                </c:pt>
                <c:pt idx="15">
                  <c:v>-18.95</c:v>
                </c:pt>
                <c:pt idx="16">
                  <c:v>-18.899999999999999</c:v>
                </c:pt>
                <c:pt idx="17">
                  <c:v>-18.84</c:v>
                </c:pt>
                <c:pt idx="18">
                  <c:v>-18.79</c:v>
                </c:pt>
                <c:pt idx="19">
                  <c:v>-18.75</c:v>
                </c:pt>
                <c:pt idx="20">
                  <c:v>-18.7</c:v>
                </c:pt>
                <c:pt idx="21">
                  <c:v>-18.649999999999999</c:v>
                </c:pt>
                <c:pt idx="22">
                  <c:v>-18.61</c:v>
                </c:pt>
                <c:pt idx="23">
                  <c:v>-18.559999999999999</c:v>
                </c:pt>
                <c:pt idx="24">
                  <c:v>-18.52</c:v>
                </c:pt>
                <c:pt idx="25">
                  <c:v>-18.47</c:v>
                </c:pt>
                <c:pt idx="26">
                  <c:v>-18.41</c:v>
                </c:pt>
                <c:pt idx="27">
                  <c:v>-18.36</c:v>
                </c:pt>
                <c:pt idx="28">
                  <c:v>-18.3</c:v>
                </c:pt>
                <c:pt idx="29">
                  <c:v>-18.23</c:v>
                </c:pt>
                <c:pt idx="30">
                  <c:v>-18.170000000000002</c:v>
                </c:pt>
                <c:pt idx="31">
                  <c:v>-18.100000000000001</c:v>
                </c:pt>
                <c:pt idx="32">
                  <c:v>-18.03</c:v>
                </c:pt>
                <c:pt idx="33">
                  <c:v>-17.96</c:v>
                </c:pt>
                <c:pt idx="34">
                  <c:v>-17.89</c:v>
                </c:pt>
                <c:pt idx="35">
                  <c:v>-17.809999999999999</c:v>
                </c:pt>
                <c:pt idx="36">
                  <c:v>-17.73</c:v>
                </c:pt>
                <c:pt idx="37">
                  <c:v>-17.64</c:v>
                </c:pt>
                <c:pt idx="38">
                  <c:v>-17.559999999999999</c:v>
                </c:pt>
                <c:pt idx="39">
                  <c:v>-17.48</c:v>
                </c:pt>
                <c:pt idx="40">
                  <c:v>-17.350000000000001</c:v>
                </c:pt>
                <c:pt idx="41">
                  <c:v>-17.18</c:v>
                </c:pt>
                <c:pt idx="42">
                  <c:v>-17.010000000000002</c:v>
                </c:pt>
                <c:pt idx="43">
                  <c:v>-16.84</c:v>
                </c:pt>
                <c:pt idx="44">
                  <c:v>-16.68</c:v>
                </c:pt>
                <c:pt idx="45">
                  <c:v>-16.52</c:v>
                </c:pt>
                <c:pt idx="46">
                  <c:v>-16.36</c:v>
                </c:pt>
                <c:pt idx="47">
                  <c:v>-16.2</c:v>
                </c:pt>
                <c:pt idx="48">
                  <c:v>-16.05</c:v>
                </c:pt>
                <c:pt idx="49">
                  <c:v>-15.9</c:v>
                </c:pt>
                <c:pt idx="50">
                  <c:v>-15.75</c:v>
                </c:pt>
                <c:pt idx="51">
                  <c:v>-15.6</c:v>
                </c:pt>
                <c:pt idx="52">
                  <c:v>-15.45</c:v>
                </c:pt>
                <c:pt idx="53">
                  <c:v>-15.3</c:v>
                </c:pt>
                <c:pt idx="54">
                  <c:v>-15.15</c:v>
                </c:pt>
                <c:pt idx="55">
                  <c:v>-15</c:v>
                </c:pt>
                <c:pt idx="56">
                  <c:v>-14.84</c:v>
                </c:pt>
                <c:pt idx="57">
                  <c:v>-14.68</c:v>
                </c:pt>
                <c:pt idx="58">
                  <c:v>-14.52</c:v>
                </c:pt>
                <c:pt idx="59">
                  <c:v>-14.36</c:v>
                </c:pt>
                <c:pt idx="60">
                  <c:v>-14.2</c:v>
                </c:pt>
                <c:pt idx="61">
                  <c:v>-14.03</c:v>
                </c:pt>
                <c:pt idx="62">
                  <c:v>-13.87</c:v>
                </c:pt>
                <c:pt idx="63">
                  <c:v>-13.71</c:v>
                </c:pt>
                <c:pt idx="64">
                  <c:v>-13.55</c:v>
                </c:pt>
                <c:pt idx="65">
                  <c:v>-13.39</c:v>
                </c:pt>
                <c:pt idx="66">
                  <c:v>-13.24</c:v>
                </c:pt>
                <c:pt idx="67">
                  <c:v>-13.08</c:v>
                </c:pt>
                <c:pt idx="68">
                  <c:v>-12.93</c:v>
                </c:pt>
                <c:pt idx="69">
                  <c:v>-12.77</c:v>
                </c:pt>
                <c:pt idx="70">
                  <c:v>-12.61</c:v>
                </c:pt>
                <c:pt idx="71">
                  <c:v>-12.42</c:v>
                </c:pt>
                <c:pt idx="72">
                  <c:v>-12.23</c:v>
                </c:pt>
                <c:pt idx="73">
                  <c:v>-12.04</c:v>
                </c:pt>
                <c:pt idx="74">
                  <c:v>-11.86</c:v>
                </c:pt>
                <c:pt idx="75">
                  <c:v>-11.68</c:v>
                </c:pt>
                <c:pt idx="76">
                  <c:v>-11.51</c:v>
                </c:pt>
                <c:pt idx="77">
                  <c:v>-11.34</c:v>
                </c:pt>
                <c:pt idx="78">
                  <c:v>-11.18</c:v>
                </c:pt>
                <c:pt idx="79">
                  <c:v>-11.02</c:v>
                </c:pt>
                <c:pt idx="80">
                  <c:v>-10.77</c:v>
                </c:pt>
                <c:pt idx="81">
                  <c:v>-10.43</c:v>
                </c:pt>
                <c:pt idx="82">
                  <c:v>-10.06</c:v>
                </c:pt>
                <c:pt idx="83">
                  <c:v>-9.6989999999999998</c:v>
                </c:pt>
                <c:pt idx="84">
                  <c:v>-9.35</c:v>
                </c:pt>
                <c:pt idx="85">
                  <c:v>-9.0250000000000004</c:v>
                </c:pt>
                <c:pt idx="86">
                  <c:v>-8.7040000000000006</c:v>
                </c:pt>
                <c:pt idx="87">
                  <c:v>-8.3840000000000003</c:v>
                </c:pt>
                <c:pt idx="88">
                  <c:v>-8.0579999999999998</c:v>
                </c:pt>
                <c:pt idx="89">
                  <c:v>-7.7329999999999997</c:v>
                </c:pt>
                <c:pt idx="90">
                  <c:v>-7.4029999999999996</c:v>
                </c:pt>
                <c:pt idx="91">
                  <c:v>-7.0739999999999998</c:v>
                </c:pt>
                <c:pt idx="92">
                  <c:v>-6.7439999999999998</c:v>
                </c:pt>
                <c:pt idx="93">
                  <c:v>-6.4080000000000004</c:v>
                </c:pt>
                <c:pt idx="94">
                  <c:v>-6.0629999999999997</c:v>
                </c:pt>
                <c:pt idx="95">
                  <c:v>-5.7169999999999996</c:v>
                </c:pt>
                <c:pt idx="96">
                  <c:v>-5.38</c:v>
                </c:pt>
                <c:pt idx="97">
                  <c:v>-5.05</c:v>
                </c:pt>
                <c:pt idx="98">
                  <c:v>-4.72</c:v>
                </c:pt>
                <c:pt idx="99">
                  <c:v>-4.3849999999999998</c:v>
                </c:pt>
                <c:pt idx="100">
                  <c:v>-4.0519999999999996</c:v>
                </c:pt>
                <c:pt idx="101">
                  <c:v>-3.7149999999999999</c:v>
                </c:pt>
                <c:pt idx="102">
                  <c:v>-3.3879999999999999</c:v>
                </c:pt>
                <c:pt idx="103">
                  <c:v>-3.069</c:v>
                </c:pt>
                <c:pt idx="104">
                  <c:v>-2.7549999999999999</c:v>
                </c:pt>
                <c:pt idx="105">
                  <c:v>-2.4289999999999998</c:v>
                </c:pt>
                <c:pt idx="106">
                  <c:v>-2.097</c:v>
                </c:pt>
                <c:pt idx="107">
                  <c:v>-1.7549999999999999</c:v>
                </c:pt>
                <c:pt idx="108">
                  <c:v>-1.419</c:v>
                </c:pt>
                <c:pt idx="109">
                  <c:v>-1.0820000000000001</c:v>
                </c:pt>
                <c:pt idx="110">
                  <c:v>-0.74960000000000004</c:v>
                </c:pt>
                <c:pt idx="111">
                  <c:v>-0.41049999999999998</c:v>
                </c:pt>
                <c:pt idx="112">
                  <c:v>-7.034E-2</c:v>
                </c:pt>
                <c:pt idx="113">
                  <c:v>0.2666</c:v>
                </c:pt>
                <c:pt idx="114">
                  <c:v>0.59160000000000001</c:v>
                </c:pt>
                <c:pt idx="115">
                  <c:v>0.91</c:v>
                </c:pt>
                <c:pt idx="116">
                  <c:v>1.232</c:v>
                </c:pt>
                <c:pt idx="117">
                  <c:v>1.5649999999999999</c:v>
                </c:pt>
                <c:pt idx="118">
                  <c:v>1.9019999999999999</c:v>
                </c:pt>
                <c:pt idx="119">
                  <c:v>2.2320000000000002</c:v>
                </c:pt>
                <c:pt idx="120">
                  <c:v>2.7170000000000001</c:v>
                </c:pt>
                <c:pt idx="121">
                  <c:v>3.3759999999999999</c:v>
                </c:pt>
                <c:pt idx="122">
                  <c:v>4.0590000000000002</c:v>
                </c:pt>
                <c:pt idx="123">
                  <c:v>4.7249999999999996</c:v>
                </c:pt>
                <c:pt idx="124">
                  <c:v>5.7489999999999997</c:v>
                </c:pt>
                <c:pt idx="125">
                  <c:v>7.5819999999999999</c:v>
                </c:pt>
                <c:pt idx="126">
                  <c:v>9.7279999999999998</c:v>
                </c:pt>
                <c:pt idx="127">
                  <c:v>12.25</c:v>
                </c:pt>
                <c:pt idx="128">
                  <c:v>15.42</c:v>
                </c:pt>
                <c:pt idx="129">
                  <c:v>18.989999999999998</c:v>
                </c:pt>
                <c:pt idx="130">
                  <c:v>22.73</c:v>
                </c:pt>
                <c:pt idx="131">
                  <c:v>26.77</c:v>
                </c:pt>
                <c:pt idx="132">
                  <c:v>30.96</c:v>
                </c:pt>
                <c:pt idx="133">
                  <c:v>35.299999999999997</c:v>
                </c:pt>
                <c:pt idx="134">
                  <c:v>39.68</c:v>
                </c:pt>
                <c:pt idx="135">
                  <c:v>43.99</c:v>
                </c:pt>
                <c:pt idx="136">
                  <c:v>47.82</c:v>
                </c:pt>
                <c:pt idx="137">
                  <c:v>49.9</c:v>
                </c:pt>
                <c:pt idx="138">
                  <c:v>52.47</c:v>
                </c:pt>
                <c:pt idx="139">
                  <c:v>54.75</c:v>
                </c:pt>
                <c:pt idx="140">
                  <c:v>56.3</c:v>
                </c:pt>
                <c:pt idx="141">
                  <c:v>57.83</c:v>
                </c:pt>
                <c:pt idx="142">
                  <c:v>59.54</c:v>
                </c:pt>
                <c:pt idx="143">
                  <c:v>61.16</c:v>
                </c:pt>
                <c:pt idx="144">
                  <c:v>62.55</c:v>
                </c:pt>
                <c:pt idx="145">
                  <c:v>64</c:v>
                </c:pt>
                <c:pt idx="146">
                  <c:v>65.459999999999994</c:v>
                </c:pt>
                <c:pt idx="147">
                  <c:v>66.86</c:v>
                </c:pt>
                <c:pt idx="148">
                  <c:v>68.36</c:v>
                </c:pt>
                <c:pt idx="149">
                  <c:v>69.7</c:v>
                </c:pt>
                <c:pt idx="150">
                  <c:v>72.45</c:v>
                </c:pt>
                <c:pt idx="151">
                  <c:v>82.47</c:v>
                </c:pt>
                <c:pt idx="152">
                  <c:v>87.23</c:v>
                </c:pt>
                <c:pt idx="153">
                  <c:v>91.49</c:v>
                </c:pt>
                <c:pt idx="154">
                  <c:v>97.29</c:v>
                </c:pt>
                <c:pt idx="155">
                  <c:v>99.76</c:v>
                </c:pt>
                <c:pt idx="156">
                  <c:v>101.5</c:v>
                </c:pt>
                <c:pt idx="157">
                  <c:v>102.2</c:v>
                </c:pt>
                <c:pt idx="158">
                  <c:v>102.8</c:v>
                </c:pt>
                <c:pt idx="159">
                  <c:v>103.1</c:v>
                </c:pt>
                <c:pt idx="160">
                  <c:v>103.3</c:v>
                </c:pt>
                <c:pt idx="161">
                  <c:v>102.8</c:v>
                </c:pt>
                <c:pt idx="162">
                  <c:v>102</c:v>
                </c:pt>
                <c:pt idx="163">
                  <c:v>101.4</c:v>
                </c:pt>
                <c:pt idx="164">
                  <c:v>101.5</c:v>
                </c:pt>
                <c:pt idx="165">
                  <c:v>101.8</c:v>
                </c:pt>
                <c:pt idx="166">
                  <c:v>102.1</c:v>
                </c:pt>
                <c:pt idx="167">
                  <c:v>102.7</c:v>
                </c:pt>
                <c:pt idx="168">
                  <c:v>103.3</c:v>
                </c:pt>
                <c:pt idx="169">
                  <c:v>103.9</c:v>
                </c:pt>
                <c:pt idx="170">
                  <c:v>104.4</c:v>
                </c:pt>
                <c:pt idx="171">
                  <c:v>104.8</c:v>
                </c:pt>
                <c:pt idx="172">
                  <c:v>105.4</c:v>
                </c:pt>
                <c:pt idx="173">
                  <c:v>105.9</c:v>
                </c:pt>
                <c:pt idx="174">
                  <c:v>106.3</c:v>
                </c:pt>
                <c:pt idx="175">
                  <c:v>106.7</c:v>
                </c:pt>
                <c:pt idx="176">
                  <c:v>106.9</c:v>
                </c:pt>
                <c:pt idx="177">
                  <c:v>107.4</c:v>
                </c:pt>
                <c:pt idx="178">
                  <c:v>107.8</c:v>
                </c:pt>
                <c:pt idx="179">
                  <c:v>108</c:v>
                </c:pt>
                <c:pt idx="180">
                  <c:v>108.2</c:v>
                </c:pt>
                <c:pt idx="181">
                  <c:v>108.5</c:v>
                </c:pt>
                <c:pt idx="182">
                  <c:v>108.7</c:v>
                </c:pt>
                <c:pt idx="183">
                  <c:v>109</c:v>
                </c:pt>
                <c:pt idx="184">
                  <c:v>109.1</c:v>
                </c:pt>
                <c:pt idx="185">
                  <c:v>109.2</c:v>
                </c:pt>
                <c:pt idx="186">
                  <c:v>109.4</c:v>
                </c:pt>
                <c:pt idx="187">
                  <c:v>109.7</c:v>
                </c:pt>
                <c:pt idx="188">
                  <c:v>109.8</c:v>
                </c:pt>
                <c:pt idx="189">
                  <c:v>109.8</c:v>
                </c:pt>
                <c:pt idx="190">
                  <c:v>110</c:v>
                </c:pt>
                <c:pt idx="191">
                  <c:v>110.1</c:v>
                </c:pt>
                <c:pt idx="192">
                  <c:v>110.2</c:v>
                </c:pt>
                <c:pt idx="193">
                  <c:v>110.3</c:v>
                </c:pt>
                <c:pt idx="194">
                  <c:v>110.3</c:v>
                </c:pt>
                <c:pt idx="195">
                  <c:v>110.4</c:v>
                </c:pt>
                <c:pt idx="196">
                  <c:v>110.5</c:v>
                </c:pt>
                <c:pt idx="197">
                  <c:v>110.6</c:v>
                </c:pt>
                <c:pt idx="198">
                  <c:v>110.5</c:v>
                </c:pt>
                <c:pt idx="199">
                  <c:v>110.6</c:v>
                </c:pt>
                <c:pt idx="200" formatCode="General">
                  <c:v>110.6</c:v>
                </c:pt>
                <c:pt idx="201" formatCode="General">
                  <c:v>110.6</c:v>
                </c:pt>
                <c:pt idx="202" formatCode="General">
                  <c:v>110.6</c:v>
                </c:pt>
                <c:pt idx="203" formatCode="General">
                  <c:v>110.6</c:v>
                </c:pt>
                <c:pt idx="204" formatCode="General">
                  <c:v>110.6</c:v>
                </c:pt>
                <c:pt idx="205" formatCode="General">
                  <c:v>110.6</c:v>
                </c:pt>
                <c:pt idx="206" formatCode="General">
                  <c:v>110.5</c:v>
                </c:pt>
                <c:pt idx="207" formatCode="General">
                  <c:v>110.4</c:v>
                </c:pt>
                <c:pt idx="208" formatCode="General">
                  <c:v>110.4</c:v>
                </c:pt>
                <c:pt idx="209" formatCode="General">
                  <c:v>110.3</c:v>
                </c:pt>
                <c:pt idx="210" formatCode="General">
                  <c:v>110.2</c:v>
                </c:pt>
                <c:pt idx="211" formatCode="General">
                  <c:v>110.1</c:v>
                </c:pt>
                <c:pt idx="212" formatCode="General">
                  <c:v>110</c:v>
                </c:pt>
                <c:pt idx="213" formatCode="General">
                  <c:v>109.9</c:v>
                </c:pt>
                <c:pt idx="214" formatCode="General">
                  <c:v>109.8</c:v>
                </c:pt>
                <c:pt idx="215" formatCode="General">
                  <c:v>109.6</c:v>
                </c:pt>
                <c:pt idx="216" formatCode="General">
                  <c:v>109.6</c:v>
                </c:pt>
                <c:pt idx="217" formatCode="General">
                  <c:v>109.4</c:v>
                </c:pt>
                <c:pt idx="218" formatCode="General">
                  <c:v>109.3</c:v>
                </c:pt>
                <c:pt idx="219" formatCode="General">
                  <c:v>109.2</c:v>
                </c:pt>
                <c:pt idx="220" formatCode="General">
                  <c:v>109.1</c:v>
                </c:pt>
                <c:pt idx="221" formatCode="General">
                  <c:v>109</c:v>
                </c:pt>
                <c:pt idx="222" formatCode="General">
                  <c:v>108.8</c:v>
                </c:pt>
                <c:pt idx="223" formatCode="General">
                  <c:v>108.9</c:v>
                </c:pt>
                <c:pt idx="224" formatCode="General">
                  <c:v>108.7</c:v>
                </c:pt>
                <c:pt idx="225" formatCode="General">
                  <c:v>108.6</c:v>
                </c:pt>
                <c:pt idx="226" formatCode="General">
                  <c:v>108.5</c:v>
                </c:pt>
                <c:pt idx="227" formatCode="General">
                  <c:v>108.4</c:v>
                </c:pt>
                <c:pt idx="228" formatCode="General">
                  <c:v>108.3</c:v>
                </c:pt>
                <c:pt idx="229" formatCode="General">
                  <c:v>108.2</c:v>
                </c:pt>
                <c:pt idx="230" formatCode="General">
                  <c:v>108.1</c:v>
                </c:pt>
                <c:pt idx="231" formatCode="General">
                  <c:v>108</c:v>
                </c:pt>
                <c:pt idx="232" formatCode="General">
                  <c:v>108</c:v>
                </c:pt>
                <c:pt idx="233" formatCode="General">
                  <c:v>107.9</c:v>
                </c:pt>
                <c:pt idx="234" formatCode="General">
                  <c:v>107.8</c:v>
                </c:pt>
                <c:pt idx="235" formatCode="General">
                  <c:v>107.8</c:v>
                </c:pt>
                <c:pt idx="236" formatCode="General">
                  <c:v>107.7</c:v>
                </c:pt>
                <c:pt idx="237" formatCode="General">
                  <c:v>107.6</c:v>
                </c:pt>
                <c:pt idx="238" formatCode="General">
                  <c:v>107.5</c:v>
                </c:pt>
                <c:pt idx="239" formatCode="General">
                  <c:v>107.4</c:v>
                </c:pt>
                <c:pt idx="240" formatCode="General">
                  <c:v>107.4</c:v>
                </c:pt>
                <c:pt idx="241" formatCode="General">
                  <c:v>107.3</c:v>
                </c:pt>
                <c:pt idx="242" formatCode="General">
                  <c:v>107.1</c:v>
                </c:pt>
                <c:pt idx="243" formatCode="General">
                  <c:v>107</c:v>
                </c:pt>
                <c:pt idx="244" formatCode="General">
                  <c:v>106.9</c:v>
                </c:pt>
                <c:pt idx="245" formatCode="General">
                  <c:v>106.8</c:v>
                </c:pt>
                <c:pt idx="246" formatCode="General">
                  <c:v>106.7</c:v>
                </c:pt>
                <c:pt idx="247" formatCode="General">
                  <c:v>106.6</c:v>
                </c:pt>
                <c:pt idx="248" formatCode="General">
                  <c:v>106.6</c:v>
                </c:pt>
                <c:pt idx="249" formatCode="General">
                  <c:v>106.4</c:v>
                </c:pt>
                <c:pt idx="250" formatCode="General">
                  <c:v>106.4</c:v>
                </c:pt>
                <c:pt idx="251" formatCode="General">
                  <c:v>106.3</c:v>
                </c:pt>
                <c:pt idx="252" formatCode="General">
                  <c:v>106.3</c:v>
                </c:pt>
                <c:pt idx="253" formatCode="General">
                  <c:v>106.2</c:v>
                </c:pt>
                <c:pt idx="254" formatCode="General">
                  <c:v>106.1</c:v>
                </c:pt>
                <c:pt idx="255" formatCode="General">
                  <c:v>106.1</c:v>
                </c:pt>
                <c:pt idx="256" formatCode="General">
                  <c:v>106</c:v>
                </c:pt>
                <c:pt idx="257" formatCode="General">
                  <c:v>105.9</c:v>
                </c:pt>
                <c:pt idx="258" formatCode="General">
                  <c:v>105.9</c:v>
                </c:pt>
                <c:pt idx="259" formatCode="General">
                  <c:v>105.9</c:v>
                </c:pt>
                <c:pt idx="260" formatCode="General">
                  <c:v>105.8</c:v>
                </c:pt>
                <c:pt idx="261" formatCode="General">
                  <c:v>105.8</c:v>
                </c:pt>
                <c:pt idx="262" formatCode="General">
                  <c:v>105.7</c:v>
                </c:pt>
                <c:pt idx="263" formatCode="General">
                  <c:v>105.7</c:v>
                </c:pt>
                <c:pt idx="264" formatCode="General">
                  <c:v>105.6</c:v>
                </c:pt>
                <c:pt idx="265" formatCode="General">
                  <c:v>105.6</c:v>
                </c:pt>
                <c:pt idx="266" formatCode="General">
                  <c:v>105.5</c:v>
                </c:pt>
                <c:pt idx="267" formatCode="General">
                  <c:v>105.5</c:v>
                </c:pt>
                <c:pt idx="268" formatCode="General">
                  <c:v>105.5</c:v>
                </c:pt>
                <c:pt idx="269" formatCode="General">
                  <c:v>105.5</c:v>
                </c:pt>
                <c:pt idx="270" formatCode="General">
                  <c:v>105.4</c:v>
                </c:pt>
                <c:pt idx="271" formatCode="General">
                  <c:v>105.4</c:v>
                </c:pt>
                <c:pt idx="272" formatCode="General">
                  <c:v>105.4</c:v>
                </c:pt>
                <c:pt idx="273" formatCode="General">
                  <c:v>105.3</c:v>
                </c:pt>
                <c:pt idx="274" formatCode="General">
                  <c:v>105.3</c:v>
                </c:pt>
                <c:pt idx="275" formatCode="General">
                  <c:v>105.3</c:v>
                </c:pt>
                <c:pt idx="276" formatCode="General">
                  <c:v>105.2</c:v>
                </c:pt>
                <c:pt idx="277" formatCode="General">
                  <c:v>105.2</c:v>
                </c:pt>
                <c:pt idx="278" formatCode="General">
                  <c:v>105.2</c:v>
                </c:pt>
                <c:pt idx="279" formatCode="General">
                  <c:v>105.2</c:v>
                </c:pt>
                <c:pt idx="280" formatCode="General">
                  <c:v>105.2</c:v>
                </c:pt>
                <c:pt idx="281" formatCode="General">
                  <c:v>105.1</c:v>
                </c:pt>
                <c:pt idx="282" formatCode="General">
                  <c:v>105.1</c:v>
                </c:pt>
                <c:pt idx="283" formatCode="General">
                  <c:v>105.1</c:v>
                </c:pt>
                <c:pt idx="284" formatCode="General">
                  <c:v>105</c:v>
                </c:pt>
                <c:pt idx="285" formatCode="General">
                  <c:v>105</c:v>
                </c:pt>
                <c:pt idx="286" formatCode="General">
                  <c:v>105</c:v>
                </c:pt>
                <c:pt idx="287" formatCode="General">
                  <c:v>104.9</c:v>
                </c:pt>
                <c:pt idx="288" formatCode="General">
                  <c:v>104.9</c:v>
                </c:pt>
                <c:pt idx="289" formatCode="General">
                  <c:v>104.9</c:v>
                </c:pt>
                <c:pt idx="290" formatCode="General">
                  <c:v>104.9</c:v>
                </c:pt>
                <c:pt idx="291" formatCode="General">
                  <c:v>104.9</c:v>
                </c:pt>
                <c:pt idx="292" formatCode="General">
                  <c:v>104.8</c:v>
                </c:pt>
                <c:pt idx="293" formatCode="General">
                  <c:v>104.8</c:v>
                </c:pt>
                <c:pt idx="294" formatCode="General">
                  <c:v>104.8</c:v>
                </c:pt>
                <c:pt idx="295" formatCode="General">
                  <c:v>104.8</c:v>
                </c:pt>
                <c:pt idx="296" formatCode="General">
                  <c:v>104.8</c:v>
                </c:pt>
                <c:pt idx="297" formatCode="General">
                  <c:v>104.8</c:v>
                </c:pt>
                <c:pt idx="298" formatCode="General">
                  <c:v>104.7</c:v>
                </c:pt>
                <c:pt idx="299" formatCode="General">
                  <c:v>104.8</c:v>
                </c:pt>
                <c:pt idx="300" formatCode="General">
                  <c:v>104.7</c:v>
                </c:pt>
                <c:pt idx="301" formatCode="General">
                  <c:v>104.7</c:v>
                </c:pt>
                <c:pt idx="302" formatCode="General">
                  <c:v>104.7</c:v>
                </c:pt>
                <c:pt idx="303" formatCode="General">
                  <c:v>104.7</c:v>
                </c:pt>
                <c:pt idx="304" formatCode="General">
                  <c:v>104.7</c:v>
                </c:pt>
                <c:pt idx="305" formatCode="General">
                  <c:v>104.7</c:v>
                </c:pt>
                <c:pt idx="306" formatCode="General">
                  <c:v>104.7</c:v>
                </c:pt>
                <c:pt idx="307" formatCode="General">
                  <c:v>104.7</c:v>
                </c:pt>
                <c:pt idx="308" formatCode="General">
                  <c:v>104.6</c:v>
                </c:pt>
                <c:pt idx="309" formatCode="General">
                  <c:v>104.6</c:v>
                </c:pt>
                <c:pt idx="310" formatCode="General">
                  <c:v>104.6</c:v>
                </c:pt>
                <c:pt idx="311" formatCode="General">
                  <c:v>104.6</c:v>
                </c:pt>
                <c:pt idx="312" formatCode="General">
                  <c:v>104.6</c:v>
                </c:pt>
                <c:pt idx="313" formatCode="General">
                  <c:v>104.6</c:v>
                </c:pt>
                <c:pt idx="314" formatCode="General">
                  <c:v>104.6</c:v>
                </c:pt>
                <c:pt idx="315" formatCode="General">
                  <c:v>104.6</c:v>
                </c:pt>
                <c:pt idx="316" formatCode="General">
                  <c:v>104.6</c:v>
                </c:pt>
                <c:pt idx="317" formatCode="General">
                  <c:v>104.6</c:v>
                </c:pt>
                <c:pt idx="318" formatCode="General">
                  <c:v>104.6</c:v>
                </c:pt>
                <c:pt idx="319" formatCode="General">
                  <c:v>104.6</c:v>
                </c:pt>
                <c:pt idx="320" formatCode="General">
                  <c:v>104.5</c:v>
                </c:pt>
                <c:pt idx="321" formatCode="General">
                  <c:v>104.5</c:v>
                </c:pt>
                <c:pt idx="322" formatCode="General">
                  <c:v>104.5</c:v>
                </c:pt>
                <c:pt idx="323" formatCode="General">
                  <c:v>104.5</c:v>
                </c:pt>
                <c:pt idx="324" formatCode="General">
                  <c:v>104.5</c:v>
                </c:pt>
                <c:pt idx="325" formatCode="General">
                  <c:v>104.5</c:v>
                </c:pt>
                <c:pt idx="326" formatCode="General">
                  <c:v>104.5</c:v>
                </c:pt>
                <c:pt idx="327" formatCode="General">
                  <c:v>104.5</c:v>
                </c:pt>
                <c:pt idx="328" formatCode="General">
                  <c:v>104.5</c:v>
                </c:pt>
                <c:pt idx="329" formatCode="General">
                  <c:v>104.5</c:v>
                </c:pt>
                <c:pt idx="330" formatCode="General">
                  <c:v>104.5</c:v>
                </c:pt>
                <c:pt idx="331" formatCode="General">
                  <c:v>104.5</c:v>
                </c:pt>
                <c:pt idx="332" formatCode="General">
                  <c:v>104.4</c:v>
                </c:pt>
                <c:pt idx="333" formatCode="General">
                  <c:v>104.4</c:v>
                </c:pt>
                <c:pt idx="334" formatCode="General">
                  <c:v>104.4</c:v>
                </c:pt>
                <c:pt idx="335" formatCode="General">
                  <c:v>104.4</c:v>
                </c:pt>
                <c:pt idx="336" formatCode="General">
                  <c:v>104.4</c:v>
                </c:pt>
                <c:pt idx="337" formatCode="General">
                  <c:v>104.4</c:v>
                </c:pt>
                <c:pt idx="338" formatCode="General">
                  <c:v>104.4</c:v>
                </c:pt>
                <c:pt idx="339" formatCode="General">
                  <c:v>104.4</c:v>
                </c:pt>
                <c:pt idx="340" formatCode="General">
                  <c:v>104.3</c:v>
                </c:pt>
                <c:pt idx="341" formatCode="General">
                  <c:v>104.3</c:v>
                </c:pt>
                <c:pt idx="342" formatCode="General">
                  <c:v>104.3</c:v>
                </c:pt>
                <c:pt idx="343" formatCode="General">
                  <c:v>104.3</c:v>
                </c:pt>
                <c:pt idx="344" formatCode="General">
                  <c:v>104.3</c:v>
                </c:pt>
                <c:pt idx="345" formatCode="General">
                  <c:v>104.3</c:v>
                </c:pt>
                <c:pt idx="346" formatCode="General">
                  <c:v>104.3</c:v>
                </c:pt>
                <c:pt idx="347" formatCode="General">
                  <c:v>104.3</c:v>
                </c:pt>
                <c:pt idx="348" formatCode="General">
                  <c:v>104.2</c:v>
                </c:pt>
                <c:pt idx="349" formatCode="General">
                  <c:v>104.2</c:v>
                </c:pt>
                <c:pt idx="350" formatCode="General">
                  <c:v>104.3</c:v>
                </c:pt>
                <c:pt idx="351" formatCode="General">
                  <c:v>104.2</c:v>
                </c:pt>
                <c:pt idx="352" formatCode="General">
                  <c:v>104.2</c:v>
                </c:pt>
                <c:pt idx="353" formatCode="General">
                  <c:v>104.2</c:v>
                </c:pt>
                <c:pt idx="354" formatCode="General">
                  <c:v>104.2</c:v>
                </c:pt>
                <c:pt idx="355" formatCode="General">
                  <c:v>104.2</c:v>
                </c:pt>
                <c:pt idx="356" formatCode="General">
                  <c:v>104.2</c:v>
                </c:pt>
                <c:pt idx="357" formatCode="General">
                  <c:v>104.2</c:v>
                </c:pt>
                <c:pt idx="358" formatCode="General">
                  <c:v>104.2</c:v>
                </c:pt>
                <c:pt idx="359" formatCode="General">
                  <c:v>104.1</c:v>
                </c:pt>
                <c:pt idx="360" formatCode="General">
                  <c:v>104.1</c:v>
                </c:pt>
                <c:pt idx="361" formatCode="General">
                  <c:v>104.1</c:v>
                </c:pt>
                <c:pt idx="362" formatCode="General">
                  <c:v>104.1</c:v>
                </c:pt>
                <c:pt idx="363" formatCode="General">
                  <c:v>104.1</c:v>
                </c:pt>
                <c:pt idx="364" formatCode="General">
                  <c:v>104.1</c:v>
                </c:pt>
                <c:pt idx="365" formatCode="General">
                  <c:v>104</c:v>
                </c:pt>
                <c:pt idx="366" formatCode="General">
                  <c:v>104</c:v>
                </c:pt>
                <c:pt idx="367" formatCode="General">
                  <c:v>104</c:v>
                </c:pt>
                <c:pt idx="368" formatCode="General">
                  <c:v>104</c:v>
                </c:pt>
                <c:pt idx="369" formatCode="General">
                  <c:v>103.9</c:v>
                </c:pt>
                <c:pt idx="370" formatCode="General">
                  <c:v>103.9</c:v>
                </c:pt>
                <c:pt idx="371" formatCode="General">
                  <c:v>103.9</c:v>
                </c:pt>
                <c:pt idx="372" formatCode="General">
                  <c:v>103.9</c:v>
                </c:pt>
                <c:pt idx="373" formatCode="General">
                  <c:v>103.8</c:v>
                </c:pt>
                <c:pt idx="374" formatCode="General">
                  <c:v>103.8</c:v>
                </c:pt>
                <c:pt idx="375" formatCode="General">
                  <c:v>103.8</c:v>
                </c:pt>
                <c:pt idx="376" formatCode="General">
                  <c:v>103.8</c:v>
                </c:pt>
                <c:pt idx="377" formatCode="General">
                  <c:v>103.7</c:v>
                </c:pt>
                <c:pt idx="378" formatCode="General">
                  <c:v>103.7</c:v>
                </c:pt>
                <c:pt idx="379" formatCode="General">
                  <c:v>103.7</c:v>
                </c:pt>
                <c:pt idx="380" formatCode="General">
                  <c:v>103.6</c:v>
                </c:pt>
                <c:pt idx="381" formatCode="General">
                  <c:v>103.6</c:v>
                </c:pt>
                <c:pt idx="382" formatCode="General">
                  <c:v>103.5</c:v>
                </c:pt>
                <c:pt idx="383" formatCode="General">
                  <c:v>103.5</c:v>
                </c:pt>
                <c:pt idx="384" formatCode="General">
                  <c:v>103.5</c:v>
                </c:pt>
                <c:pt idx="385" formatCode="General">
                  <c:v>103.4</c:v>
                </c:pt>
                <c:pt idx="386" formatCode="General">
                  <c:v>103.3</c:v>
                </c:pt>
                <c:pt idx="387" formatCode="General">
                  <c:v>103.3</c:v>
                </c:pt>
                <c:pt idx="388" formatCode="General">
                  <c:v>103.3</c:v>
                </c:pt>
                <c:pt idx="389" formatCode="General">
                  <c:v>103.2</c:v>
                </c:pt>
                <c:pt idx="390" formatCode="General">
                  <c:v>103.1</c:v>
                </c:pt>
                <c:pt idx="391" formatCode="General">
                  <c:v>103.1</c:v>
                </c:pt>
                <c:pt idx="392" formatCode="General">
                  <c:v>103.1</c:v>
                </c:pt>
                <c:pt idx="393" formatCode="General">
                  <c:v>103</c:v>
                </c:pt>
                <c:pt idx="394" formatCode="General">
                  <c:v>103</c:v>
                </c:pt>
                <c:pt idx="395" formatCode="General">
                  <c:v>102.9</c:v>
                </c:pt>
                <c:pt idx="396" formatCode="General">
                  <c:v>102.9</c:v>
                </c:pt>
                <c:pt idx="397" formatCode="General">
                  <c:v>102.8</c:v>
                </c:pt>
                <c:pt idx="398" formatCode="General">
                  <c:v>102.7</c:v>
                </c:pt>
                <c:pt idx="399" formatCode="General">
                  <c:v>102.7</c:v>
                </c:pt>
                <c:pt idx="400" formatCode="General">
                  <c:v>102.6</c:v>
                </c:pt>
                <c:pt idx="401" formatCode="General">
                  <c:v>102.5</c:v>
                </c:pt>
                <c:pt idx="402" formatCode="General">
                  <c:v>102.4</c:v>
                </c:pt>
                <c:pt idx="403" formatCode="General">
                  <c:v>102.3</c:v>
                </c:pt>
                <c:pt idx="404" formatCode="General">
                  <c:v>102.2</c:v>
                </c:pt>
                <c:pt idx="405" formatCode="General">
                  <c:v>102.1</c:v>
                </c:pt>
                <c:pt idx="406" formatCode="General">
                  <c:v>101.9</c:v>
                </c:pt>
                <c:pt idx="407" formatCode="General">
                  <c:v>101.8</c:v>
                </c:pt>
                <c:pt idx="408" formatCode="General">
                  <c:v>101.7</c:v>
                </c:pt>
                <c:pt idx="409" formatCode="General">
                  <c:v>101.5</c:v>
                </c:pt>
                <c:pt idx="410" formatCode="General">
                  <c:v>101.4</c:v>
                </c:pt>
                <c:pt idx="411" formatCode="General">
                  <c:v>101.3</c:v>
                </c:pt>
                <c:pt idx="412" formatCode="General">
                  <c:v>101.2</c:v>
                </c:pt>
                <c:pt idx="413" formatCode="General">
                  <c:v>101</c:v>
                </c:pt>
                <c:pt idx="414" formatCode="General">
                  <c:v>100.9</c:v>
                </c:pt>
                <c:pt idx="415" formatCode="General">
                  <c:v>100.8</c:v>
                </c:pt>
                <c:pt idx="416" formatCode="General">
                  <c:v>100.6</c:v>
                </c:pt>
                <c:pt idx="417" formatCode="General">
                  <c:v>100.5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96928"/>
        <c:axId val="116785152"/>
      </c:scatterChart>
      <c:valAx>
        <c:axId val="115996928"/>
        <c:scaling>
          <c:orientation val="minMax"/>
          <c:max val="60"/>
        </c:scaling>
        <c:delete val="0"/>
        <c:axPos val="b"/>
        <c:numFmt formatCode="#,##0" sourceLinked="0"/>
        <c:majorTickMark val="out"/>
        <c:minorTickMark val="none"/>
        <c:tickLblPos val="nextTo"/>
        <c:crossAx val="116785152"/>
        <c:crosses val="autoZero"/>
        <c:crossBetween val="midCat"/>
      </c:valAx>
      <c:valAx>
        <c:axId val="11678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996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27</xdr:row>
          <xdr:rowOff>47625</xdr:rowOff>
        </xdr:from>
        <xdr:to>
          <xdr:col>7</xdr:col>
          <xdr:colOff>619125</xdr:colOff>
          <xdr:row>29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Yield, etc.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9</xdr:row>
          <xdr:rowOff>28575</xdr:rowOff>
        </xdr:from>
        <xdr:to>
          <xdr:col>8</xdr:col>
          <xdr:colOff>495300</xdr:colOff>
          <xdr:row>11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F/Y, etc.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Relationship Type="http://schemas.openxmlformats.org/officeDocument/2006/relationships/printerSettings" Target="../printerSettings/printerSettings2.bin" Id="rId1" /><Relationship Type="http://schemas.openxmlformats.org/officeDocument/2006/relationships/ctrlProp" Target="../ctrlProps/ctrlProp1.xml" Id="rId4" /><Relationship Type="http://schemas.openxmlformats.org/officeDocument/2006/relationships/vmlDrawing" Target="/xl/drawings/vmldrawing4.vml" Id="rId3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ctrlProp" Target="../ctrlProps/ctrlProp2.xml" Id="rId3" /><Relationship Type="http://schemas.openxmlformats.org/officeDocument/2006/relationships/drawing" Target="../drawings/drawing2.xml" Id="rId1" /><Relationship Type="http://schemas.openxmlformats.org/officeDocument/2006/relationships/vmlDrawing" Target="/xl/drawings/vmldrawing5.vml" Id="rId2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drawing" Target="../drawings/drawing3.xml" Id="rId2" /><Relationship Type="http://schemas.openxmlformats.org/officeDocument/2006/relationships/printerSettings" Target="../printerSettings/printerSettings3.bin" Id="rId1" /><Relationship Type="http://schemas.openxmlformats.org/officeDocument/2006/relationships/ctrlProp" Target="../ctrlProps/ctrlProp3.xml" Id="rId4" /><Relationship Type="http://schemas.openxmlformats.org/officeDocument/2006/relationships/vmlDrawing" Target="/xl/drawings/vmldrawing6.vml" Id="rId3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AG61"/>
  <x:sheetViews>
    <x:sheetView tabSelected="1" zoomScale="85" zoomScaleNormal="85" workbookViewId="0">
      <x:pane xSplit="3" ySplit="3" topLeftCell="D4" activePane="bottomRight" state="frozenSplit"/>
      <x:selection activeCell="E28" sqref="E28 E28:E28"/>
    </x:sheetView>
  </x:sheetViews>
  <x:sheetFormatPr defaultColWidth="9.140625" defaultRowHeight="15" x14ac:dyDescent="0.25"/>
  <x:cols>
    <x:col min="1" max="1" width="7.5703125" style="84" customWidth="1"/>
    <x:col min="2" max="2" width="10.5703125" style="82" customWidth="1"/>
    <x:col min="3" max="3" width="31.85546875" style="82" bestFit="1" customWidth="1"/>
    <x:col min="4" max="4" width="34" style="109" bestFit="1" customWidth="1"/>
    <x:col min="5" max="5" width="7.5703125" style="83" bestFit="1" customWidth="1"/>
    <x:col min="6" max="6" width="13.5703125" style="86" customWidth="1"/>
    <x:col min="7" max="7" width="8.5703125" style="86" bestFit="1" customWidth="1"/>
    <x:col min="8" max="8" width="12.140625" style="110" customWidth="1"/>
    <x:col min="9" max="9" width="14.5703125" style="86" customWidth="1"/>
    <x:col min="10" max="10" width="6.5703125" style="96" customWidth="1"/>
    <x:col min="11" max="11" width="8.5703125" style="109" customWidth="1"/>
    <x:col min="12" max="12" width="10.42578125" style="101" customWidth="1"/>
    <x:col min="13" max="13" width="11.5703125" style="101" customWidth="1"/>
    <x:col min="14" max="14" width="8.42578125" style="82" customWidth="1"/>
    <x:col min="15" max="15" width="11.5703125" style="111" customWidth="1"/>
    <x:col min="16" max="16" width="10" style="111" customWidth="1"/>
    <x:col min="17" max="17" width="10.85546875" style="111" customWidth="1"/>
    <x:col min="18" max="18" width="10.42578125" style="111" customWidth="1"/>
    <x:col min="19" max="20" width="9.42578125" style="111" customWidth="1"/>
    <x:col min="21" max="21" width="11.5703125" style="82" customWidth="1"/>
    <x:col min="22" max="22" width="10.5703125" style="82" customWidth="1"/>
    <x:col min="23" max="23" width="13.7109375" style="82" bestFit="1" customWidth="1"/>
    <x:col min="24" max="24" width="9.5703125" style="82" bestFit="1" customWidth="1"/>
    <x:col min="25" max="25" width="10.5703125" style="82" bestFit="1" customWidth="1"/>
    <x:col min="26" max="26" width="13.7109375" style="82" bestFit="1" customWidth="1"/>
    <x:col min="27" max="27" width="13.140625" style="82" bestFit="1" customWidth="1"/>
    <x:col min="28" max="16384" width="9.140625" style="82" customWidth="1"/>
  </x:cols>
  <x:sheetData>
    <x:row r="1" spans="1:33" customFormat="1" ht="21.75" customHeight="1" thickBot="1" x14ac:dyDescent="0.3">
      <x:c r="A1" s="91" t="s">
        <x:v>0</x:v>
      </x:c>
      <x:c r="B1" s="92" t="s"/>
      <x:c r="C1" s="92" t="s">
        <x:v>1</x:v>
      </x:c>
      <x:c r="D1" s="93" t="s"/>
      <x:c r="E1" s="94" t="s"/>
    </x:row>
    <x:row r="2" spans="1:33" x14ac:dyDescent="0.25">
      <x:c r="A2" s="95" t="s"/>
      <x:c r="C2" s="82" t="s"/>
      <x:c r="I2" s="86" t="s">
        <x:v>2</x:v>
      </x:c>
      <x:c r="J2" s="96" t="n">
        <x:v>0.95</x:v>
      </x:c>
      <x:c r="L2" s="88" t="s">
        <x:v>3</x:v>
      </x:c>
      <x:c r="M2" s="88" t="s">
        <x:v>3</x:v>
      </x:c>
    </x:row>
    <x:row r="3" spans="1:33" customFormat="1" ht="46.5" customHeight="1" thickBot="1" x14ac:dyDescent="0.3">
      <x:c r="A3" s="97" t="s">
        <x:v>4</x:v>
      </x:c>
      <x:c r="B3" s="98" t="s">
        <x:v>5</x:v>
      </x:c>
      <x:c r="C3" s="98" t="s">
        <x:v>6</x:v>
      </x:c>
      <x:c r="D3" s="97" t="s">
        <x:v>7</x:v>
      </x:c>
      <x:c r="E3" s="99" t="s">
        <x:v>8</x:v>
      </x:c>
      <x:c r="F3" s="100" t="s">
        <x:v>9</x:v>
      </x:c>
      <x:c r="G3" s="100" t="s">
        <x:v>10</x:v>
      </x:c>
      <x:c r="H3" s="13" t="s">
        <x:v>11</x:v>
      </x:c>
      <x:c r="I3" s="100" t="s">
        <x:v>12</x:v>
      </x:c>
      <x:c r="J3" s="12" t="s">
        <x:v>13</x:v>
      </x:c>
      <x:c r="K3" s="12" t="s">
        <x:v>14</x:v>
      </x:c>
      <x:c r="L3" s="32" t="s">
        <x:v>15</x:v>
      </x:c>
      <x:c r="M3" s="32" t="s">
        <x:v>16</x:v>
      </x:c>
      <x:c r="N3" s="13" t="s">
        <x:v>14</x:v>
      </x:c>
      <x:c r="O3" s="13" t="s">
        <x:v>17</x:v>
      </x:c>
      <x:c r="P3" s="13" t="s">
        <x:v>18</x:v>
      </x:c>
      <x:c r="Q3" s="13" t="s">
        <x:v>19</x:v>
      </x:c>
      <x:c r="R3" s="13" t="s">
        <x:v>20</x:v>
      </x:c>
      <x:c r="S3" s="13" t="s">
        <x:v>21</x:v>
      </x:c>
      <x:c r="T3" s="13" t="s">
        <x:v>22</x:v>
      </x:c>
      <x:c r="U3" s="13" t="s">
        <x:v>23</x:v>
      </x:c>
      <x:c r="V3" s="13" t="s">
        <x:v>24</x:v>
      </x:c>
      <x:c r="W3" s="12" t="s">
        <x:v>25</x:v>
      </x:c>
      <x:c r="X3" s="12" t="s">
        <x:v>26</x:v>
      </x:c>
      <x:c r="Y3" s="12" t="s">
        <x:v>27</x:v>
      </x:c>
      <x:c r="Z3" s="12" t="s">
        <x:v>28</x:v>
      </x:c>
      <x:c r="AA3" s="12" t="s">
        <x:v>29</x:v>
      </x:c>
    </x:row>
    <x:row r="4" spans="1:33" customFormat="1" ht="15" customHeight="1" x14ac:dyDescent="0.25">
      <x:c r="A4" s="84" t="s">
        <x:v>30</x:v>
      </x:c>
      <x:c r="B4" s="85" t="s">
        <x:v>31</x:v>
      </x:c>
      <x:c r="C4" s="82" t="s">
        <x:v>32</x:v>
      </x:c>
      <x:c r="D4" s="82" t="s">
        <x:v>33</x:v>
      </x:c>
      <x:c r="E4" s="83" t="s">
        <x:v>34</x:v>
      </x:c>
      <x:c r="G4" s="86" t="n">
        <x:v>4.083940686141</x:v>
      </x:c>
      <x:c r="H4" s="86" t="n">
        <x:v>2.19346649161048</x:v>
      </x:c>
      <x:c r="I4" s="82" t="n">
        <x:v>0.324001724137931</x:v>
      </x:c>
      <x:c r="J4" s="87" t="n">
        <x:v>6.57103835987677</x:v>
      </x:c>
      <x:c r="K4" s="87">
        <x:f>AVERAGE(J4:J7)</x:f>
      </x:c>
      <x:c r="L4" s="88" t="s"/>
      <x:c r="M4" s="88" t="s"/>
      <x:c r="N4" s="87">
        <x:f>AVERAGE(L4:L7)</x:f>
      </x:c>
      <x:c r="O4" s="89" t="s"/>
      <x:c r="P4" s="89" t="s"/>
      <x:c r="Q4" s="89" t="s"/>
      <x:c r="R4" s="89" t="s"/>
      <x:c r="S4" s="89" t="s"/>
      <x:c r="T4" s="89" t="s"/>
      <x:c r="U4" s="89" t="s"/>
      <x:c r="V4" s="89" t="s"/>
      <x:c r="W4" s="82" t="s"/>
      <x:c r="X4" s="90" t="s"/>
      <x:c r="Y4" s="90" t="s"/>
      <x:c r="Z4" s="90" t="s"/>
      <x:c r="AA4" s="90" t="s"/>
    </x:row>
    <x:row r="5" spans="1:33" customFormat="1" ht="15" customHeight="1" x14ac:dyDescent="0.25">
      <x:c r="A5" s="84" t="s">
        <x:v>35</x:v>
      </x:c>
      <x:c r="B5" s="85" t="s">
        <x:v>31</x:v>
      </x:c>
      <x:c r="C5" s="82" t="s">
        <x:v>32</x:v>
      </x:c>
      <x:c r="D5" s="82" t="s">
        <x:v>33</x:v>
      </x:c>
      <x:c r="E5" s="83" t="s">
        <x:v>34</x:v>
      </x:c>
      <x:c r="F5" s="86" t="s"/>
      <x:c r="G5" s="86" t="n">
        <x:v>4.34848314831276</x:v>
      </x:c>
      <x:c r="H5" s="86" t="n">
        <x:v>2.29157961949997</x:v>
      </x:c>
      <x:c r="I5" s="86" t="n">
        <x:v>0.317379310344828</x:v>
      </x:c>
      <x:c r="J5" s="87" t="n">
        <x:v>6.86495902355464</x:v>
      </x:c>
      <x:c r="K5" s="87" t="s"/>
      <x:c r="L5" s="88" t="s"/>
      <x:c r="M5" s="88" t="s"/>
      <x:c r="N5" s="87" t="s"/>
      <x:c r="O5" s="89" t="s"/>
      <x:c r="P5" s="89" t="s"/>
      <x:c r="Q5" s="89" t="s"/>
      <x:c r="R5" s="89" t="s"/>
      <x:c r="S5" s="89" t="s"/>
      <x:c r="T5" s="89" t="s"/>
      <x:c r="U5" s="89" t="s"/>
      <x:c r="V5" s="89" t="s"/>
      <x:c r="W5" s="82" t="s"/>
      <x:c r="X5" s="90" t="s"/>
      <x:c r="Y5" s="90" t="s"/>
      <x:c r="Z5" s="90" t="s"/>
      <x:c r="AA5" s="90" t="s"/>
    </x:row>
    <x:row r="6" spans="1:33" customFormat="1" ht="15" customHeight="1" x14ac:dyDescent="0.25">
      <x:c r="A6" s="84" t="s">
        <x:v>36</x:v>
      </x:c>
      <x:c r="B6" s="85" t="s">
        <x:v>31</x:v>
      </x:c>
      <x:c r="C6" s="82" t="s">
        <x:v>32</x:v>
      </x:c>
      <x:c r="D6" s="82" t="s">
        <x:v>33</x:v>
      </x:c>
      <x:c r="E6" s="83" t="s">
        <x:v>34</x:v>
      </x:c>
      <x:c r="G6" s="86" t="n">
        <x:v>3.8061505266923</x:v>
      </x:c>
      <x:c r="H6" s="86" t="n">
        <x:v>3.26852232915109</x:v>
      </x:c>
      <x:c r="I6" s="86" t="n">
        <x:v>0.345001724137931</x:v>
      </x:c>
      <x:c r="J6" s="87" t="n">
        <x:v>9.79161782826978</x:v>
      </x:c>
      <x:c r="K6" s="87" t="s"/>
      <x:c r="L6" s="101" t="s"/>
      <x:c r="M6" s="101" t="s"/>
      <x:c r="N6" s="87" t="s"/>
      <x:c r="O6" s="102" t="s"/>
      <x:c r="P6" s="102" t="s"/>
      <x:c r="Q6" s="102" t="s"/>
      <x:c r="R6" s="102" t="s"/>
      <x:c r="S6" s="102" t="s"/>
      <x:c r="T6" s="102" t="s"/>
      <x:c r="U6" s="102" t="s"/>
      <x:c r="V6" s="102" t="s"/>
      <x:c r="W6" s="103" t="s"/>
      <x:c r="X6" s="103" t="s"/>
      <x:c r="Y6" s="103" t="s"/>
      <x:c r="Z6" s="103" t="s"/>
      <x:c r="AA6" s="103" t="s"/>
      <x:c r="AC6" s="102" t="s"/>
      <x:c r="AD6" s="102" t="s"/>
    </x:row>
    <x:row r="7" spans="1:33" customFormat="1" ht="15" customHeight="1" thickBot="1" x14ac:dyDescent="0.3">
      <x:c r="A7" s="104" t="s">
        <x:v>37</x:v>
      </x:c>
      <x:c r="B7" s="105" t="s">
        <x:v>31</x:v>
      </x:c>
      <x:c r="C7" s="106" t="s">
        <x:v>32</x:v>
      </x:c>
      <x:c r="D7" s="106" t="s">
        <x:v>33</x:v>
      </x:c>
      <x:c r="E7" s="107" t="s">
        <x:v>34</x:v>
      </x:c>
      <x:c r="F7" s="100" t="s"/>
      <x:c r="G7" s="100" t="n">
        <x:v>3.49336281538633</x:v>
      </x:c>
      <x:c r="H7" s="100" t="n">
        <x:v>3.01143320308045</x:v>
      </x:c>
      <x:c r="I7" s="100" t="n">
        <x:v>0.329984745762712</x:v>
      </x:c>
      <x:c r="J7" s="68" t="n">
        <x:v>9.02144763612018</x:v>
      </x:c>
      <x:c r="K7" s="68" t="s"/>
      <x:c r="L7" s="44" t="s"/>
      <x:c r="M7" s="44" t="s"/>
      <x:c r="N7" s="68" t="s"/>
      <x:c r="O7" s="55" t="s"/>
      <x:c r="P7" s="55" t="s"/>
      <x:c r="Q7" s="55" t="s"/>
      <x:c r="R7" s="55" t="s"/>
      <x:c r="S7" s="55" t="s"/>
      <x:c r="T7" s="55" t="s"/>
      <x:c r="U7" s="55" t="s"/>
      <x:c r="V7" s="55" t="s"/>
      <x:c r="W7" s="108" t="s"/>
      <x:c r="X7" s="108" t="s"/>
      <x:c r="Y7" s="108" t="s"/>
      <x:c r="Z7" s="108" t="s"/>
      <x:c r="AA7" s="108" t="s"/>
      <x:c r="AC7" s="102" t="s"/>
      <x:c r="AD7" s="102" t="s"/>
    </x:row>
    <x:row r="8" spans="1:33" customFormat="1" ht="15" customHeight="1" x14ac:dyDescent="0.25">
      <x:c r="A8" s="84" t="s">
        <x:v>38</x:v>
      </x:c>
      <x:c r="B8" s="85" t="s">
        <x:v>31</x:v>
      </x:c>
      <x:c r="C8" s="82" t="s">
        <x:v>32</x:v>
      </x:c>
      <x:c r="D8" s="82" t="s">
        <x:v>39</x:v>
      </x:c>
      <x:c r="E8" s="83" t="s">
        <x:v>40</x:v>
      </x:c>
      <x:c r="G8" s="86" t="n">
        <x:v>5.28761705592012</x:v>
      </x:c>
      <x:c r="H8" s="86" t="n">
        <x:v>2.05839523738593</x:v>
      </x:c>
      <x:c r="I8" s="86" t="n">
        <x:v>0.328441379310345</x:v>
      </x:c>
      <x:c r="J8" s="87" t="n">
        <x:v>6.16640104436685</x:v>
      </x:c>
      <x:c r="K8" s="87">
        <x:f>AVERAGE(J8:J11)</x:f>
      </x:c>
      <x:c r="L8" s="88" t="s"/>
      <x:c r="M8" s="88" t="s"/>
      <x:c r="N8" s="87">
        <x:f>AVERAGE(L8:L11)</x:f>
      </x:c>
      <x:c r="O8" s="89" t="s"/>
      <x:c r="P8" s="89" t="s"/>
      <x:c r="Q8" s="89" t="s"/>
      <x:c r="R8" s="89" t="s"/>
      <x:c r="S8" s="89" t="s"/>
      <x:c r="T8" s="89" t="s"/>
      <x:c r="U8" s="89" t="s"/>
      <x:c r="V8" s="89" t="s"/>
      <x:c r="W8" s="82" t="s"/>
      <x:c r="X8" s="90" t="s"/>
      <x:c r="Y8" s="90" t="s"/>
      <x:c r="Z8" s="90" t="s"/>
      <x:c r="AA8" s="90" t="s"/>
      <x:c r="AB8" s="82" t="s"/>
    </x:row>
    <x:row r="9" spans="1:33" customFormat="1" ht="15" customHeight="1" x14ac:dyDescent="0.25">
      <x:c r="A9" s="84" t="s">
        <x:v>41</x:v>
      </x:c>
      <x:c r="B9" s="85" t="s">
        <x:v>31</x:v>
      </x:c>
      <x:c r="C9" s="82" t="s">
        <x:v>32</x:v>
      </x:c>
      <x:c r="D9" s="82" t="s">
        <x:v>39</x:v>
      </x:c>
      <x:c r="E9" s="83" t="s">
        <x:v>40</x:v>
      </x:c>
      <x:c r="F9" s="86" t="s"/>
      <x:c r="G9" s="86" t="n">
        <x:v>4.804581926177</x:v>
      </x:c>
      <x:c r="H9" s="86" t="n">
        <x:v>2.56042814282899</x:v>
      </x:c>
      <x:c r="I9" s="86" t="n">
        <x:v>0.343612068965517</x:v>
      </x:c>
      <x:c r="J9" s="87" t="n">
        <x:v>7.67035722158872</x:v>
      </x:c>
      <x:c r="K9" s="87" t="s"/>
      <x:c r="L9" s="88" t="s"/>
      <x:c r="M9" s="88" t="s"/>
      <x:c r="N9" s="87" t="s"/>
      <x:c r="O9" s="89" t="s"/>
      <x:c r="P9" s="89" t="s"/>
      <x:c r="Q9" s="89" t="s"/>
      <x:c r="R9" s="89" t="s"/>
      <x:c r="S9" s="89" t="s"/>
      <x:c r="T9" s="89" t="s"/>
      <x:c r="U9" s="89" t="s"/>
      <x:c r="V9" s="89" t="s"/>
      <x:c r="X9" s="90" t="s"/>
      <x:c r="Y9" s="90" t="s"/>
      <x:c r="Z9" s="90" t="s"/>
      <x:c r="AA9" s="90" t="s"/>
      <x:c r="AB9" s="82" t="s"/>
    </x:row>
    <x:row r="10" spans="1:33" customFormat="1" ht="15" customHeight="1" x14ac:dyDescent="0.25">
      <x:c r="A10" s="84" t="s">
        <x:v>42</x:v>
      </x:c>
      <x:c r="B10" s="85" t="s">
        <x:v>31</x:v>
      </x:c>
      <x:c r="C10" s="82" t="s">
        <x:v>32</x:v>
      </x:c>
      <x:c r="D10" s="82" t="s">
        <x:v>39</x:v>
      </x:c>
      <x:c r="E10" s="83" t="s">
        <x:v>40</x:v>
      </x:c>
      <x:c r="F10" s="86" t="s"/>
      <x:c r="G10" s="86" t="n">
        <x:v>3.98220644041468</x:v>
      </x:c>
      <x:c r="H10" s="86" t="n">
        <x:v>2.89456582777317</x:v>
      </x:c>
      <x:c r="I10" s="86" t="n">
        <x:v>0.346516949152542</x:v>
      </x:c>
      <x:c r="J10" s="87" t="n">
        <x:v>8.67134426818661</x:v>
      </x:c>
      <x:c r="K10" s="87" t="s"/>
      <x:c r="L10" s="101" t="s"/>
      <x:c r="M10" s="101" t="s"/>
      <x:c r="N10" s="87" t="s"/>
      <x:c r="O10" s="102" t="s"/>
      <x:c r="P10" s="102" t="s"/>
      <x:c r="Q10" s="102" t="s"/>
      <x:c r="R10" s="102" t="s"/>
      <x:c r="S10" s="102" t="s"/>
      <x:c r="T10" s="102" t="s"/>
      <x:c r="U10" s="102" t="s"/>
      <x:c r="V10" s="102" t="s"/>
      <x:c r="W10" s="103" t="s"/>
      <x:c r="X10" s="103" t="s"/>
      <x:c r="Y10" s="103" t="s"/>
      <x:c r="Z10" s="103" t="s"/>
      <x:c r="AA10" s="103" t="s"/>
      <x:c r="AB10" s="82" t="s"/>
    </x:row>
    <x:row r="11" spans="1:33" customFormat="1" ht="15" customHeight="1" thickBot="1" x14ac:dyDescent="0.3">
      <x:c r="A11" s="104" t="s">
        <x:v>43</x:v>
      </x:c>
      <x:c r="B11" s="105" t="s">
        <x:v>31</x:v>
      </x:c>
      <x:c r="C11" s="106" t="s">
        <x:v>32</x:v>
      </x:c>
      <x:c r="D11" s="106" t="s">
        <x:v>39</x:v>
      </x:c>
      <x:c r="E11" s="107" t="s">
        <x:v>40</x:v>
      </x:c>
      <x:c r="F11" s="100" t="s"/>
      <x:c r="G11" s="100" t="n">
        <x:v>2.90441540397389</x:v>
      </x:c>
      <x:c r="H11" s="100" t="n">
        <x:v>3.450483252678</x:v>
      </x:c>
      <x:c r="I11" s="100" t="n">
        <x:v>0.348218333333333</x:v>
      </x:c>
      <x:c r="J11" s="68" t="n">
        <x:v>10.336724039405</x:v>
      </x:c>
      <x:c r="K11" s="68" t="s"/>
      <x:c r="L11" s="44" t="s"/>
      <x:c r="M11" s="44" t="s"/>
      <x:c r="N11" s="68" t="s"/>
      <x:c r="O11" s="55" t="s"/>
      <x:c r="P11" s="55" t="s"/>
      <x:c r="Q11" s="55" t="s"/>
      <x:c r="R11" s="55" t="s"/>
      <x:c r="S11" s="55" t="s"/>
      <x:c r="T11" s="55" t="s"/>
      <x:c r="U11" s="55" t="s"/>
      <x:c r="V11" s="55" t="s"/>
      <x:c r="W11" s="108" t="s"/>
      <x:c r="X11" s="108" t="s"/>
      <x:c r="Y11" s="108" t="s"/>
      <x:c r="Z11" s="108" t="s"/>
      <x:c r="AA11" s="108" t="s"/>
      <x:c r="AB11" s="82" t="s"/>
    </x:row>
    <x:row r="12" spans="1:33" customFormat="1" ht="15" customHeight="1" x14ac:dyDescent="0.25">
      <x:c r="A12" s="84" t="s">
        <x:v>44</x:v>
      </x:c>
      <x:c r="B12" s="85" t="s">
        <x:v>31</x:v>
      </x:c>
      <x:c r="C12" s="82" t="s">
        <x:v>32</x:v>
      </x:c>
      <x:c r="D12" s="82" t="s">
        <x:v>45</x:v>
      </x:c>
      <x:c r="E12" s="83" t="s">
        <x:v>46</x:v>
      </x:c>
      <x:c r="G12" s="86" t="n">
        <x:v>4.7762958093544</x:v>
      </x:c>
      <x:c r="H12" s="86" t="n">
        <x:v>2.54457976023849</x:v>
      </x:c>
      <x:c r="I12" s="82" t="n">
        <x:v>0.315462711864407</x:v>
      </x:c>
      <x:c r="J12" s="87" t="n">
        <x:v>7.62287971037871</x:v>
      </x:c>
      <x:c r="K12" s="87">
        <x:f>AVERAGE(J12:J15)</x:f>
      </x:c>
      <x:c r="L12" s="88" t="s"/>
      <x:c r="M12" s="88" t="s"/>
      <x:c r="N12" s="87">
        <x:f>AVERAGE(L12:L15)</x:f>
      </x:c>
      <x:c r="O12" s="89" t="s"/>
      <x:c r="P12" s="89" t="s"/>
      <x:c r="Q12" s="89" t="s"/>
      <x:c r="R12" s="89" t="s"/>
      <x:c r="S12" s="89" t="s"/>
      <x:c r="T12" s="89" t="s"/>
      <x:c r="U12" s="89" t="s"/>
      <x:c r="V12" s="89" t="s"/>
      <x:c r="W12" s="82" t="s"/>
      <x:c r="X12" s="90" t="s"/>
      <x:c r="Y12" s="90" t="s"/>
      <x:c r="Z12" s="90" t="s"/>
      <x:c r="AA12" s="90" t="s"/>
      <x:c r="AB12" s="82" t="s"/>
      <x:c r="AC12" s="82" t="s"/>
      <x:c r="AD12" s="82" t="s"/>
    </x:row>
    <x:row r="13" spans="1:33" customFormat="1" ht="15" customHeight="1" x14ac:dyDescent="0.25">
      <x:c r="A13" s="84" t="s">
        <x:v>47</x:v>
      </x:c>
      <x:c r="B13" s="85" t="s">
        <x:v>31</x:v>
      </x:c>
      <x:c r="C13" s="82" t="s">
        <x:v>32</x:v>
      </x:c>
      <x:c r="D13" s="82" t="s">
        <x:v>45</x:v>
      </x:c>
      <x:c r="E13" s="83" t="s">
        <x:v>46</x:v>
      </x:c>
      <x:c r="F13" s="86" t="s"/>
      <x:c r="G13" s="86" t="n">
        <x:v>5.12139438368153</x:v>
      </x:c>
      <x:c r="H13" s="86" t="n">
        <x:v>2.12550871274117</x:v>
      </x:c>
      <x:c r="I13" s="86" t="n">
        <x:v>0.347676271186441</x:v>
      </x:c>
      <x:c r="J13" s="87" t="n">
        <x:v>6.36745504847893</x:v>
      </x:c>
      <x:c r="K13" s="87" t="s"/>
      <x:c r="L13" s="88" t="s"/>
      <x:c r="M13" s="88" t="s"/>
      <x:c r="N13" s="87" t="s"/>
      <x:c r="O13" s="89" t="s"/>
      <x:c r="P13" s="89" t="s"/>
      <x:c r="Q13" s="89" t="s"/>
      <x:c r="R13" s="89" t="s"/>
      <x:c r="S13" s="89" t="s"/>
      <x:c r="T13" s="89" t="s"/>
      <x:c r="U13" s="89" t="s"/>
      <x:c r="V13" s="89" t="s"/>
      <x:c r="X13" s="90" t="s"/>
      <x:c r="Y13" s="90" t="s"/>
      <x:c r="Z13" s="90" t="s"/>
      <x:c r="AA13" s="90" t="s"/>
      <x:c r="AB13" s="82" t="s"/>
      <x:c r="AC13" s="82" t="s"/>
      <x:c r="AD13" s="82" t="s"/>
    </x:row>
    <x:row r="14" spans="1:33" customFormat="1" ht="15" customHeight="1" x14ac:dyDescent="0.25">
      <x:c r="A14" s="84" t="s">
        <x:v>48</x:v>
      </x:c>
      <x:c r="B14" s="85" t="s">
        <x:v>31</x:v>
      </x:c>
      <x:c r="C14" s="82" t="s">
        <x:v>32</x:v>
      </x:c>
      <x:c r="D14" s="82" t="s">
        <x:v>45</x:v>
      </x:c>
      <x:c r="E14" s="83" t="s">
        <x:v>46</x:v>
      </x:c>
      <x:c r="G14" s="86" t="n">
        <x:v>3.51481322836547</x:v>
      </x:c>
      <x:c r="H14" s="86" t="n">
        <x:v>2.79907160411386</x:v>
      </x:c>
      <x:c r="I14" s="86" t="n">
        <x:v>0.334906779661017</x:v>
      </x:c>
      <x:c r="J14" s="87" t="n">
        <x:v>8.38526914043244</x:v>
      </x:c>
      <x:c r="K14" s="87" t="s"/>
      <x:c r="L14" s="101" t="s"/>
      <x:c r="M14" s="101" t="s"/>
      <x:c r="N14" s="87" t="s"/>
      <x:c r="O14" s="102" t="s"/>
      <x:c r="P14" s="102" t="s"/>
      <x:c r="Q14" s="102" t="s"/>
      <x:c r="R14" s="102" t="s"/>
      <x:c r="S14" s="102" t="s"/>
      <x:c r="T14" s="102" t="s"/>
      <x:c r="U14" s="102" t="s"/>
      <x:c r="V14" s="102" t="s"/>
      <x:c r="W14" s="103" t="s"/>
      <x:c r="X14" s="103" t="s"/>
      <x:c r="Y14" s="103" t="s"/>
      <x:c r="Z14" s="103" t="s"/>
      <x:c r="AA14" s="103" t="s"/>
      <x:c r="AB14" s="82" t="s"/>
      <x:c r="AC14" s="82" t="s"/>
      <x:c r="AD14" s="82" t="s"/>
    </x:row>
    <x:row r="15" spans="1:33" customFormat="1" ht="15" customHeight="1" thickBot="1" x14ac:dyDescent="0.3">
      <x:c r="A15" s="104" t="s">
        <x:v>49</x:v>
      </x:c>
      <x:c r="B15" s="105" t="s">
        <x:v>31</x:v>
      </x:c>
      <x:c r="C15" s="106" t="s">
        <x:v>32</x:v>
      </x:c>
      <x:c r="D15" s="106" t="s">
        <x:v>45</x:v>
      </x:c>
      <x:c r="E15" s="107" t="s">
        <x:v>46</x:v>
      </x:c>
      <x:c r="F15" s="100" t="s"/>
      <x:c r="G15" s="100" t="n">
        <x:v>3.73347830732947</x:v>
      </x:c>
      <x:c r="H15" s="100" t="n">
        <x:v>3.21563342027164</x:v>
      </x:c>
      <x:c r="I15" s="100" t="n">
        <x:v>0.343924137931034</x:v>
      </x:c>
      <x:c r="J15" s="68" t="n">
        <x:v>9.63317681702656</x:v>
      </x:c>
      <x:c r="K15" s="68" t="s"/>
      <x:c r="L15" s="44" t="s"/>
      <x:c r="M15" s="44" t="s"/>
      <x:c r="N15" s="68" t="s"/>
      <x:c r="O15" s="55" t="s"/>
      <x:c r="P15" s="55" t="s"/>
      <x:c r="Q15" s="55" t="s"/>
      <x:c r="R15" s="55" t="s"/>
      <x:c r="S15" s="55" t="s"/>
      <x:c r="T15" s="55" t="s"/>
      <x:c r="U15" s="55" t="s"/>
      <x:c r="V15" s="55" t="s"/>
      <x:c r="W15" s="108" t="s"/>
      <x:c r="X15" s="108" t="s"/>
      <x:c r="Y15" s="108" t="s"/>
      <x:c r="Z15" s="108" t="s"/>
      <x:c r="AA15" s="108" t="s"/>
      <x:c r="AB15" s="82" t="s"/>
      <x:c r="AC15" s="82" t="s"/>
      <x:c r="AD15" s="82" t="s"/>
    </x:row>
    <x:row r="16" spans="1:33" x14ac:dyDescent="0.25">
      <x:c r="A16" s="84" t="s"/>
      <x:c r="B16" s="85" t="s"/>
      <x:c r="C16" s="82" t="s"/>
      <x:c r="D16" s="82" t="s"/>
      <x:c r="E16" s="83" t="s"/>
      <x:c r="G16" s="86" t="s"/>
      <x:c r="H16" s="86" t="s"/>
      <x:c r="I16" s="86" t="s"/>
      <x:c r="J16" s="87" t="s"/>
      <x:c r="K16" s="87" t="s"/>
      <x:c r="L16" s="88" t="s"/>
      <x:c r="M16" s="88" t="s"/>
      <x:c r="N16" s="87" t="s"/>
      <x:c r="O16" s="89" t="s"/>
      <x:c r="P16" s="89" t="s"/>
      <x:c r="Q16" s="89" t="s"/>
      <x:c r="R16" s="89" t="s"/>
      <x:c r="S16" s="89" t="s"/>
      <x:c r="T16" s="89" t="s"/>
      <x:c r="U16" s="89" t="s"/>
      <x:c r="V16" s="89" t="s"/>
      <x:c r="W16" s="82" t="s"/>
      <x:c r="X16" s="90" t="s"/>
      <x:c r="Y16" s="90" t="s"/>
      <x:c r="Z16" s="90" t="s"/>
      <x:c r="AA16" s="90" t="s"/>
      <x:c r="AB16" s="82" t="s"/>
      <x:c r="AC16" s="82" t="s"/>
      <x:c r="AD16" s="82" t="s"/>
    </x:row>
    <x:row r="17" spans="1:33" x14ac:dyDescent="0.25">
      <x:c r="A17" s="84" t="s"/>
      <x:c r="B17" s="85" t="s"/>
      <x:c r="C17" s="82" t="s"/>
      <x:c r="D17" s="82" t="s"/>
      <x:c r="E17" s="83" t="s"/>
      <x:c r="F17" s="86" t="s"/>
      <x:c r="G17" s="86" t="s"/>
      <x:c r="H17" s="86" t="s"/>
      <x:c r="I17" s="86" t="s"/>
      <x:c r="J17" s="87" t="s"/>
      <x:c r="K17" s="87" t="s"/>
      <x:c r="L17" s="88" t="s"/>
      <x:c r="M17" s="88" t="s"/>
      <x:c r="N17" s="87" t="s"/>
      <x:c r="O17" s="89" t="s"/>
      <x:c r="P17" s="89" t="s"/>
      <x:c r="Q17" s="89" t="s"/>
      <x:c r="R17" s="89" t="s"/>
      <x:c r="S17" s="89" t="s"/>
      <x:c r="T17" s="89" t="s"/>
      <x:c r="U17" s="89" t="s"/>
      <x:c r="V17" s="89" t="s"/>
      <x:c r="X17" s="90" t="s"/>
      <x:c r="Y17" s="90" t="s"/>
      <x:c r="Z17" s="90" t="s"/>
      <x:c r="AA17" s="90" t="s"/>
      <x:c r="AB17" s="82" t="s"/>
      <x:c r="AC17" s="82" t="s"/>
      <x:c r="AD17" s="82" t="s"/>
    </x:row>
    <x:row r="18" spans="1:33" x14ac:dyDescent="0.25">
      <x:c r="A18" s="84" t="s"/>
      <x:c r="B18" s="85" t="s"/>
      <x:c r="C18" s="82" t="s"/>
      <x:c r="D18" s="82" t="s"/>
      <x:c r="E18" s="83" t="s"/>
      <x:c r="F18" s="86" t="s"/>
      <x:c r="G18" s="86" t="s"/>
      <x:c r="H18" s="86" t="s"/>
      <x:c r="I18" s="86" t="s"/>
      <x:c r="J18" s="87" t="s"/>
      <x:c r="K18" s="87" t="s"/>
      <x:c r="L18" s="101" t="s"/>
      <x:c r="M18" s="101" t="s"/>
      <x:c r="N18" s="87" t="s"/>
      <x:c r="O18" s="102" t="s"/>
      <x:c r="P18" s="102" t="s"/>
      <x:c r="Q18" s="102" t="s"/>
      <x:c r="R18" s="102" t="s"/>
      <x:c r="S18" s="102" t="s"/>
      <x:c r="T18" s="102" t="s"/>
      <x:c r="U18" s="102" t="s"/>
      <x:c r="V18" s="102" t="s"/>
      <x:c r="W18" s="103" t="s"/>
      <x:c r="X18" s="103" t="s"/>
      <x:c r="Y18" s="103" t="s"/>
      <x:c r="Z18" s="103" t="s"/>
      <x:c r="AA18" s="103" t="s"/>
      <x:c r="AB18" s="82" t="s"/>
      <x:c r="AC18" s="82" t="s"/>
      <x:c r="AD18" s="82" t="s"/>
    </x:row>
    <x:row r="19" spans="1:33" customFormat="1" ht="15.75" customHeight="1" thickBot="1" x14ac:dyDescent="0.3">
      <x:c r="A19" s="104" t="s"/>
      <x:c r="B19" s="105" t="s"/>
      <x:c r="C19" s="106" t="s"/>
      <x:c r="D19" s="106" t="s"/>
      <x:c r="E19" s="107" t="s"/>
      <x:c r="F19" s="100" t="s"/>
      <x:c r="G19" s="100" t="s"/>
      <x:c r="H19" s="100" t="s"/>
      <x:c r="I19" s="100" t="s"/>
      <x:c r="J19" s="68" t="s"/>
      <x:c r="K19" s="68" t="s"/>
      <x:c r="L19" s="44" t="s"/>
      <x:c r="M19" s="44" t="s"/>
      <x:c r="N19" s="68" t="s"/>
      <x:c r="O19" s="55" t="s"/>
      <x:c r="P19" s="55" t="s"/>
      <x:c r="Q19" s="55" t="s"/>
      <x:c r="R19" s="55" t="s"/>
      <x:c r="S19" s="55" t="s"/>
      <x:c r="T19" s="55" t="s"/>
      <x:c r="U19" s="55" t="s"/>
      <x:c r="V19" s="55" t="s"/>
      <x:c r="W19" s="108" t="s"/>
      <x:c r="X19" s="108" t="s"/>
      <x:c r="Y19" s="108" t="s"/>
      <x:c r="Z19" s="108" t="s"/>
      <x:c r="AA19" s="108" t="s"/>
      <x:c r="AB19" s="82" t="s"/>
      <x:c r="AC19" s="82" t="s"/>
      <x:c r="AD19" s="82" t="s"/>
    </x:row>
    <x:row r="20" spans="1:33" x14ac:dyDescent="0.25">
      <x:c r="A20" s="84" t="s"/>
      <x:c r="B20" s="85" t="s"/>
      <x:c r="C20" s="82" t="s"/>
      <x:c r="D20" s="82" t="s"/>
      <x:c r="E20" s="83" t="s"/>
      <x:c r="G20" s="86" t="s"/>
      <x:c r="H20" s="86" t="s"/>
      <x:c r="J20" s="87" t="s"/>
      <x:c r="K20" s="87" t="s"/>
      <x:c r="L20" s="88" t="s"/>
      <x:c r="M20" s="88" t="s"/>
      <x:c r="N20" s="87" t="s"/>
      <x:c r="O20" s="89" t="s"/>
      <x:c r="P20" s="89" t="s"/>
      <x:c r="Q20" s="89" t="s"/>
      <x:c r="R20" s="89" t="s"/>
      <x:c r="S20" s="89" t="s"/>
      <x:c r="T20" s="89" t="s"/>
      <x:c r="U20" s="89" t="s"/>
      <x:c r="V20" s="89" t="s"/>
      <x:c r="W20" s="82" t="s"/>
      <x:c r="X20" s="90" t="s"/>
      <x:c r="Y20" s="90" t="s"/>
      <x:c r="Z20" s="90" t="s"/>
      <x:c r="AA20" s="90" t="s"/>
      <x:c r="AB20" s="82" t="s"/>
      <x:c r="AC20" s="82" t="s"/>
      <x:c r="AD20" s="82" t="s"/>
      <x:c r="AE20" s="82" t="s"/>
      <x:c r="AF20" s="82" t="s"/>
      <x:c r="AG20" s="82" t="s"/>
    </x:row>
    <x:row r="21" spans="1:33" x14ac:dyDescent="0.25">
      <x:c r="A21" s="84" t="s"/>
      <x:c r="B21" s="85" t="s"/>
      <x:c r="C21" s="82" t="s"/>
      <x:c r="D21" s="82" t="s"/>
      <x:c r="E21" s="83" t="s"/>
      <x:c r="F21" s="86" t="s"/>
      <x:c r="G21" s="86" t="s"/>
      <x:c r="H21" s="86" t="s"/>
      <x:c r="I21" s="86" t="s"/>
      <x:c r="J21" s="87" t="s"/>
      <x:c r="K21" s="87" t="s"/>
      <x:c r="L21" s="88" t="s"/>
      <x:c r="M21" s="88" t="s"/>
      <x:c r="N21" s="87" t="s"/>
      <x:c r="O21" s="89" t="s"/>
      <x:c r="P21" s="89" t="s"/>
      <x:c r="Q21" s="89" t="s"/>
      <x:c r="R21" s="89" t="s"/>
      <x:c r="S21" s="89" t="s"/>
      <x:c r="T21" s="89" t="s"/>
      <x:c r="U21" s="89" t="s"/>
      <x:c r="V21" s="89" t="s"/>
      <x:c r="X21" s="90" t="s"/>
      <x:c r="Y21" s="90" t="s"/>
      <x:c r="Z21" s="90" t="s"/>
      <x:c r="AA21" s="90" t="s"/>
      <x:c r="AB21" s="82" t="s"/>
      <x:c r="AC21" s="82" t="s"/>
      <x:c r="AD21" s="82" t="s"/>
      <x:c r="AE21" s="82" t="s"/>
      <x:c r="AF21" s="82" t="s"/>
      <x:c r="AG21" s="82" t="s"/>
    </x:row>
    <x:row r="22" spans="1:33" x14ac:dyDescent="0.25">
      <x:c r="A22" s="84" t="s"/>
      <x:c r="B22" s="85" t="s"/>
      <x:c r="C22" s="82" t="s"/>
      <x:c r="D22" s="82" t="s"/>
      <x:c r="E22" s="83" t="s"/>
      <x:c r="G22" s="86" t="s"/>
      <x:c r="H22" s="86" t="s"/>
      <x:c r="I22" s="86" t="s"/>
      <x:c r="J22" s="87" t="s"/>
      <x:c r="K22" s="87" t="s"/>
      <x:c r="L22" s="101" t="s"/>
      <x:c r="M22" s="101" t="s"/>
      <x:c r="N22" s="87" t="s"/>
      <x:c r="O22" s="102" t="s"/>
      <x:c r="P22" s="102" t="s"/>
      <x:c r="Q22" s="102" t="s"/>
      <x:c r="R22" s="102" t="s"/>
      <x:c r="S22" s="102" t="s"/>
      <x:c r="T22" s="102" t="s"/>
      <x:c r="U22" s="102" t="s"/>
      <x:c r="V22" s="102" t="s"/>
      <x:c r="W22" s="103" t="s"/>
      <x:c r="X22" s="103" t="s"/>
      <x:c r="Y22" s="103" t="s"/>
      <x:c r="Z22" s="103" t="s"/>
      <x:c r="AA22" s="103" t="s"/>
      <x:c r="AB22" s="82" t="s"/>
      <x:c r="AC22" s="82" t="s"/>
      <x:c r="AD22" s="82" t="s"/>
      <x:c r="AE22" s="82" t="s"/>
      <x:c r="AF22" s="82" t="s"/>
      <x:c r="AG22" s="82" t="s"/>
    </x:row>
    <x:row r="23" spans="1:33" customFormat="1" ht="15.75" customHeight="1" thickBot="1" x14ac:dyDescent="0.3">
      <x:c r="A23" s="104" t="s"/>
      <x:c r="B23" s="105" t="s"/>
      <x:c r="C23" s="106" t="s"/>
      <x:c r="D23" s="106" t="s"/>
      <x:c r="E23" s="107" t="s"/>
      <x:c r="F23" s="100" t="s"/>
      <x:c r="G23" s="100" t="s"/>
      <x:c r="H23" s="100" t="s"/>
      <x:c r="I23" s="100" t="s"/>
      <x:c r="J23" s="68" t="s"/>
      <x:c r="K23" s="68" t="s"/>
      <x:c r="L23" s="44" t="s"/>
      <x:c r="M23" s="44" t="s"/>
      <x:c r="N23" s="68" t="s"/>
      <x:c r="O23" s="55" t="s"/>
      <x:c r="P23" s="55" t="s"/>
      <x:c r="Q23" s="55" t="s"/>
      <x:c r="R23" s="55" t="s"/>
      <x:c r="S23" s="55" t="s"/>
      <x:c r="T23" s="55" t="s"/>
      <x:c r="U23" s="55" t="s"/>
      <x:c r="V23" s="55" t="s"/>
      <x:c r="W23" s="108" t="s"/>
      <x:c r="X23" s="108" t="s"/>
      <x:c r="Y23" s="108" t="s"/>
      <x:c r="Z23" s="108" t="s"/>
      <x:c r="AA23" s="108" t="s"/>
      <x:c r="AB23" s="82" t="s"/>
      <x:c r="AC23" s="82" t="s"/>
      <x:c r="AD23" s="82" t="s"/>
      <x:c r="AE23" s="82" t="s"/>
      <x:c r="AF23" s="82" t="s"/>
      <x:c r="AG23" s="82" t="s"/>
    </x:row>
    <x:row r="24" spans="1:33" x14ac:dyDescent="0.25">
      <x:c r="A24" s="84" t="s"/>
      <x:c r="B24" s="85" t="s"/>
      <x:c r="C24" s="82" t="s"/>
      <x:c r="D24" s="82" t="s"/>
      <x:c r="E24" s="83" t="s"/>
      <x:c r="G24" s="86" t="s"/>
      <x:c r="H24" s="86" t="s"/>
      <x:c r="I24" s="86" t="s"/>
      <x:c r="J24" s="87" t="s"/>
      <x:c r="K24" s="87" t="s"/>
      <x:c r="L24" s="88" t="s"/>
      <x:c r="M24" s="88" t="s"/>
      <x:c r="N24" s="87" t="s"/>
      <x:c r="O24" s="89" t="s"/>
      <x:c r="P24" s="89" t="s"/>
      <x:c r="Q24" s="89" t="s"/>
      <x:c r="R24" s="89" t="s"/>
      <x:c r="S24" s="89" t="s"/>
      <x:c r="T24" s="89" t="s"/>
      <x:c r="U24" s="89" t="s"/>
      <x:c r="V24" s="89" t="s"/>
      <x:c r="W24" s="82" t="s"/>
      <x:c r="X24" s="90" t="s"/>
      <x:c r="Y24" s="90" t="s"/>
      <x:c r="Z24" s="90" t="s"/>
      <x:c r="AA24" s="90" t="s"/>
      <x:c r="AB24" s="82" t="s"/>
      <x:c r="AC24" s="82" t="s"/>
      <x:c r="AD24" s="82" t="s"/>
      <x:c r="AE24" s="82" t="s"/>
      <x:c r="AF24" s="82" t="s"/>
      <x:c r="AG24" s="82" t="s"/>
    </x:row>
    <x:row r="25" spans="1:33" x14ac:dyDescent="0.25">
      <x:c r="A25" s="84" t="s"/>
      <x:c r="B25" s="85" t="s"/>
      <x:c r="C25" s="82" t="s"/>
      <x:c r="D25" s="82" t="s"/>
      <x:c r="E25" s="83" t="s"/>
      <x:c r="F25" s="86" t="s"/>
      <x:c r="G25" s="86" t="s"/>
      <x:c r="H25" s="86" t="s"/>
      <x:c r="I25" s="86" t="s"/>
      <x:c r="J25" s="87" t="s"/>
      <x:c r="K25" s="87" t="s"/>
      <x:c r="L25" s="88" t="s"/>
      <x:c r="M25" s="88" t="s"/>
      <x:c r="N25" s="87" t="s"/>
      <x:c r="O25" s="89" t="s"/>
      <x:c r="P25" s="89" t="s"/>
      <x:c r="Q25" s="89" t="s"/>
      <x:c r="R25" s="89" t="s"/>
      <x:c r="S25" s="89" t="s"/>
      <x:c r="T25" s="89" t="s"/>
      <x:c r="U25" s="89" t="s"/>
      <x:c r="V25" s="89" t="s"/>
      <x:c r="X25" s="90" t="s"/>
      <x:c r="Y25" s="90" t="s"/>
      <x:c r="Z25" s="90" t="s"/>
      <x:c r="AA25" s="90" t="s"/>
      <x:c r="AB25" s="82" t="s"/>
      <x:c r="AC25" s="82" t="s"/>
      <x:c r="AD25" s="82" t="s"/>
      <x:c r="AE25" s="82" t="s"/>
      <x:c r="AF25" s="82" t="s"/>
      <x:c r="AG25" s="82" t="s"/>
    </x:row>
    <x:row r="26" spans="1:33" x14ac:dyDescent="0.25">
      <x:c r="A26" s="84" t="s"/>
      <x:c r="B26" s="85" t="s"/>
      <x:c r="C26" s="82" t="s"/>
      <x:c r="D26" s="82" t="s"/>
      <x:c r="E26" s="83" t="s"/>
      <x:c r="F26" s="86" t="s"/>
      <x:c r="G26" s="86" t="s"/>
      <x:c r="H26" s="86" t="s"/>
      <x:c r="I26" s="86" t="s"/>
      <x:c r="J26" s="87" t="s"/>
      <x:c r="K26" s="87" t="s"/>
      <x:c r="L26" s="101" t="s"/>
      <x:c r="M26" s="101" t="s"/>
      <x:c r="N26" s="87" t="s"/>
      <x:c r="O26" s="102" t="s"/>
      <x:c r="P26" s="102" t="s"/>
      <x:c r="Q26" s="102" t="s"/>
      <x:c r="R26" s="102" t="s"/>
      <x:c r="S26" s="102" t="s"/>
      <x:c r="T26" s="102" t="s"/>
      <x:c r="U26" s="102" t="s"/>
      <x:c r="V26" s="102" t="s"/>
      <x:c r="W26" s="103" t="s"/>
      <x:c r="X26" s="103" t="s"/>
      <x:c r="Y26" s="103" t="s"/>
      <x:c r="Z26" s="103" t="s"/>
      <x:c r="AA26" s="103" t="s"/>
      <x:c r="AB26" s="82" t="s"/>
      <x:c r="AC26" s="82" t="s"/>
      <x:c r="AD26" s="82" t="s"/>
      <x:c r="AE26" s="82" t="s"/>
      <x:c r="AF26" s="82" t="s"/>
      <x:c r="AG26" s="82" t="s"/>
    </x:row>
    <x:row r="27" spans="1:33" customFormat="1" ht="15.75" customHeight="1" thickBot="1" x14ac:dyDescent="0.3">
      <x:c r="A27" s="104" t="s"/>
      <x:c r="B27" s="105" t="s"/>
      <x:c r="C27" s="106" t="s"/>
      <x:c r="D27" s="106" t="s"/>
      <x:c r="E27" s="107" t="s"/>
      <x:c r="F27" s="100" t="s"/>
      <x:c r="G27" s="100" t="s"/>
      <x:c r="H27" s="100" t="s"/>
      <x:c r="I27" s="100" t="s"/>
      <x:c r="J27" s="68" t="s"/>
      <x:c r="K27" s="68" t="s"/>
      <x:c r="L27" s="44" t="s"/>
      <x:c r="M27" s="44" t="s"/>
      <x:c r="N27" s="68" t="s"/>
      <x:c r="O27" s="55" t="s"/>
      <x:c r="P27" s="55" t="s"/>
      <x:c r="Q27" s="55" t="s"/>
      <x:c r="R27" s="55" t="s"/>
      <x:c r="S27" s="55" t="s"/>
      <x:c r="T27" s="55" t="s"/>
      <x:c r="U27" s="55" t="s"/>
      <x:c r="V27" s="55" t="s"/>
      <x:c r="W27" s="108" t="s"/>
      <x:c r="X27" s="108" t="s"/>
      <x:c r="Y27" s="108" t="s"/>
      <x:c r="Z27" s="108" t="s"/>
      <x:c r="AA27" s="108" t="s"/>
      <x:c r="AB27" s="82" t="s"/>
      <x:c r="AC27" s="82" t="s"/>
      <x:c r="AD27" s="82" t="s"/>
      <x:c r="AE27" s="82" t="s"/>
      <x:c r="AF27" s="82" t="s"/>
      <x:c r="AG27" s="82" t="s"/>
    </x:row>
    <x:row r="28" spans="1:33" x14ac:dyDescent="0.25">
      <x:c r="A28" s="84" t="s"/>
      <x:c r="B28" s="85" t="s"/>
      <x:c r="C28" s="82" t="s"/>
      <x:c r="D28" s="82" t="s"/>
      <x:c r="E28" s="83" t="s"/>
      <x:c r="G28" s="86" t="s"/>
      <x:c r="H28" s="86" t="s"/>
      <x:c r="J28" s="87" t="s"/>
      <x:c r="K28" s="87" t="s"/>
      <x:c r="L28" s="88" t="s"/>
      <x:c r="M28" s="88" t="s"/>
      <x:c r="N28" s="87" t="s"/>
      <x:c r="O28" s="89" t="s"/>
      <x:c r="P28" s="89" t="s"/>
      <x:c r="Q28" s="89" t="s"/>
      <x:c r="R28" s="89" t="s"/>
      <x:c r="S28" s="89" t="s"/>
      <x:c r="T28" s="89" t="s"/>
      <x:c r="U28" s="89" t="s"/>
      <x:c r="V28" s="89" t="s"/>
      <x:c r="W28" s="82" t="s"/>
      <x:c r="X28" s="90" t="s"/>
      <x:c r="Y28" s="90" t="s"/>
      <x:c r="Z28" s="90" t="s"/>
      <x:c r="AA28" s="90" t="s"/>
      <x:c r="AB28" s="82" t="s"/>
      <x:c r="AC28" s="82" t="s"/>
      <x:c r="AD28" s="82" t="s"/>
      <x:c r="AE28" s="82" t="s"/>
      <x:c r="AF28" s="82" t="s"/>
      <x:c r="AG28" s="82" t="s"/>
    </x:row>
    <x:row r="29" spans="1:33" x14ac:dyDescent="0.25">
      <x:c r="A29" s="84" t="s"/>
      <x:c r="B29" s="85" t="s"/>
      <x:c r="C29" s="82" t="s"/>
      <x:c r="D29" s="82" t="s"/>
      <x:c r="E29" s="83" t="s"/>
      <x:c r="F29" s="86" t="s"/>
      <x:c r="G29" s="86" t="s"/>
      <x:c r="H29" s="86" t="s"/>
      <x:c r="I29" s="86" t="s"/>
      <x:c r="J29" s="87" t="s"/>
      <x:c r="K29" s="87" t="s"/>
      <x:c r="L29" s="88" t="s"/>
      <x:c r="M29" s="88" t="s"/>
      <x:c r="N29" s="87" t="s"/>
      <x:c r="O29" s="89" t="s"/>
      <x:c r="P29" s="89" t="s"/>
      <x:c r="Q29" s="89" t="s"/>
      <x:c r="R29" s="89" t="s"/>
      <x:c r="S29" s="89" t="s"/>
      <x:c r="T29" s="89" t="s"/>
      <x:c r="U29" s="89" t="s"/>
      <x:c r="V29" s="89" t="s"/>
      <x:c r="X29" s="90" t="s"/>
      <x:c r="Y29" s="90" t="s"/>
      <x:c r="Z29" s="90" t="s"/>
      <x:c r="AA29" s="90" t="s"/>
      <x:c r="AB29" s="82" t="s"/>
      <x:c r="AC29" s="82" t="s"/>
      <x:c r="AD29" s="82" t="s"/>
      <x:c r="AE29" s="82" t="s"/>
      <x:c r="AF29" s="82" t="s"/>
      <x:c r="AG29" s="82" t="s"/>
    </x:row>
    <x:row r="30" spans="1:33" x14ac:dyDescent="0.25">
      <x:c r="A30" s="84" t="s"/>
      <x:c r="B30" s="85" t="s"/>
      <x:c r="C30" s="82" t="s"/>
      <x:c r="D30" s="82" t="s"/>
      <x:c r="E30" s="83" t="s"/>
      <x:c r="G30" s="86" t="s"/>
      <x:c r="H30" s="86" t="s"/>
      <x:c r="I30" s="86" t="s"/>
      <x:c r="J30" s="87" t="s"/>
      <x:c r="K30" s="87" t="s"/>
      <x:c r="L30" s="101" t="s"/>
      <x:c r="M30" s="101" t="s"/>
      <x:c r="N30" s="87" t="s"/>
      <x:c r="O30" s="102" t="s"/>
      <x:c r="P30" s="102" t="s"/>
      <x:c r="Q30" s="102" t="s"/>
      <x:c r="R30" s="102" t="s"/>
      <x:c r="S30" s="102" t="s"/>
      <x:c r="T30" s="102" t="s"/>
      <x:c r="U30" s="102" t="s"/>
      <x:c r="V30" s="102" t="s"/>
      <x:c r="W30" s="103" t="s"/>
      <x:c r="X30" s="103" t="s"/>
      <x:c r="Y30" s="103" t="s"/>
      <x:c r="Z30" s="103" t="s"/>
      <x:c r="AA30" s="103" t="s"/>
      <x:c r="AB30" s="82" t="s"/>
      <x:c r="AC30" s="82" t="s"/>
      <x:c r="AD30" s="82" t="s"/>
      <x:c r="AE30" s="82" t="s"/>
      <x:c r="AF30" s="82" t="s"/>
      <x:c r="AG30" s="82" t="s"/>
    </x:row>
    <x:row r="31" spans="1:33" customFormat="1" ht="15.75" customHeight="1" thickBot="1" x14ac:dyDescent="0.3">
      <x:c r="A31" s="104" t="s"/>
      <x:c r="B31" s="105" t="s"/>
      <x:c r="C31" s="106" t="s"/>
      <x:c r="D31" s="106" t="s"/>
      <x:c r="E31" s="107" t="s"/>
      <x:c r="F31" s="100" t="s"/>
      <x:c r="G31" s="100" t="s"/>
      <x:c r="H31" s="100" t="s"/>
      <x:c r="I31" s="100" t="s"/>
      <x:c r="J31" s="68" t="s"/>
      <x:c r="K31" s="68" t="s"/>
      <x:c r="L31" s="44" t="s"/>
      <x:c r="M31" s="44" t="s"/>
      <x:c r="N31" s="68" t="s"/>
      <x:c r="O31" s="55" t="s"/>
      <x:c r="P31" s="55" t="s"/>
      <x:c r="Q31" s="55" t="s"/>
      <x:c r="R31" s="55" t="s"/>
      <x:c r="S31" s="55" t="s"/>
      <x:c r="T31" s="55" t="s"/>
      <x:c r="U31" s="55" t="s"/>
      <x:c r="V31" s="55" t="s"/>
      <x:c r="W31" s="108" t="s"/>
      <x:c r="X31" s="108" t="s"/>
      <x:c r="Y31" s="108" t="s"/>
      <x:c r="Z31" s="108" t="s"/>
      <x:c r="AA31" s="108" t="s"/>
      <x:c r="AB31" s="82" t="s"/>
      <x:c r="AC31" s="82" t="s"/>
      <x:c r="AD31" s="82" t="s"/>
      <x:c r="AE31" s="82" t="s"/>
      <x:c r="AF31" s="82" t="s"/>
      <x:c r="AG31" s="82" t="s"/>
    </x:row>
    <x:row r="32" spans="1:33" x14ac:dyDescent="0.25">
      <x:c r="A32" s="84" t="s"/>
      <x:c r="B32" s="85" t="s"/>
      <x:c r="C32" s="82" t="s"/>
      <x:c r="D32" s="82" t="s"/>
      <x:c r="E32" s="83" t="s"/>
      <x:c r="G32" s="86" t="s"/>
      <x:c r="H32" s="86" t="s"/>
      <x:c r="I32" s="86" t="s"/>
      <x:c r="J32" s="87" t="s"/>
      <x:c r="K32" s="87" t="s"/>
      <x:c r="L32" s="88" t="s"/>
      <x:c r="M32" s="88" t="s"/>
      <x:c r="N32" s="87" t="s"/>
      <x:c r="O32" s="89" t="s"/>
      <x:c r="P32" s="89" t="s"/>
      <x:c r="Q32" s="89" t="s"/>
      <x:c r="R32" s="89" t="s"/>
      <x:c r="S32" s="89" t="s"/>
      <x:c r="T32" s="89" t="s"/>
      <x:c r="U32" s="89" t="s"/>
      <x:c r="V32" s="89" t="s"/>
      <x:c r="W32" s="82" t="s"/>
      <x:c r="X32" s="90" t="s"/>
      <x:c r="Y32" s="90" t="s"/>
      <x:c r="Z32" s="90" t="s"/>
      <x:c r="AA32" s="90" t="s"/>
      <x:c r="AB32" s="82" t="s"/>
      <x:c r="AC32" s="82" t="s"/>
      <x:c r="AD32" s="82" t="s"/>
      <x:c r="AE32" s="82" t="s"/>
      <x:c r="AF32" s="82" t="s"/>
      <x:c r="AG32" s="82" t="s"/>
    </x:row>
    <x:row r="33" spans="1:33" x14ac:dyDescent="0.25">
      <x:c r="A33" s="84" t="s"/>
      <x:c r="B33" s="85" t="s"/>
      <x:c r="C33" s="82" t="s"/>
      <x:c r="D33" s="82" t="s"/>
      <x:c r="E33" s="83" t="s"/>
      <x:c r="F33" s="86" t="s"/>
      <x:c r="G33" s="86" t="s"/>
      <x:c r="H33" s="86" t="s"/>
      <x:c r="I33" s="86" t="s"/>
      <x:c r="J33" s="87" t="s"/>
      <x:c r="K33" s="87" t="s"/>
      <x:c r="L33" s="88" t="s"/>
      <x:c r="M33" s="88" t="s"/>
      <x:c r="N33" s="87" t="s"/>
      <x:c r="O33" s="89" t="s"/>
      <x:c r="P33" s="89" t="s"/>
      <x:c r="Q33" s="89" t="s"/>
      <x:c r="R33" s="89" t="s"/>
      <x:c r="S33" s="89" t="s"/>
      <x:c r="T33" s="89" t="s"/>
      <x:c r="U33" s="89" t="s"/>
      <x:c r="V33" s="89" t="s"/>
      <x:c r="X33" s="90" t="s"/>
      <x:c r="Y33" s="90" t="s"/>
      <x:c r="Z33" s="90" t="s"/>
      <x:c r="AA33" s="90" t="s"/>
      <x:c r="AB33" s="82" t="s"/>
      <x:c r="AC33" s="82" t="s"/>
      <x:c r="AD33" s="82" t="s"/>
      <x:c r="AE33" s="82" t="s"/>
      <x:c r="AF33" s="82" t="s"/>
      <x:c r="AG33" s="82" t="s"/>
    </x:row>
    <x:row r="34" spans="1:33" x14ac:dyDescent="0.25">
      <x:c r="A34" s="84" t="s"/>
      <x:c r="B34" s="85" t="s"/>
      <x:c r="C34" s="82" t="s"/>
      <x:c r="D34" s="82" t="s"/>
      <x:c r="E34" s="83" t="s"/>
      <x:c r="F34" s="86" t="s"/>
      <x:c r="G34" s="86" t="s"/>
      <x:c r="H34" s="86" t="s"/>
      <x:c r="I34" s="86" t="s"/>
      <x:c r="J34" s="87" t="s"/>
      <x:c r="K34" s="87" t="s"/>
      <x:c r="L34" s="101" t="s"/>
      <x:c r="M34" s="101" t="s"/>
      <x:c r="N34" s="87" t="s"/>
      <x:c r="O34" s="102" t="s"/>
      <x:c r="P34" s="102" t="s"/>
      <x:c r="Q34" s="102" t="s"/>
      <x:c r="R34" s="102" t="s"/>
      <x:c r="S34" s="102" t="s"/>
      <x:c r="T34" s="102" t="s"/>
      <x:c r="U34" s="102" t="s"/>
      <x:c r="V34" s="102" t="s"/>
      <x:c r="W34" s="103" t="s"/>
      <x:c r="X34" s="103" t="s"/>
      <x:c r="Y34" s="103" t="s"/>
      <x:c r="Z34" s="103" t="s"/>
      <x:c r="AA34" s="103" t="s"/>
      <x:c r="AB34" s="82" t="s"/>
      <x:c r="AC34" s="82" t="s"/>
      <x:c r="AD34" s="82" t="s"/>
      <x:c r="AE34" s="82" t="s"/>
      <x:c r="AF34" s="82" t="s"/>
      <x:c r="AG34" s="82" t="s"/>
    </x:row>
    <x:row r="35" spans="1:33" customFormat="1" ht="15.75" customHeight="1" thickBot="1" x14ac:dyDescent="0.3">
      <x:c r="A35" s="104" t="s"/>
      <x:c r="B35" s="105" t="s"/>
      <x:c r="C35" s="106" t="s"/>
      <x:c r="D35" s="106" t="s"/>
      <x:c r="E35" s="107" t="s"/>
      <x:c r="F35" s="100" t="s"/>
      <x:c r="G35" s="100" t="s"/>
      <x:c r="H35" s="100" t="s"/>
      <x:c r="I35" s="100" t="s"/>
      <x:c r="J35" s="68" t="s"/>
      <x:c r="K35" s="68" t="s"/>
      <x:c r="L35" s="44" t="s"/>
      <x:c r="M35" s="44" t="s"/>
      <x:c r="N35" s="68" t="s"/>
      <x:c r="O35" s="55" t="s"/>
      <x:c r="P35" s="55" t="s"/>
      <x:c r="Q35" s="55" t="s"/>
      <x:c r="R35" s="55" t="s"/>
      <x:c r="S35" s="55" t="s"/>
      <x:c r="T35" s="55" t="s"/>
      <x:c r="U35" s="55" t="s"/>
      <x:c r="V35" s="55" t="s"/>
      <x:c r="W35" s="108" t="s"/>
      <x:c r="X35" s="108" t="s"/>
      <x:c r="Y35" s="108" t="s"/>
      <x:c r="Z35" s="108" t="s"/>
      <x:c r="AA35" s="108" t="s"/>
      <x:c r="AB35" s="82" t="s"/>
      <x:c r="AC35" s="82" t="s"/>
      <x:c r="AD35" s="82" t="s"/>
      <x:c r="AE35" s="82" t="s"/>
      <x:c r="AF35" s="82" t="s"/>
      <x:c r="AG35" s="82" t="s"/>
    </x:row>
    <x:row r="36" spans="1:33" x14ac:dyDescent="0.25">
      <x:c r="A36" s="84" t="s"/>
      <x:c r="B36" s="85" t="s"/>
      <x:c r="C36" s="82" t="s"/>
      <x:c r="D36" s="82" t="s"/>
      <x:c r="E36" s="83" t="s"/>
      <x:c r="G36" s="86" t="s"/>
      <x:c r="H36" s="86" t="s"/>
      <x:c r="J36" s="87" t="s"/>
      <x:c r="K36" s="87" t="s"/>
      <x:c r="L36" s="88" t="s"/>
      <x:c r="M36" s="88" t="s"/>
      <x:c r="N36" s="87" t="s"/>
      <x:c r="O36" s="89" t="s"/>
      <x:c r="P36" s="89" t="s"/>
      <x:c r="Q36" s="89" t="s"/>
      <x:c r="R36" s="89" t="s"/>
      <x:c r="S36" s="89" t="s"/>
      <x:c r="T36" s="89" t="s"/>
      <x:c r="U36" s="89" t="s"/>
      <x:c r="V36" s="89" t="s"/>
      <x:c r="W36" s="82" t="s"/>
      <x:c r="X36" s="90" t="s"/>
      <x:c r="Y36" s="90" t="s"/>
      <x:c r="Z36" s="90" t="s"/>
      <x:c r="AA36" s="90" t="s"/>
      <x:c r="AB36" s="82" t="s"/>
      <x:c r="AC36" s="82" t="s"/>
      <x:c r="AD36" s="82" t="s"/>
      <x:c r="AE36" s="82" t="s"/>
      <x:c r="AF36" s="82" t="s"/>
    </x:row>
    <x:row r="37" spans="1:33" x14ac:dyDescent="0.25">
      <x:c r="A37" s="84" t="s"/>
      <x:c r="B37" s="85" t="s"/>
      <x:c r="C37" s="82" t="s"/>
      <x:c r="D37" s="82" t="s"/>
      <x:c r="E37" s="83" t="s"/>
      <x:c r="F37" s="86" t="s"/>
      <x:c r="G37" s="86" t="s"/>
      <x:c r="H37" s="86" t="s"/>
      <x:c r="I37" s="86" t="s"/>
      <x:c r="J37" s="87" t="s"/>
      <x:c r="K37" s="87" t="s"/>
      <x:c r="L37" s="88" t="s"/>
      <x:c r="M37" s="88" t="s"/>
      <x:c r="N37" s="87" t="s"/>
      <x:c r="O37" s="89" t="s"/>
      <x:c r="P37" s="89" t="s"/>
      <x:c r="Q37" s="89" t="s"/>
      <x:c r="R37" s="89" t="s"/>
      <x:c r="S37" s="89" t="s"/>
      <x:c r="T37" s="89" t="s"/>
      <x:c r="U37" s="89" t="s"/>
      <x:c r="V37" s="89" t="s"/>
      <x:c r="X37" s="90" t="s"/>
      <x:c r="Y37" s="90" t="s"/>
      <x:c r="Z37" s="90" t="s"/>
      <x:c r="AA37" s="90" t="s"/>
      <x:c r="AB37" s="82" t="s"/>
      <x:c r="AC37" s="82" t="s"/>
      <x:c r="AD37" s="82" t="s"/>
      <x:c r="AE37" s="82" t="s"/>
      <x:c r="AF37" s="82" t="s"/>
    </x:row>
    <x:row r="38" spans="1:33" x14ac:dyDescent="0.25">
      <x:c r="A38" s="84" t="s"/>
      <x:c r="B38" s="85" t="s"/>
      <x:c r="C38" s="82" t="s"/>
      <x:c r="D38" s="82" t="s"/>
      <x:c r="E38" s="83" t="s"/>
      <x:c r="G38" s="86" t="s"/>
      <x:c r="H38" s="86" t="s"/>
      <x:c r="I38" s="86" t="s"/>
      <x:c r="J38" s="87" t="s"/>
      <x:c r="K38" s="87" t="s"/>
      <x:c r="L38" s="101" t="s"/>
      <x:c r="M38" s="101" t="s"/>
      <x:c r="N38" s="87" t="s"/>
      <x:c r="O38" s="102" t="s"/>
      <x:c r="P38" s="102" t="s"/>
      <x:c r="Q38" s="102" t="s"/>
      <x:c r="R38" s="102" t="s"/>
      <x:c r="S38" s="102" t="s"/>
      <x:c r="T38" s="102" t="s"/>
      <x:c r="U38" s="102" t="s"/>
      <x:c r="V38" s="102" t="s"/>
      <x:c r="W38" s="103" t="s"/>
      <x:c r="X38" s="103" t="s"/>
      <x:c r="Y38" s="103" t="s"/>
      <x:c r="Z38" s="103" t="s"/>
      <x:c r="AA38" s="103" t="s"/>
      <x:c r="AB38" s="82" t="s"/>
      <x:c r="AC38" s="82" t="s"/>
      <x:c r="AD38" s="82" t="s"/>
      <x:c r="AE38" s="82" t="s"/>
      <x:c r="AF38" s="82" t="s"/>
    </x:row>
    <x:row r="39" spans="1:33" customFormat="1" ht="15.75" customHeight="1" thickBot="1" x14ac:dyDescent="0.3">
      <x:c r="A39" s="104" t="s"/>
      <x:c r="B39" s="105" t="s"/>
      <x:c r="C39" s="106" t="s"/>
      <x:c r="D39" s="106" t="s"/>
      <x:c r="E39" s="107" t="s"/>
      <x:c r="F39" s="100" t="s"/>
      <x:c r="G39" s="100" t="s"/>
      <x:c r="H39" s="100" t="s"/>
      <x:c r="I39" s="100" t="s"/>
      <x:c r="J39" s="68" t="s"/>
      <x:c r="K39" s="68" t="s"/>
      <x:c r="L39" s="44" t="s"/>
      <x:c r="M39" s="44" t="s"/>
      <x:c r="N39" s="68" t="s"/>
      <x:c r="O39" s="55" t="s"/>
      <x:c r="P39" s="55" t="s"/>
      <x:c r="Q39" s="55" t="s"/>
      <x:c r="R39" s="55" t="s"/>
      <x:c r="S39" s="55" t="s"/>
      <x:c r="T39" s="55" t="s"/>
      <x:c r="U39" s="55" t="s"/>
      <x:c r="V39" s="55" t="s"/>
      <x:c r="W39" s="108" t="s"/>
      <x:c r="X39" s="108" t="s"/>
      <x:c r="Y39" s="108" t="s"/>
      <x:c r="Z39" s="108" t="s"/>
      <x:c r="AA39" s="108" t="s"/>
      <x:c r="AB39" s="82" t="s"/>
      <x:c r="AC39" s="82" t="s"/>
      <x:c r="AD39" s="82" t="s"/>
      <x:c r="AE39" s="82" t="s"/>
      <x:c r="AF39" s="82" t="s"/>
    </x:row>
    <x:row r="40" spans="1:33" x14ac:dyDescent="0.25">
      <x:c r="A40" s="84" t="s"/>
      <x:c r="B40" s="85" t="s"/>
      <x:c r="C40" s="82" t="s"/>
      <x:c r="D40" s="82" t="s"/>
      <x:c r="E40" s="83" t="s"/>
      <x:c r="G40" s="86" t="s"/>
      <x:c r="H40" s="86" t="s"/>
      <x:c r="I40" s="86" t="s"/>
      <x:c r="J40" s="87" t="s"/>
      <x:c r="K40" s="87" t="s"/>
      <x:c r="L40" s="88" t="s"/>
      <x:c r="M40" s="88" t="s"/>
      <x:c r="N40" s="87" t="s"/>
      <x:c r="O40" s="89" t="s"/>
      <x:c r="P40" s="89" t="s"/>
      <x:c r="Q40" s="89" t="s"/>
      <x:c r="R40" s="89" t="s"/>
      <x:c r="S40" s="89" t="s"/>
      <x:c r="T40" s="89" t="s"/>
      <x:c r="U40" s="89" t="s"/>
      <x:c r="V40" s="89" t="s"/>
      <x:c r="W40" s="82" t="s"/>
      <x:c r="X40" s="90" t="s"/>
      <x:c r="Y40" s="90" t="s"/>
      <x:c r="Z40" s="90" t="s"/>
      <x:c r="AA40" s="90" t="s"/>
      <x:c r="AB40" s="82" t="s"/>
      <x:c r="AC40" s="82" t="s"/>
      <x:c r="AD40" s="82" t="s"/>
      <x:c r="AE40" s="82" t="s"/>
      <x:c r="AF40" s="82" t="s"/>
    </x:row>
    <x:row r="41" spans="1:33" x14ac:dyDescent="0.25">
      <x:c r="A41" s="84" t="s"/>
      <x:c r="B41" s="85" t="s"/>
      <x:c r="C41" s="82" t="s"/>
      <x:c r="D41" s="82" t="s"/>
      <x:c r="E41" s="83" t="s"/>
      <x:c r="F41" s="86" t="s"/>
      <x:c r="G41" s="86" t="s"/>
      <x:c r="H41" s="86" t="s"/>
      <x:c r="I41" s="86" t="s"/>
      <x:c r="J41" s="87" t="s"/>
      <x:c r="K41" s="87" t="s"/>
      <x:c r="L41" s="88" t="s"/>
      <x:c r="M41" s="88" t="s"/>
      <x:c r="N41" s="87" t="s"/>
      <x:c r="O41" s="89" t="s"/>
      <x:c r="P41" s="89" t="s"/>
      <x:c r="Q41" s="89" t="s"/>
      <x:c r="R41" s="89" t="s"/>
      <x:c r="S41" s="89" t="s"/>
      <x:c r="T41" s="89" t="s"/>
      <x:c r="U41" s="89" t="s"/>
      <x:c r="V41" s="89" t="s"/>
      <x:c r="X41" s="90" t="s"/>
      <x:c r="Y41" s="90" t="s"/>
      <x:c r="Z41" s="90" t="s"/>
      <x:c r="AA41" s="90" t="s"/>
      <x:c r="AB41" s="82" t="s"/>
      <x:c r="AC41" s="82" t="s"/>
      <x:c r="AD41" s="82" t="s"/>
      <x:c r="AE41" s="82" t="s"/>
      <x:c r="AF41" s="82" t="s"/>
    </x:row>
    <x:row r="42" spans="1:33" x14ac:dyDescent="0.25">
      <x:c r="A42" s="84" t="s"/>
      <x:c r="B42" s="85" t="s"/>
      <x:c r="C42" s="82" t="s"/>
      <x:c r="D42" s="82" t="s"/>
      <x:c r="E42" s="83" t="s"/>
      <x:c r="F42" s="86" t="s"/>
      <x:c r="G42" s="86" t="s"/>
      <x:c r="H42" s="86" t="s"/>
      <x:c r="I42" s="86" t="s"/>
      <x:c r="J42" s="87" t="s"/>
      <x:c r="K42" s="87" t="s"/>
      <x:c r="L42" s="101" t="s"/>
      <x:c r="M42" s="101" t="s"/>
      <x:c r="N42" s="87" t="s"/>
      <x:c r="O42" s="102" t="s"/>
      <x:c r="P42" s="102" t="s"/>
      <x:c r="Q42" s="102" t="s"/>
      <x:c r="R42" s="102" t="s"/>
      <x:c r="S42" s="102" t="s"/>
      <x:c r="T42" s="102" t="s"/>
      <x:c r="U42" s="102" t="s"/>
      <x:c r="V42" s="102" t="s"/>
      <x:c r="W42" s="103" t="s"/>
      <x:c r="X42" s="103" t="s"/>
      <x:c r="Y42" s="103" t="s"/>
      <x:c r="Z42" s="103" t="s"/>
      <x:c r="AA42" s="103" t="s"/>
    </x:row>
    <x:row r="43" spans="1:33" customFormat="1" ht="15.75" customHeight="1" thickBot="1" x14ac:dyDescent="0.3">
      <x:c r="A43" s="104" t="s"/>
      <x:c r="B43" s="105" t="s"/>
      <x:c r="C43" s="106" t="s"/>
      <x:c r="D43" s="106" t="s"/>
      <x:c r="E43" s="107" t="s"/>
      <x:c r="F43" s="100" t="s"/>
      <x:c r="G43" s="100" t="s"/>
      <x:c r="H43" s="100" t="s"/>
      <x:c r="I43" s="100" t="s"/>
      <x:c r="J43" s="68" t="s"/>
      <x:c r="K43" s="68" t="s"/>
      <x:c r="L43" s="44" t="s"/>
      <x:c r="M43" s="44" t="s"/>
      <x:c r="N43" s="68" t="s"/>
      <x:c r="O43" s="55" t="s"/>
      <x:c r="P43" s="55" t="s"/>
      <x:c r="Q43" s="55" t="s"/>
      <x:c r="R43" s="55" t="s"/>
      <x:c r="S43" s="55" t="s"/>
      <x:c r="T43" s="55" t="s"/>
      <x:c r="U43" s="55" t="s"/>
      <x:c r="V43" s="55" t="s"/>
      <x:c r="W43" s="108" t="s"/>
      <x:c r="X43" s="108" t="s"/>
      <x:c r="Y43" s="108" t="s"/>
      <x:c r="Z43" s="108" t="s"/>
      <x:c r="AA43" s="108" t="s"/>
    </x:row>
    <x:row r="44" spans="1:33" x14ac:dyDescent="0.25">
      <x:c r="A44" s="84" t="s"/>
      <x:c r="B44" s="85" t="s"/>
      <x:c r="C44" s="82" t="s"/>
      <x:c r="D44" s="82" t="s"/>
      <x:c r="E44" s="83" t="s"/>
      <x:c r="G44" s="86" t="s"/>
      <x:c r="H44" s="86" t="s"/>
      <x:c r="J44" s="87" t="s"/>
      <x:c r="K44" s="87" t="s"/>
      <x:c r="L44" s="88" t="s"/>
      <x:c r="M44" s="88" t="s"/>
      <x:c r="N44" s="87" t="s"/>
      <x:c r="O44" s="89" t="s"/>
      <x:c r="P44" s="89" t="s"/>
      <x:c r="Q44" s="89" t="s"/>
      <x:c r="R44" s="89" t="s"/>
      <x:c r="S44" s="89" t="s"/>
      <x:c r="T44" s="89" t="s"/>
      <x:c r="U44" s="89" t="s"/>
      <x:c r="V44" s="89" t="s"/>
      <x:c r="W44" s="82" t="s"/>
      <x:c r="X44" s="90" t="s"/>
      <x:c r="Y44" s="90" t="s"/>
      <x:c r="Z44" s="90" t="s"/>
      <x:c r="AA44" s="90" t="s"/>
    </x:row>
    <x:row r="45" spans="1:33" x14ac:dyDescent="0.25">
      <x:c r="A45" s="84" t="s"/>
      <x:c r="B45" s="85" t="s"/>
      <x:c r="C45" s="82" t="s"/>
      <x:c r="D45" s="82" t="s"/>
      <x:c r="E45" s="83" t="s"/>
      <x:c r="F45" s="86" t="s"/>
      <x:c r="G45" s="86" t="s"/>
      <x:c r="H45" s="86" t="s"/>
      <x:c r="I45" s="86" t="s"/>
      <x:c r="J45" s="87" t="s"/>
      <x:c r="K45" s="87" t="s"/>
      <x:c r="L45" s="88" t="s"/>
      <x:c r="M45" s="88" t="s"/>
      <x:c r="N45" s="87" t="s"/>
      <x:c r="O45" s="89" t="s"/>
      <x:c r="P45" s="89" t="s"/>
      <x:c r="Q45" s="89" t="s"/>
      <x:c r="R45" s="89" t="s"/>
      <x:c r="S45" s="89" t="s"/>
      <x:c r="T45" s="89" t="s"/>
      <x:c r="U45" s="89" t="s"/>
      <x:c r="V45" s="89" t="s"/>
      <x:c r="X45" s="90" t="s"/>
      <x:c r="Y45" s="90" t="s"/>
      <x:c r="Z45" s="90" t="s"/>
      <x:c r="AA45" s="90" t="s"/>
    </x:row>
    <x:row r="46" spans="1:33" x14ac:dyDescent="0.25">
      <x:c r="A46" s="84" t="s"/>
      <x:c r="B46" s="85" t="s"/>
      <x:c r="C46" s="82" t="s"/>
      <x:c r="D46" s="82" t="s"/>
      <x:c r="E46" s="83" t="s"/>
      <x:c r="G46" s="86" t="s"/>
      <x:c r="H46" s="86" t="s"/>
      <x:c r="I46" s="86" t="s"/>
      <x:c r="J46" s="87" t="s"/>
      <x:c r="K46" s="87" t="s"/>
      <x:c r="L46" s="101" t="s"/>
      <x:c r="M46" s="101" t="s"/>
      <x:c r="N46" s="87" t="s"/>
      <x:c r="O46" s="102" t="s"/>
      <x:c r="P46" s="102" t="s"/>
      <x:c r="Q46" s="102" t="s"/>
      <x:c r="R46" s="102" t="s"/>
      <x:c r="S46" s="102" t="s"/>
      <x:c r="T46" s="102" t="s"/>
      <x:c r="U46" s="102" t="s"/>
      <x:c r="V46" s="102" t="s"/>
      <x:c r="W46" s="103" t="s"/>
      <x:c r="X46" s="103" t="s"/>
      <x:c r="Y46" s="103" t="s"/>
      <x:c r="Z46" s="103" t="s"/>
      <x:c r="AA46" s="103" t="s"/>
    </x:row>
    <x:row r="47" spans="1:33" customFormat="1" ht="15.75" customHeight="1" thickBot="1" x14ac:dyDescent="0.3">
      <x:c r="A47" s="104" t="s"/>
      <x:c r="B47" s="105" t="s"/>
      <x:c r="C47" s="106" t="s"/>
      <x:c r="D47" s="106" t="s"/>
      <x:c r="E47" s="107" t="s"/>
      <x:c r="F47" s="100" t="s"/>
      <x:c r="G47" s="100" t="s"/>
      <x:c r="H47" s="100" t="s"/>
      <x:c r="I47" s="100" t="s"/>
      <x:c r="J47" s="68" t="s"/>
      <x:c r="K47" s="68" t="s"/>
      <x:c r="L47" s="44" t="s"/>
      <x:c r="M47" s="44" t="s"/>
      <x:c r="N47" s="68" t="s"/>
      <x:c r="O47" s="55" t="s"/>
      <x:c r="P47" s="55" t="s"/>
      <x:c r="Q47" s="55" t="s"/>
      <x:c r="R47" s="55" t="s"/>
      <x:c r="S47" s="55" t="s"/>
      <x:c r="T47" s="55" t="s"/>
      <x:c r="U47" s="55" t="s"/>
      <x:c r="V47" s="55" t="s"/>
      <x:c r="W47" s="108" t="s"/>
      <x:c r="X47" s="108" t="s"/>
      <x:c r="Y47" s="108" t="s"/>
      <x:c r="Z47" s="108" t="s"/>
      <x:c r="AA47" s="108" t="s"/>
    </x:row>
    <x:row r="48" spans="1:33" x14ac:dyDescent="0.25">
      <x:c r="A48" s="84" t="s"/>
      <x:c r="B48" s="85" t="s"/>
      <x:c r="C48" s="82" t="s"/>
      <x:c r="D48" s="82" t="s"/>
      <x:c r="E48" s="83" t="s"/>
      <x:c r="G48" s="86" t="s"/>
      <x:c r="H48" s="86" t="s"/>
      <x:c r="I48" s="86" t="s"/>
      <x:c r="J48" s="87" t="s"/>
      <x:c r="K48" s="87" t="s"/>
      <x:c r="L48" s="88" t="s"/>
      <x:c r="M48" s="88" t="s"/>
      <x:c r="N48" s="87" t="s"/>
      <x:c r="O48" s="89" t="s"/>
      <x:c r="P48" s="89" t="s"/>
      <x:c r="Q48" s="89" t="s"/>
      <x:c r="R48" s="89" t="s"/>
      <x:c r="S48" s="89" t="s"/>
      <x:c r="T48" s="89" t="s"/>
      <x:c r="U48" s="89" t="s"/>
      <x:c r="V48" s="89" t="s"/>
      <x:c r="W48" s="82" t="s"/>
      <x:c r="X48" s="90" t="s"/>
      <x:c r="Y48" s="90" t="s"/>
      <x:c r="Z48" s="90" t="s"/>
      <x:c r="AA48" s="90" t="s"/>
    </x:row>
    <x:row r="49" spans="1:33" x14ac:dyDescent="0.25">
      <x:c r="A49" s="84" t="s"/>
      <x:c r="B49" s="85" t="s"/>
      <x:c r="C49" s="82" t="s"/>
      <x:c r="D49" s="82" t="s"/>
      <x:c r="E49" s="83" t="s"/>
      <x:c r="F49" s="86" t="s"/>
      <x:c r="G49" s="86" t="s"/>
      <x:c r="H49" s="86" t="s"/>
      <x:c r="I49" s="86" t="s"/>
      <x:c r="J49" s="87" t="s"/>
      <x:c r="K49" s="87" t="s"/>
      <x:c r="L49" s="88" t="s"/>
      <x:c r="M49" s="88" t="s"/>
      <x:c r="N49" s="87" t="s"/>
      <x:c r="O49" s="89" t="s"/>
      <x:c r="P49" s="89" t="s"/>
      <x:c r="Q49" s="89" t="s"/>
      <x:c r="R49" s="89" t="s"/>
      <x:c r="S49" s="89" t="s"/>
      <x:c r="T49" s="89" t="s"/>
      <x:c r="U49" s="89" t="s"/>
      <x:c r="V49" s="89" t="s"/>
      <x:c r="X49" s="90" t="s"/>
      <x:c r="Y49" s="90" t="s"/>
      <x:c r="Z49" s="90" t="s"/>
      <x:c r="AA49" s="90" t="s"/>
    </x:row>
    <x:row r="50" spans="1:33" x14ac:dyDescent="0.25">
      <x:c r="A50" s="84" t="s"/>
      <x:c r="B50" s="85" t="s"/>
      <x:c r="C50" s="82" t="s"/>
      <x:c r="D50" s="82" t="s"/>
      <x:c r="E50" s="83" t="s"/>
      <x:c r="F50" s="86" t="s"/>
      <x:c r="G50" s="86" t="s"/>
      <x:c r="H50" s="86" t="s"/>
      <x:c r="I50" s="86" t="s"/>
      <x:c r="J50" s="87" t="s"/>
      <x:c r="K50" s="87" t="s"/>
      <x:c r="L50" s="101" t="s"/>
      <x:c r="M50" s="101" t="s"/>
      <x:c r="N50" s="87" t="s"/>
      <x:c r="O50" s="102" t="s"/>
      <x:c r="P50" s="102" t="s"/>
      <x:c r="Q50" s="102" t="s"/>
      <x:c r="R50" s="102" t="s"/>
      <x:c r="S50" s="102" t="s"/>
      <x:c r="T50" s="102" t="s"/>
      <x:c r="U50" s="102" t="s"/>
      <x:c r="V50" s="102" t="s"/>
      <x:c r="W50" s="103" t="s"/>
      <x:c r="X50" s="103" t="s"/>
      <x:c r="Y50" s="103" t="s"/>
      <x:c r="Z50" s="103" t="s"/>
      <x:c r="AA50" s="103" t="s"/>
    </x:row>
    <x:row r="51" spans="1:33" customFormat="1" ht="15.75" customHeight="1" thickBot="1" x14ac:dyDescent="0.3">
      <x:c r="A51" s="104" t="s"/>
      <x:c r="B51" s="105" t="s"/>
      <x:c r="C51" s="106" t="s"/>
      <x:c r="D51" s="106" t="s"/>
      <x:c r="E51" s="107" t="s"/>
      <x:c r="F51" s="100" t="s"/>
      <x:c r="G51" s="100" t="s"/>
      <x:c r="H51" s="100" t="s"/>
      <x:c r="I51" s="100" t="s"/>
      <x:c r="J51" s="68" t="s"/>
      <x:c r="K51" s="68" t="s"/>
      <x:c r="L51" s="44" t="s"/>
      <x:c r="M51" s="44" t="s"/>
      <x:c r="N51" s="68" t="s"/>
      <x:c r="O51" s="55" t="s"/>
      <x:c r="P51" s="55" t="s"/>
      <x:c r="Q51" s="55" t="s"/>
      <x:c r="R51" s="55" t="s"/>
      <x:c r="S51" s="55" t="s"/>
      <x:c r="T51" s="55" t="s"/>
      <x:c r="U51" s="55" t="s"/>
      <x:c r="V51" s="55" t="s"/>
      <x:c r="W51" s="108" t="s"/>
      <x:c r="X51" s="108" t="s"/>
      <x:c r="Y51" s="108" t="s"/>
      <x:c r="Z51" s="108" t="s"/>
      <x:c r="AA51" s="108" t="s"/>
    </x:row>
    <x:row r="52" spans="1:33" x14ac:dyDescent="0.25">
      <x:c r="F52" s="82" t="s"/>
      <x:c r="G52" s="82" t="s"/>
      <x:c r="H52" s="82" t="s"/>
      <x:c r="I52" s="82" t="s"/>
      <x:c r="J52" s="82" t="s"/>
      <x:c r="K52" s="82" t="s"/>
    </x:row>
    <x:row r="53" spans="1:33" x14ac:dyDescent="0.25">
      <x:c r="F53" s="82" t="s"/>
      <x:c r="G53" s="82" t="s"/>
      <x:c r="H53" s="82" t="s"/>
      <x:c r="I53" s="82" t="s"/>
      <x:c r="J53" s="82" t="s"/>
      <x:c r="K53" s="82" t="s"/>
    </x:row>
    <x:row r="54" spans="1:33" x14ac:dyDescent="0.25">
      <x:c r="F54" s="82" t="s"/>
      <x:c r="G54" s="82" t="s"/>
      <x:c r="H54" s="82" t="s"/>
      <x:c r="I54" s="82" t="s"/>
      <x:c r="J54" s="82" t="s"/>
      <x:c r="K54" s="82" t="s"/>
    </x:row>
    <x:row r="55" spans="1:33" x14ac:dyDescent="0.25">
      <x:c r="F55" s="82" t="s"/>
      <x:c r="G55" s="82" t="s"/>
      <x:c r="H55" s="82" t="s"/>
      <x:c r="I55" s="82" t="s"/>
      <x:c r="J55" s="82" t="s"/>
      <x:c r="K55" s="82" t="s"/>
    </x:row>
    <x:row r="56" spans="1:33" x14ac:dyDescent="0.25">
      <x:c r="F56" s="82" t="s"/>
      <x:c r="G56" s="82" t="s"/>
      <x:c r="H56" s="82" t="s"/>
      <x:c r="I56" s="82" t="s"/>
      <x:c r="J56" s="82" t="s"/>
      <x:c r="K56" s="82" t="s"/>
    </x:row>
    <x:row r="57" spans="1:33" x14ac:dyDescent="0.25">
      <x:c r="F57" s="82" t="s"/>
      <x:c r="G57" s="82" t="s"/>
      <x:c r="H57" s="82" t="s"/>
      <x:c r="I57" s="82" t="s"/>
      <x:c r="J57" s="82" t="s"/>
      <x:c r="K57" s="82" t="s"/>
    </x:row>
    <x:row r="58" spans="1:33" x14ac:dyDescent="0.25">
      <x:c r="F58" s="82" t="s"/>
      <x:c r="G58" s="82" t="s"/>
      <x:c r="H58" s="82" t="s"/>
      <x:c r="I58" s="82" t="s"/>
      <x:c r="J58" s="82" t="s"/>
      <x:c r="K58" s="82" t="s"/>
    </x:row>
    <x:row r="59" spans="1:33" x14ac:dyDescent="0.25">
      <x:c r="F59" s="82" t="s"/>
      <x:c r="G59" s="82" t="s"/>
      <x:c r="H59" s="82" t="s"/>
      <x:c r="I59" s="82" t="s"/>
      <x:c r="J59" s="82" t="s"/>
      <x:c r="K59" s="82" t="s"/>
    </x:row>
    <x:row r="60" spans="1:33" x14ac:dyDescent="0.25">
      <x:c r="F60" s="82" t="s"/>
      <x:c r="G60" s="82" t="s"/>
      <x:c r="H60" s="82" t="s"/>
      <x:c r="I60" s="82" t="s"/>
      <x:c r="J60" s="82" t="s"/>
      <x:c r="K60" s="82" t="s"/>
    </x:row>
    <x:row r="61" spans="1:33" x14ac:dyDescent="0.25">
      <x:c r="G61" s="82" t="s"/>
      <x:c r="H61" s="82" t="s"/>
      <x:c r="I61" s="82" t="s"/>
      <x:c r="J61" s="82" t="s"/>
      <x:c r="K61" s="82" t="s"/>
    </x:row>
  </x:sheetData>
  <x:sortState ref="A3:AF446">
    <x:sortCondition ref="F60:F67"/>
  </x:sortState>
  <x:mergeCells count="24">
    <x:mergeCell ref="K40:K43"/>
    <x:mergeCell ref="N40:N43"/>
    <x:mergeCell ref="K44:K47"/>
    <x:mergeCell ref="N44:N47"/>
    <x:mergeCell ref="K48:K51"/>
    <x:mergeCell ref="N48:N51"/>
    <x:mergeCell ref="K28:K31"/>
    <x:mergeCell ref="N28:N31"/>
    <x:mergeCell ref="K32:K35"/>
    <x:mergeCell ref="N32:N35"/>
    <x:mergeCell ref="K36:K39"/>
    <x:mergeCell ref="N36:N39"/>
    <x:mergeCell ref="K16:K19"/>
    <x:mergeCell ref="N16:N19"/>
    <x:mergeCell ref="K20:K23"/>
    <x:mergeCell ref="N20:N23"/>
    <x:mergeCell ref="K24:K27"/>
    <x:mergeCell ref="N24:N27"/>
    <x:mergeCell ref="N4:N7"/>
    <x:mergeCell ref="K4:K7"/>
    <x:mergeCell ref="K8:K11"/>
    <x:mergeCell ref="N8:N11"/>
    <x:mergeCell ref="K12:K15"/>
    <x:mergeCell ref="N12:N15"/>
  </x:mergeCells>
  <x:conditionalFormatting sqref="G4:G4">
    <x:cfRule type="duplicateValues" dxfId="1520" priority="1"/>
  </x:conditionalFormatting>
  <x:conditionalFormatting sqref="H6:H7">
    <x:cfRule type="duplicateValues" dxfId="1520" priority="2"/>
    <x:cfRule type="duplicateValues" dxfId="1520" priority="2"/>
    <x:cfRule type="duplicateValues" dxfId="1520" priority="2"/>
    <x:cfRule type="duplicateValues" dxfId="1520" priority="2"/>
    <x:cfRule type="duplicateValues" dxfId="1520" priority="2"/>
    <x:cfRule type="duplicateValues" dxfId="1520" priority="2"/>
  </x:conditionalFormatting>
  <x:conditionalFormatting sqref="L4:L5"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  <x:cfRule type="duplicateValues" dxfId="1520" priority="3"/>
  </x:conditionalFormatting>
  <x:conditionalFormatting sqref="I6:I7">
    <x:cfRule type="duplicateValues" dxfId="1520" priority="4"/>
  </x:conditionalFormatting>
  <x:conditionalFormatting sqref="M4:M5">
    <x:cfRule type="duplicateValues" dxfId="1520" priority="5"/>
    <x:cfRule type="duplicateValues" dxfId="1520" priority="5"/>
  </x:conditionalFormatting>
  <x:conditionalFormatting sqref="O4:O5">
    <x:cfRule type="duplicateValues" dxfId="1520" priority="6"/>
    <x:cfRule type="duplicateValues" dxfId="1520" priority="6"/>
  </x:conditionalFormatting>
  <x:conditionalFormatting sqref="O5:O5">
    <x:cfRule type="duplicateValues" dxfId="1520" priority="7"/>
    <x:cfRule type="duplicateValues" dxfId="1520" priority="7"/>
  </x:conditionalFormatting>
  <x:conditionalFormatting sqref="G4:G7">
    <x:cfRule type="duplicateValues" dxfId="1520" priority="8"/>
  </x:conditionalFormatting>
  <x:conditionalFormatting sqref="M6:M6">
    <x:cfRule type="duplicateValues" dxfId="1520" priority="9"/>
    <x:cfRule type="duplicateValues" dxfId="1520" priority="9"/>
  </x:conditionalFormatting>
  <x:conditionalFormatting sqref="AD6:AD7">
    <x:cfRule type="duplicateValues" dxfId="1520" priority="10"/>
    <x:cfRule type="duplicateValues" dxfId="1520" priority="10"/>
    <x:cfRule type="duplicateValues" dxfId="1520" priority="10"/>
  </x:conditionalFormatting>
  <x:conditionalFormatting sqref="O6:O7">
    <x:cfRule type="duplicateValues" dxfId="1520" priority="11"/>
    <x:cfRule type="duplicateValues" dxfId="1520" priority="11"/>
  </x:conditionalFormatting>
  <x:conditionalFormatting sqref="P5:P5">
    <x:cfRule type="duplicateValues" dxfId="1520" priority="12"/>
    <x:cfRule type="duplicateValues" dxfId="1520" priority="12"/>
  </x:conditionalFormatting>
  <x:conditionalFormatting sqref="R6:R7">
    <x:cfRule type="duplicateValues" dxfId="1520" priority="13"/>
    <x:cfRule type="duplicateValues" dxfId="1520" priority="13"/>
  </x:conditionalFormatting>
  <x:conditionalFormatting sqref="Q6:Q7">
    <x:cfRule type="duplicateValues" dxfId="1520" priority="14"/>
    <x:cfRule type="duplicateValues" dxfId="1520" priority="14"/>
    <x:cfRule type="duplicateValues" dxfId="1520" priority="14"/>
    <x:cfRule type="duplicateValues" dxfId="1520" priority="14"/>
    <x:cfRule type="duplicateValues" dxfId="1520" priority="14"/>
    <x:cfRule type="duplicateValues" dxfId="1520" priority="14"/>
    <x:cfRule type="duplicateValues" dxfId="1520" priority="14"/>
    <x:cfRule type="duplicateValues" dxfId="1520" priority="14"/>
  </x:conditionalFormatting>
  <x:conditionalFormatting sqref="L6:L7">
    <x:cfRule type="duplicateValues" dxfId="1520" priority="15"/>
    <x:cfRule type="duplicateValues" dxfId="1520" priority="15"/>
    <x:cfRule type="duplicateValues" dxfId="1520" priority="15"/>
    <x:cfRule type="duplicateValues" dxfId="1520" priority="15"/>
  </x:conditionalFormatting>
  <x:conditionalFormatting sqref="G8:G8">
    <x:cfRule type="duplicateValues" dxfId="1520" priority="16"/>
  </x:conditionalFormatting>
  <x:conditionalFormatting sqref="H8:H11">
    <x:cfRule type="duplicateValues" dxfId="1520" priority="17"/>
    <x:cfRule type="duplicateValues" dxfId="1520" priority="17"/>
    <x:cfRule type="duplicateValues" dxfId="1520" priority="17"/>
    <x:cfRule type="duplicateValues" dxfId="1520" priority="17"/>
    <x:cfRule type="duplicateValues" dxfId="1520" priority="17"/>
    <x:cfRule type="duplicateValues" dxfId="1520" priority="17"/>
  </x:conditionalFormatting>
  <x:conditionalFormatting sqref="I8:I11">
    <x:cfRule type="duplicateValues" dxfId="1520" priority="18"/>
  </x:conditionalFormatting>
  <x:conditionalFormatting sqref="O8:O9">
    <x:cfRule type="duplicateValues" dxfId="1520" priority="19"/>
    <x:cfRule type="duplicateValues" dxfId="1520" priority="19"/>
  </x:conditionalFormatting>
  <x:conditionalFormatting sqref="O9:O9">
    <x:cfRule type="duplicateValues" dxfId="1520" priority="20"/>
    <x:cfRule type="duplicateValues" dxfId="1520" priority="20"/>
  </x:conditionalFormatting>
  <x:conditionalFormatting sqref="G8:G11">
    <x:cfRule type="duplicateValues" dxfId="1520" priority="21"/>
  </x:conditionalFormatting>
  <x:conditionalFormatting sqref="M10:M10">
    <x:cfRule type="duplicateValues" dxfId="1520" priority="22"/>
    <x:cfRule type="duplicateValues" dxfId="1520" priority="22"/>
  </x:conditionalFormatting>
  <x:conditionalFormatting sqref="O10:O11">
    <x:cfRule type="duplicateValues" dxfId="1520" priority="23"/>
    <x:cfRule type="duplicateValues" dxfId="1520" priority="23"/>
  </x:conditionalFormatting>
  <x:conditionalFormatting sqref="Q10:Q11">
    <x:cfRule type="duplicateValues" dxfId="1520" priority="24"/>
    <x:cfRule type="duplicateValues" dxfId="1520" priority="24"/>
    <x:cfRule type="duplicateValues" dxfId="1520" priority="24"/>
    <x:cfRule type="duplicateValues" dxfId="1520" priority="24"/>
    <x:cfRule type="duplicateValues" dxfId="1520" priority="24"/>
    <x:cfRule type="duplicateValues" dxfId="1520" priority="24"/>
  </x:conditionalFormatting>
  <x:conditionalFormatting sqref="P9:P9">
    <x:cfRule type="duplicateValues" dxfId="1520" priority="25"/>
    <x:cfRule type="duplicateValues" dxfId="1520" priority="25"/>
  </x:conditionalFormatting>
  <x:conditionalFormatting sqref="L8:L8">
    <x:cfRule type="duplicateValues" dxfId="1520" priority="26"/>
    <x:cfRule type="duplicateValues" dxfId="1520" priority="26"/>
  </x:conditionalFormatting>
  <x:conditionalFormatting sqref="S10:S11">
    <x:cfRule type="duplicateValues" dxfId="1520" priority="27"/>
    <x:cfRule type="duplicateValues" dxfId="1520" priority="27"/>
    <x:cfRule type="duplicateValues" dxfId="1520" priority="27"/>
    <x:cfRule type="duplicateValues" dxfId="1520" priority="27"/>
    <x:cfRule type="duplicateValues" dxfId="1520" priority="27"/>
    <x:cfRule type="duplicateValues" dxfId="1520" priority="27"/>
    <x:cfRule type="duplicateValues" dxfId="1520" priority="27"/>
  </x:conditionalFormatting>
  <x:conditionalFormatting sqref="L8:L11">
    <x:cfRule type="duplicateValues" dxfId="1520" priority="28"/>
    <x:cfRule type="duplicateValues" dxfId="1520" priority="28"/>
    <x:cfRule type="duplicateValues" dxfId="1520" priority="28"/>
    <x:cfRule type="duplicateValues" dxfId="1520" priority="28"/>
    <x:cfRule type="duplicateValues" dxfId="1520" priority="28"/>
    <x:cfRule type="duplicateValues" dxfId="1520" priority="28"/>
    <x:cfRule type="duplicateValues" dxfId="1520" priority="28"/>
    <x:cfRule type="duplicateValues" dxfId="1520" priority="28"/>
    <x:cfRule type="duplicateValues" dxfId="1520" priority="28"/>
  </x:conditionalFormatting>
  <x:conditionalFormatting sqref="U5:U5">
    <x:cfRule type="duplicateValues" dxfId="1520" priority="29"/>
    <x:cfRule type="duplicateValues" dxfId="1520" priority="29"/>
  </x:conditionalFormatting>
  <x:conditionalFormatting sqref="G4:G11">
    <x:cfRule type="duplicateValues" dxfId="1520" priority="30"/>
  </x:conditionalFormatting>
  <x:conditionalFormatting sqref="L4:L11">
    <x:cfRule type="duplicateValues" dxfId="1520" priority="31"/>
    <x:cfRule type="duplicateValues" dxfId="1520" priority="31"/>
    <x:cfRule type="duplicateValues" dxfId="1520" priority="31"/>
    <x:cfRule type="duplicateValues" dxfId="1520" priority="31"/>
  </x:conditionalFormatting>
  <x:conditionalFormatting sqref="A6:A7">
    <x:cfRule type="duplicateValues" dxfId="1520" priority="32"/>
    <x:cfRule type="duplicateValues" dxfId="1520" priority="32"/>
    <x:cfRule type="duplicateValues" dxfId="1520" priority="32"/>
    <x:cfRule type="duplicateValues" dxfId="1520" priority="32"/>
  </x:conditionalFormatting>
  <x:conditionalFormatting sqref="A10:A11">
    <x:cfRule type="duplicateValues" dxfId="1520" priority="33"/>
    <x:cfRule type="duplicateValues" dxfId="1520" priority="33"/>
    <x:cfRule type="duplicateValues" dxfId="1520" priority="33"/>
    <x:cfRule type="duplicateValues" dxfId="1520" priority="33"/>
  </x:conditionalFormatting>
  <x:conditionalFormatting sqref="AC6:AC7">
    <x:cfRule type="duplicateValues" dxfId="1520" priority="34"/>
  </x:conditionalFormatting>
  <x:conditionalFormatting sqref="I4:I11">
    <x:cfRule type="duplicateValues" dxfId="1520" priority="35"/>
  </x:conditionalFormatting>
  <x:conditionalFormatting sqref="S6:S7">
    <x:cfRule type="duplicateValues" dxfId="1520" priority="36"/>
    <x:cfRule type="duplicateValues" dxfId="1520" priority="36"/>
    <x:cfRule type="duplicateValues" dxfId="1520" priority="36"/>
    <x:cfRule type="duplicateValues" dxfId="1520" priority="36"/>
  </x:conditionalFormatting>
  <x:conditionalFormatting sqref="A4:A11">
    <x:cfRule type="duplicateValues" dxfId="1520" priority="37"/>
  </x:conditionalFormatting>
  <x:conditionalFormatting sqref="H4:H11">
    <x:cfRule type="duplicateValues" dxfId="1520" priority="38"/>
  </x:conditionalFormatting>
  <x:conditionalFormatting sqref="S8:S9">
    <x:cfRule type="duplicateValues" dxfId="1520" priority="39"/>
  </x:conditionalFormatting>
  <x:conditionalFormatting sqref="V4:V5">
    <x:cfRule type="duplicateValues" dxfId="1520" priority="40"/>
    <x:cfRule type="duplicateValues" dxfId="1520" priority="40"/>
  </x:conditionalFormatting>
  <x:conditionalFormatting sqref="T10:T11">
    <x:cfRule type="duplicateValues" dxfId="1520" priority="41"/>
    <x:cfRule type="duplicateValues" dxfId="1520" priority="41"/>
    <x:cfRule type="duplicateValues" dxfId="1520" priority="41"/>
    <x:cfRule type="duplicateValues" dxfId="1520" priority="41"/>
    <x:cfRule type="duplicateValues" dxfId="1520" priority="41"/>
    <x:cfRule type="duplicateValues" dxfId="1520" priority="41"/>
  </x:conditionalFormatting>
  <x:conditionalFormatting sqref="U8:U9">
    <x:cfRule type="duplicateValues" dxfId="1520" priority="42"/>
  </x:conditionalFormatting>
  <x:conditionalFormatting sqref="T6:T7">
    <x:cfRule type="duplicateValues" dxfId="1520" priority="43"/>
    <x:cfRule type="duplicateValues" dxfId="1520" priority="43"/>
    <x:cfRule type="duplicateValues" dxfId="1520" priority="43"/>
    <x:cfRule type="duplicateValues" dxfId="1520" priority="43"/>
    <x:cfRule type="duplicateValues" dxfId="1520" priority="43"/>
    <x:cfRule type="duplicateValues" dxfId="1520" priority="43"/>
    <x:cfRule type="duplicateValues" dxfId="1520" priority="43"/>
    <x:cfRule type="duplicateValues" dxfId="1520" priority="43"/>
  </x:conditionalFormatting>
  <x:conditionalFormatting sqref="V8:V9">
    <x:cfRule type="duplicateValues" dxfId="1520" priority="44"/>
    <x:cfRule type="duplicateValues" dxfId="1520" priority="44"/>
  </x:conditionalFormatting>
  <x:conditionalFormatting sqref="G12:G12">
    <x:cfRule type="duplicateValues" dxfId="1520" priority="45"/>
  </x:conditionalFormatting>
  <x:conditionalFormatting sqref="H14:H15">
    <x:cfRule type="duplicateValues" dxfId="1520" priority="46"/>
    <x:cfRule type="duplicateValues" dxfId="1520" priority="46"/>
    <x:cfRule type="duplicateValues" dxfId="1520" priority="46"/>
    <x:cfRule type="duplicateValues" dxfId="1520" priority="46"/>
    <x:cfRule type="duplicateValues" dxfId="1520" priority="46"/>
    <x:cfRule type="duplicateValues" dxfId="1520" priority="46"/>
  </x:conditionalFormatting>
  <x:conditionalFormatting sqref="L12:L13"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  <x:cfRule type="duplicateValues" dxfId="1520" priority="47"/>
  </x:conditionalFormatting>
  <x:conditionalFormatting sqref="I14:I15">
    <x:cfRule type="duplicateValues" dxfId="1520" priority="48"/>
  </x:conditionalFormatting>
  <x:conditionalFormatting sqref="M12:M13">
    <x:cfRule type="duplicateValues" dxfId="1520" priority="49"/>
    <x:cfRule type="duplicateValues" dxfId="1520" priority="49"/>
  </x:conditionalFormatting>
  <x:conditionalFormatting sqref="O12:O13">
    <x:cfRule type="duplicateValues" dxfId="1520" priority="50"/>
    <x:cfRule type="duplicateValues" dxfId="1520" priority="50"/>
  </x:conditionalFormatting>
  <x:conditionalFormatting sqref="O13:O13">
    <x:cfRule type="duplicateValues" dxfId="1520" priority="51"/>
    <x:cfRule type="duplicateValues" dxfId="1520" priority="51"/>
  </x:conditionalFormatting>
  <x:conditionalFormatting sqref="G12:G15">
    <x:cfRule type="duplicateValues" dxfId="1520" priority="52"/>
  </x:conditionalFormatting>
  <x:conditionalFormatting sqref="M14:M14">
    <x:cfRule type="duplicateValues" dxfId="1520" priority="53"/>
    <x:cfRule type="duplicateValues" dxfId="1520" priority="53"/>
  </x:conditionalFormatting>
  <x:conditionalFormatting sqref="O14:O15">
    <x:cfRule type="duplicateValues" dxfId="1520" priority="54"/>
    <x:cfRule type="duplicateValues" dxfId="1520" priority="54"/>
  </x:conditionalFormatting>
  <x:conditionalFormatting sqref="P13:P13">
    <x:cfRule type="duplicateValues" dxfId="1520" priority="55"/>
    <x:cfRule type="duplicateValues" dxfId="1520" priority="55"/>
  </x:conditionalFormatting>
  <x:conditionalFormatting sqref="R14:R15">
    <x:cfRule type="duplicateValues" dxfId="1520" priority="56"/>
    <x:cfRule type="duplicateValues" dxfId="1520" priority="56"/>
  </x:conditionalFormatting>
  <x:conditionalFormatting sqref="Q14:Q15">
    <x:cfRule type="duplicateValues" dxfId="1520" priority="57"/>
    <x:cfRule type="duplicateValues" dxfId="1520" priority="57"/>
    <x:cfRule type="duplicateValues" dxfId="1520" priority="57"/>
    <x:cfRule type="duplicateValues" dxfId="1520" priority="57"/>
    <x:cfRule type="duplicateValues" dxfId="1520" priority="57"/>
    <x:cfRule type="duplicateValues" dxfId="1520" priority="57"/>
    <x:cfRule type="duplicateValues" dxfId="1520" priority="57"/>
    <x:cfRule type="duplicateValues" dxfId="1520" priority="57"/>
  </x:conditionalFormatting>
  <x:conditionalFormatting sqref="L14:L15">
    <x:cfRule type="duplicateValues" dxfId="1520" priority="58"/>
    <x:cfRule type="duplicateValues" dxfId="1520" priority="58"/>
    <x:cfRule type="duplicateValues" dxfId="1520" priority="58"/>
    <x:cfRule type="duplicateValues" dxfId="1520" priority="58"/>
  </x:conditionalFormatting>
  <x:conditionalFormatting sqref="G16:G16">
    <x:cfRule type="duplicateValues" dxfId="1520" priority="59"/>
  </x:conditionalFormatting>
  <x:conditionalFormatting sqref="H16:H19">
    <x:cfRule type="duplicateValues" dxfId="1520" priority="60"/>
    <x:cfRule type="duplicateValues" dxfId="1520" priority="60"/>
    <x:cfRule type="duplicateValues" dxfId="1520" priority="60"/>
    <x:cfRule type="duplicateValues" dxfId="1520" priority="60"/>
    <x:cfRule type="duplicateValues" dxfId="1520" priority="60"/>
    <x:cfRule type="duplicateValues" dxfId="1520" priority="60"/>
  </x:conditionalFormatting>
  <x:conditionalFormatting sqref="I16:I19">
    <x:cfRule type="duplicateValues" dxfId="1520" priority="61"/>
  </x:conditionalFormatting>
  <x:conditionalFormatting sqref="O16:O17">
    <x:cfRule type="duplicateValues" dxfId="1520" priority="62"/>
    <x:cfRule type="duplicateValues" dxfId="1520" priority="62"/>
  </x:conditionalFormatting>
  <x:conditionalFormatting sqref="O17:O17">
    <x:cfRule type="duplicateValues" dxfId="1520" priority="63"/>
    <x:cfRule type="duplicateValues" dxfId="1520" priority="63"/>
  </x:conditionalFormatting>
  <x:conditionalFormatting sqref="G16:G19">
    <x:cfRule type="duplicateValues" dxfId="1520" priority="64"/>
  </x:conditionalFormatting>
  <x:conditionalFormatting sqref="M18:M18">
    <x:cfRule type="duplicateValues" dxfId="1520" priority="65"/>
    <x:cfRule type="duplicateValues" dxfId="1520" priority="65"/>
  </x:conditionalFormatting>
  <x:conditionalFormatting sqref="O18:O19">
    <x:cfRule type="duplicateValues" dxfId="1520" priority="66"/>
    <x:cfRule type="duplicateValues" dxfId="1520" priority="66"/>
  </x:conditionalFormatting>
  <x:conditionalFormatting sqref="Q18:Q19"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</x:conditionalFormatting>
  <x:conditionalFormatting sqref="P17:P17">
    <x:cfRule type="duplicateValues" dxfId="1520" priority="68"/>
    <x:cfRule type="duplicateValues" dxfId="1520" priority="68"/>
  </x:conditionalFormatting>
  <x:conditionalFormatting sqref="L16:L16">
    <x:cfRule type="duplicateValues" dxfId="1520" priority="69"/>
    <x:cfRule type="duplicateValues" dxfId="1520" priority="69"/>
  </x:conditionalFormatting>
  <x:conditionalFormatting sqref="S18:S19">
    <x:cfRule type="duplicateValues" dxfId="1520" priority="70"/>
    <x:cfRule type="duplicateValues" dxfId="1520" priority="70"/>
    <x:cfRule type="duplicateValues" dxfId="1520" priority="70"/>
    <x:cfRule type="duplicateValues" dxfId="1520" priority="70"/>
    <x:cfRule type="duplicateValues" dxfId="1520" priority="70"/>
    <x:cfRule type="duplicateValues" dxfId="1520" priority="70"/>
  </x:conditionalFormatting>
  <x:conditionalFormatting sqref="L16:L19">
    <x:cfRule type="duplicateValues" dxfId="1520" priority="71"/>
    <x:cfRule type="duplicateValues" dxfId="1520" priority="71"/>
    <x:cfRule type="duplicateValues" dxfId="1520" priority="71"/>
    <x:cfRule type="duplicateValues" dxfId="1520" priority="71"/>
    <x:cfRule type="duplicateValues" dxfId="1520" priority="71"/>
    <x:cfRule type="duplicateValues" dxfId="1520" priority="71"/>
    <x:cfRule type="duplicateValues" dxfId="1520" priority="71"/>
    <x:cfRule type="duplicateValues" dxfId="1520" priority="71"/>
    <x:cfRule type="duplicateValues" dxfId="1520" priority="71"/>
  </x:conditionalFormatting>
  <x:conditionalFormatting sqref="U13:U13">
    <x:cfRule type="duplicateValues" dxfId="1520" priority="72"/>
    <x:cfRule type="duplicateValues" dxfId="1520" priority="72"/>
  </x:conditionalFormatting>
  <x:conditionalFormatting sqref="G12:G19">
    <x:cfRule type="duplicateValues" dxfId="1520" priority="73"/>
  </x:conditionalFormatting>
  <x:conditionalFormatting sqref="L12:L19">
    <x:cfRule type="duplicateValues" dxfId="1520" priority="74"/>
    <x:cfRule type="duplicateValues" dxfId="1520" priority="74"/>
    <x:cfRule type="duplicateValues" dxfId="1520" priority="74"/>
    <x:cfRule type="duplicateValues" dxfId="1520" priority="74"/>
  </x:conditionalFormatting>
  <x:conditionalFormatting sqref="A14:A15">
    <x:cfRule type="duplicateValues" dxfId="1520" priority="75"/>
    <x:cfRule type="duplicateValues" dxfId="1520" priority="75"/>
    <x:cfRule type="duplicateValues" dxfId="1520" priority="75"/>
    <x:cfRule type="duplicateValues" dxfId="1520" priority="75"/>
  </x:conditionalFormatting>
  <x:conditionalFormatting sqref="A18:A19">
    <x:cfRule type="duplicateValues" dxfId="1520" priority="76"/>
    <x:cfRule type="duplicateValues" dxfId="1520" priority="76"/>
    <x:cfRule type="duplicateValues" dxfId="1520" priority="76"/>
    <x:cfRule type="duplicateValues" dxfId="1520" priority="76"/>
  </x:conditionalFormatting>
  <x:conditionalFormatting sqref="I12:I19">
    <x:cfRule type="duplicateValues" dxfId="1520" priority="77"/>
  </x:conditionalFormatting>
  <x:conditionalFormatting sqref="S14:S15">
    <x:cfRule type="duplicateValues" dxfId="1520" priority="78"/>
    <x:cfRule type="duplicateValues" dxfId="1520" priority="78"/>
    <x:cfRule type="duplicateValues" dxfId="1520" priority="78"/>
    <x:cfRule type="duplicateValues" dxfId="1520" priority="78"/>
  </x:conditionalFormatting>
  <x:conditionalFormatting sqref="A12:A19">
    <x:cfRule type="duplicateValues" dxfId="1520" priority="79"/>
  </x:conditionalFormatting>
  <x:conditionalFormatting sqref="H12:H19">
    <x:cfRule type="duplicateValues" dxfId="1520" priority="80"/>
  </x:conditionalFormatting>
  <x:conditionalFormatting sqref="S16:S17">
    <x:cfRule type="duplicateValues" dxfId="1520" priority="81"/>
  </x:conditionalFormatting>
  <x:conditionalFormatting sqref="V12:V13">
    <x:cfRule type="duplicateValues" dxfId="1520" priority="82"/>
    <x:cfRule type="duplicateValues" dxfId="1520" priority="82"/>
  </x:conditionalFormatting>
  <x:conditionalFormatting sqref="T18:T19">
    <x:cfRule type="duplicateValues" dxfId="1520" priority="83"/>
    <x:cfRule type="duplicateValues" dxfId="1520" priority="83"/>
    <x:cfRule type="duplicateValues" dxfId="1520" priority="83"/>
    <x:cfRule type="duplicateValues" dxfId="1520" priority="83"/>
    <x:cfRule type="duplicateValues" dxfId="1520" priority="83"/>
    <x:cfRule type="duplicateValues" dxfId="1520" priority="83"/>
  </x:conditionalFormatting>
  <x:conditionalFormatting sqref="U16:U17">
    <x:cfRule type="duplicateValues" dxfId="1520" priority="84"/>
  </x:conditionalFormatting>
  <x:conditionalFormatting sqref="T14:T15">
    <x:cfRule type="duplicateValues" dxfId="1520" priority="85"/>
    <x:cfRule type="duplicateValues" dxfId="1520" priority="85"/>
    <x:cfRule type="duplicateValues" dxfId="1520" priority="85"/>
    <x:cfRule type="duplicateValues" dxfId="1520" priority="85"/>
    <x:cfRule type="duplicateValues" dxfId="1520" priority="85"/>
    <x:cfRule type="duplicateValues" dxfId="1520" priority="85"/>
    <x:cfRule type="duplicateValues" dxfId="1520" priority="85"/>
    <x:cfRule type="duplicateValues" dxfId="1520" priority="85"/>
  </x:conditionalFormatting>
  <x:conditionalFormatting sqref="V16:V17">
    <x:cfRule type="duplicateValues" dxfId="1520" priority="86"/>
    <x:cfRule type="duplicateValues" dxfId="1520" priority="86"/>
  </x:conditionalFormatting>
  <x:conditionalFormatting sqref="G20:G20">
    <x:cfRule type="duplicateValues" dxfId="1520" priority="87"/>
  </x:conditionalFormatting>
  <x:conditionalFormatting sqref="H22:H23">
    <x:cfRule type="duplicateValues" dxfId="1520" priority="88"/>
    <x:cfRule type="duplicateValues" dxfId="1520" priority="88"/>
    <x:cfRule type="duplicateValues" dxfId="1520" priority="88"/>
    <x:cfRule type="duplicateValues" dxfId="1520" priority="88"/>
    <x:cfRule type="duplicateValues" dxfId="1520" priority="88"/>
    <x:cfRule type="duplicateValues" dxfId="1520" priority="88"/>
  </x:conditionalFormatting>
  <x:conditionalFormatting sqref="L20:L21"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  <x:cfRule type="duplicateValues" dxfId="1520" priority="89"/>
  </x:conditionalFormatting>
  <x:conditionalFormatting sqref="I22:I23">
    <x:cfRule type="duplicateValues" dxfId="1520" priority="90"/>
  </x:conditionalFormatting>
  <x:conditionalFormatting sqref="M20:M21">
    <x:cfRule type="duplicateValues" dxfId="1520" priority="91"/>
    <x:cfRule type="duplicateValues" dxfId="1520" priority="91"/>
  </x:conditionalFormatting>
  <x:conditionalFormatting sqref="O20:O21">
    <x:cfRule type="duplicateValues" dxfId="1520" priority="92"/>
    <x:cfRule type="duplicateValues" dxfId="1520" priority="92"/>
  </x:conditionalFormatting>
  <x:conditionalFormatting sqref="O21:O21">
    <x:cfRule type="duplicateValues" dxfId="1520" priority="93"/>
    <x:cfRule type="duplicateValues" dxfId="1520" priority="93"/>
  </x:conditionalFormatting>
  <x:conditionalFormatting sqref="G20:G23">
    <x:cfRule type="duplicateValues" dxfId="1520" priority="94"/>
  </x:conditionalFormatting>
  <x:conditionalFormatting sqref="M22:M22">
    <x:cfRule type="duplicateValues" dxfId="1520" priority="95"/>
    <x:cfRule type="duplicateValues" dxfId="1520" priority="95"/>
  </x:conditionalFormatting>
  <x:conditionalFormatting sqref="O22:O23">
    <x:cfRule type="duplicateValues" dxfId="1520" priority="96"/>
    <x:cfRule type="duplicateValues" dxfId="1520" priority="96"/>
  </x:conditionalFormatting>
  <x:conditionalFormatting sqref="P21:P21">
    <x:cfRule type="duplicateValues" dxfId="1520" priority="97"/>
    <x:cfRule type="duplicateValues" dxfId="1520" priority="97"/>
  </x:conditionalFormatting>
  <x:conditionalFormatting sqref="R22:R23">
    <x:cfRule type="duplicateValues" dxfId="1520" priority="98"/>
    <x:cfRule type="duplicateValues" dxfId="1520" priority="98"/>
  </x:conditionalFormatting>
  <x:conditionalFormatting sqref="Q22:Q23"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</x:conditionalFormatting>
  <x:conditionalFormatting sqref="L22:L23">
    <x:cfRule type="duplicateValues" dxfId="1520" priority="100"/>
    <x:cfRule type="duplicateValues" dxfId="1520" priority="100"/>
    <x:cfRule type="duplicateValues" dxfId="1520" priority="100"/>
    <x:cfRule type="duplicateValues" dxfId="1520" priority="100"/>
  </x:conditionalFormatting>
  <x:conditionalFormatting sqref="G24:G24">
    <x:cfRule type="duplicateValues" dxfId="1520" priority="101"/>
  </x:conditionalFormatting>
  <x:conditionalFormatting sqref="H24:H27">
    <x:cfRule type="duplicateValues" dxfId="1520" priority="102"/>
    <x:cfRule type="duplicateValues" dxfId="1520" priority="102"/>
    <x:cfRule type="duplicateValues" dxfId="1520" priority="102"/>
    <x:cfRule type="duplicateValues" dxfId="1520" priority="102"/>
    <x:cfRule type="duplicateValues" dxfId="1520" priority="102"/>
    <x:cfRule type="duplicateValues" dxfId="1520" priority="102"/>
  </x:conditionalFormatting>
  <x:conditionalFormatting sqref="I24:I27">
    <x:cfRule type="duplicateValues" dxfId="1520" priority="103"/>
  </x:conditionalFormatting>
  <x:conditionalFormatting sqref="O24:O25">
    <x:cfRule type="duplicateValues" dxfId="1520" priority="104"/>
    <x:cfRule type="duplicateValues" dxfId="1520" priority="104"/>
  </x:conditionalFormatting>
  <x:conditionalFormatting sqref="O25:O25">
    <x:cfRule type="duplicateValues" dxfId="1520" priority="105"/>
    <x:cfRule type="duplicateValues" dxfId="1520" priority="105"/>
  </x:conditionalFormatting>
  <x:conditionalFormatting sqref="G24:G27">
    <x:cfRule type="duplicateValues" dxfId="1520" priority="106"/>
  </x:conditionalFormatting>
  <x:conditionalFormatting sqref="M26:M26">
    <x:cfRule type="duplicateValues" dxfId="1520" priority="107"/>
    <x:cfRule type="duplicateValues" dxfId="1520" priority="107"/>
  </x:conditionalFormatting>
  <x:conditionalFormatting sqref="O26:O27">
    <x:cfRule type="duplicateValues" dxfId="1520" priority="108"/>
    <x:cfRule type="duplicateValues" dxfId="1520" priority="108"/>
  </x:conditionalFormatting>
  <x:conditionalFormatting sqref="Q26:Q27">
    <x:cfRule type="duplicateValues" dxfId="1520" priority="109"/>
    <x:cfRule type="duplicateValues" dxfId="1520" priority="109"/>
    <x:cfRule type="duplicateValues" dxfId="1520" priority="109"/>
    <x:cfRule type="duplicateValues" dxfId="1520" priority="109"/>
    <x:cfRule type="duplicateValues" dxfId="1520" priority="109"/>
    <x:cfRule type="duplicateValues" dxfId="1520" priority="109"/>
  </x:conditionalFormatting>
  <x:conditionalFormatting sqref="P25:P25">
    <x:cfRule type="duplicateValues" dxfId="1520" priority="110"/>
    <x:cfRule type="duplicateValues" dxfId="1520" priority="110"/>
  </x:conditionalFormatting>
  <x:conditionalFormatting sqref="L24:L24">
    <x:cfRule type="duplicateValues" dxfId="1520" priority="111"/>
    <x:cfRule type="duplicateValues" dxfId="1520" priority="111"/>
  </x:conditionalFormatting>
  <x:conditionalFormatting sqref="S26:S27">
    <x:cfRule type="duplicateValues" dxfId="1520" priority="112"/>
    <x:cfRule type="duplicateValues" dxfId="1520" priority="112"/>
    <x:cfRule type="duplicateValues" dxfId="1520" priority="112"/>
    <x:cfRule type="duplicateValues" dxfId="1520" priority="112"/>
    <x:cfRule type="duplicateValues" dxfId="1520" priority="112"/>
    <x:cfRule type="duplicateValues" dxfId="1520" priority="112"/>
  </x:conditionalFormatting>
  <x:conditionalFormatting sqref="L24:L25">
    <x:cfRule type="duplicateValues" dxfId="1520" priority="113"/>
    <x:cfRule type="duplicateValues" dxfId="1520" priority="113"/>
    <x:cfRule type="duplicateValues" dxfId="1520" priority="113"/>
    <x:cfRule type="duplicateValues" dxfId="1520" priority="113"/>
    <x:cfRule type="duplicateValues" dxfId="1520" priority="113"/>
    <x:cfRule type="duplicateValues" dxfId="1520" priority="113"/>
    <x:cfRule type="duplicateValues" dxfId="1520" priority="113"/>
    <x:cfRule type="duplicateValues" dxfId="1520" priority="113"/>
  </x:conditionalFormatting>
  <x:conditionalFormatting sqref="L27:L27">
    <x:cfRule type="duplicateValues" dxfId="1520" priority="114"/>
    <x:cfRule type="duplicateValues" dxfId="1520" priority="114"/>
    <x:cfRule type="duplicateValues" dxfId="1520" priority="114"/>
    <x:cfRule type="duplicateValues" dxfId="1520" priority="114"/>
    <x:cfRule type="duplicateValues" dxfId="1520" priority="114"/>
    <x:cfRule type="duplicateValues" dxfId="1520" priority="114"/>
    <x:cfRule type="duplicateValues" dxfId="1520" priority="114"/>
    <x:cfRule type="duplicateValues" dxfId="1520" priority="114"/>
    <x:cfRule type="duplicateValues" dxfId="1520" priority="114"/>
  </x:conditionalFormatting>
  <x:conditionalFormatting sqref="U21:U21">
    <x:cfRule type="duplicateValues" dxfId="1520" priority="115"/>
    <x:cfRule type="duplicateValues" dxfId="1520" priority="115"/>
  </x:conditionalFormatting>
  <x:conditionalFormatting sqref="G20:G27">
    <x:cfRule type="duplicateValues" dxfId="1520" priority="116"/>
  </x:conditionalFormatting>
  <x:conditionalFormatting sqref="L20:L25">
    <x:cfRule type="duplicateValues" dxfId="1520" priority="117"/>
    <x:cfRule type="duplicateValues" dxfId="1520" priority="117"/>
    <x:cfRule type="duplicateValues" dxfId="1520" priority="117"/>
    <x:cfRule type="duplicateValues" dxfId="1520" priority="117"/>
  </x:conditionalFormatting>
  <x:conditionalFormatting sqref="A22:A23">
    <x:cfRule type="duplicateValues" dxfId="1520" priority="118"/>
    <x:cfRule type="duplicateValues" dxfId="1520" priority="118"/>
    <x:cfRule type="duplicateValues" dxfId="1520" priority="118"/>
    <x:cfRule type="duplicateValues" dxfId="1520" priority="118"/>
  </x:conditionalFormatting>
  <x:conditionalFormatting sqref="A26:A27">
    <x:cfRule type="duplicateValues" dxfId="1520" priority="119"/>
    <x:cfRule type="duplicateValues" dxfId="1520" priority="119"/>
    <x:cfRule type="duplicateValues" dxfId="1520" priority="119"/>
    <x:cfRule type="duplicateValues" dxfId="1520" priority="119"/>
  </x:conditionalFormatting>
  <x:conditionalFormatting sqref="I20:I27">
    <x:cfRule type="duplicateValues" dxfId="1520" priority="120"/>
  </x:conditionalFormatting>
  <x:conditionalFormatting sqref="S22:S23">
    <x:cfRule type="duplicateValues" dxfId="1520" priority="121"/>
    <x:cfRule type="duplicateValues" dxfId="1520" priority="121"/>
    <x:cfRule type="duplicateValues" dxfId="1520" priority="121"/>
    <x:cfRule type="duplicateValues" dxfId="1520" priority="121"/>
  </x:conditionalFormatting>
  <x:conditionalFormatting sqref="A20:A27">
    <x:cfRule type="duplicateValues" dxfId="1520" priority="122"/>
  </x:conditionalFormatting>
  <x:conditionalFormatting sqref="H20:H27">
    <x:cfRule type="duplicateValues" dxfId="1520" priority="123"/>
  </x:conditionalFormatting>
  <x:conditionalFormatting sqref="S24:S25">
    <x:cfRule type="duplicateValues" dxfId="1520" priority="124"/>
  </x:conditionalFormatting>
  <x:conditionalFormatting sqref="V20:V21">
    <x:cfRule type="duplicateValues" dxfId="1520" priority="125"/>
    <x:cfRule type="duplicateValues" dxfId="1520" priority="125"/>
  </x:conditionalFormatting>
  <x:conditionalFormatting sqref="T26:T27">
    <x:cfRule type="duplicateValues" dxfId="1520" priority="126"/>
    <x:cfRule type="duplicateValues" dxfId="1520" priority="126"/>
    <x:cfRule type="duplicateValues" dxfId="1520" priority="126"/>
    <x:cfRule type="duplicateValues" dxfId="1520" priority="126"/>
    <x:cfRule type="duplicateValues" dxfId="1520" priority="126"/>
    <x:cfRule type="duplicateValues" dxfId="1520" priority="126"/>
  </x:conditionalFormatting>
  <x:conditionalFormatting sqref="U24:U25">
    <x:cfRule type="duplicateValues" dxfId="1520" priority="127"/>
  </x:conditionalFormatting>
  <x:conditionalFormatting sqref="T22:T23">
    <x:cfRule type="duplicateValues" dxfId="1520" priority="128"/>
    <x:cfRule type="duplicateValues" dxfId="1520" priority="128"/>
    <x:cfRule type="duplicateValues" dxfId="1520" priority="128"/>
    <x:cfRule type="duplicateValues" dxfId="1520" priority="128"/>
    <x:cfRule type="duplicateValues" dxfId="1520" priority="128"/>
    <x:cfRule type="duplicateValues" dxfId="1520" priority="128"/>
    <x:cfRule type="duplicateValues" dxfId="1520" priority="128"/>
    <x:cfRule type="duplicateValues" dxfId="1520" priority="128"/>
  </x:conditionalFormatting>
  <x:conditionalFormatting sqref="V24:V25">
    <x:cfRule type="duplicateValues" dxfId="1520" priority="129"/>
    <x:cfRule type="duplicateValues" dxfId="1520" priority="129"/>
  </x:conditionalFormatting>
  <x:conditionalFormatting sqref="V6:V27">
    <x:cfRule type="duplicateValues" dxfId="1520" priority="130"/>
    <x:cfRule type="duplicateValues" dxfId="1520" priority="130"/>
  </x:conditionalFormatting>
  <x:conditionalFormatting sqref="L4:L25">
    <x:cfRule type="duplicateValues" dxfId="1520" priority="131"/>
    <x:cfRule type="duplicateValues" dxfId="1520" priority="131"/>
    <x:cfRule type="duplicateValues" dxfId="1520" priority="131"/>
  </x:conditionalFormatting>
  <x:conditionalFormatting sqref="I4:I27">
    <x:cfRule type="duplicateValues" dxfId="1520" priority="132"/>
  </x:conditionalFormatting>
  <x:conditionalFormatting sqref="Y4:Y23">
    <x:cfRule type="duplicateValues" dxfId="1520" priority="133"/>
  </x:conditionalFormatting>
  <x:conditionalFormatting sqref="Y25:Y25">
    <x:cfRule type="duplicateValues" dxfId="1520" priority="134"/>
  </x:conditionalFormatting>
  <x:conditionalFormatting sqref="L26:L26"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  <x:cfRule type="duplicateValues" dxfId="1520" priority="135"/>
  </x:conditionalFormatting>
  <x:conditionalFormatting sqref="A4:A7">
    <x:cfRule type="duplicateValues" dxfId="1520" priority="136"/>
  </x:conditionalFormatting>
  <x:conditionalFormatting sqref="A8:A11">
    <x:cfRule type="duplicateValues" dxfId="1520" priority="137"/>
  </x:conditionalFormatting>
  <x:conditionalFormatting sqref="A12:A15">
    <x:cfRule type="duplicateValues" dxfId="1520" priority="138"/>
  </x:conditionalFormatting>
  <x:conditionalFormatting sqref="A16:A19">
    <x:cfRule type="duplicateValues" dxfId="1520" priority="139"/>
  </x:conditionalFormatting>
  <x:conditionalFormatting sqref="A20:A23">
    <x:cfRule type="duplicateValues" dxfId="1520" priority="140"/>
  </x:conditionalFormatting>
  <x:conditionalFormatting sqref="A24:A27">
    <x:cfRule type="duplicateValues" dxfId="1520" priority="141"/>
  </x:conditionalFormatting>
  <x:conditionalFormatting sqref="L4:L7">
    <x:cfRule type="duplicateValues" dxfId="1520" priority="142"/>
    <x:cfRule type="duplicateValues" dxfId="1520" priority="142"/>
    <x:cfRule type="duplicateValues" dxfId="1520" priority="142"/>
    <x:cfRule type="duplicateValues" dxfId="1520" priority="142"/>
    <x:cfRule type="duplicateValues" dxfId="1520" priority="142"/>
    <x:cfRule type="duplicateValues" dxfId="1520" priority="142"/>
    <x:cfRule type="duplicateValues" dxfId="1520" priority="142"/>
  </x:conditionalFormatting>
  <x:conditionalFormatting sqref="L8:L9">
    <x:cfRule type="duplicateValues" dxfId="1520" priority="143"/>
    <x:cfRule type="duplicateValues" dxfId="1520" priority="143"/>
    <x:cfRule type="duplicateValues" dxfId="1520" priority="143"/>
    <x:cfRule type="duplicateValues" dxfId="1520" priority="143"/>
    <x:cfRule type="duplicateValues" dxfId="1520" priority="143"/>
    <x:cfRule type="duplicateValues" dxfId="1520" priority="143"/>
  </x:conditionalFormatting>
  <x:conditionalFormatting sqref="M8:M9">
    <x:cfRule type="duplicateValues" dxfId="1520" priority="144"/>
  </x:conditionalFormatting>
  <x:conditionalFormatting sqref="L10:L11">
    <x:cfRule type="duplicateValues" dxfId="1520" priority="145"/>
    <x:cfRule type="duplicateValues" dxfId="1520" priority="145"/>
  </x:conditionalFormatting>
  <x:conditionalFormatting sqref="L12:L15">
    <x:cfRule type="duplicateValues" dxfId="1520" priority="146"/>
    <x:cfRule type="duplicateValues" dxfId="1520" priority="146"/>
    <x:cfRule type="duplicateValues" dxfId="1520" priority="146"/>
    <x:cfRule type="duplicateValues" dxfId="1520" priority="146"/>
    <x:cfRule type="duplicateValues" dxfId="1520" priority="146"/>
    <x:cfRule type="duplicateValues" dxfId="1520" priority="146"/>
    <x:cfRule type="duplicateValues" dxfId="1520" priority="146"/>
  </x:conditionalFormatting>
  <x:conditionalFormatting sqref="L16:L17">
    <x:cfRule type="duplicateValues" dxfId="1520" priority="147"/>
    <x:cfRule type="duplicateValues" dxfId="1520" priority="147"/>
    <x:cfRule type="duplicateValues" dxfId="1520" priority="147"/>
    <x:cfRule type="duplicateValues" dxfId="1520" priority="147"/>
    <x:cfRule type="duplicateValues" dxfId="1520" priority="147"/>
    <x:cfRule type="duplicateValues" dxfId="1520" priority="147"/>
  </x:conditionalFormatting>
  <x:conditionalFormatting sqref="M16:M17">
    <x:cfRule type="duplicateValues" dxfId="1520" priority="148"/>
  </x:conditionalFormatting>
  <x:conditionalFormatting sqref="L18:L19">
    <x:cfRule type="duplicateValues" dxfId="1520" priority="149"/>
    <x:cfRule type="duplicateValues" dxfId="1520" priority="149"/>
  </x:conditionalFormatting>
  <x:conditionalFormatting sqref="L20:L23">
    <x:cfRule type="duplicateValues" dxfId="1520" priority="150"/>
    <x:cfRule type="duplicateValues" dxfId="1520" priority="150"/>
    <x:cfRule type="duplicateValues" dxfId="1520" priority="150"/>
    <x:cfRule type="duplicateValues" dxfId="1520" priority="150"/>
    <x:cfRule type="duplicateValues" dxfId="1520" priority="150"/>
    <x:cfRule type="duplicateValues" dxfId="1520" priority="150"/>
    <x:cfRule type="duplicateValues" dxfId="1520" priority="150"/>
  </x:conditionalFormatting>
  <x:conditionalFormatting sqref="M24:M25">
    <x:cfRule type="duplicateValues" dxfId="1520" priority="151"/>
  </x:conditionalFormatting>
  <x:conditionalFormatting sqref="L26:L27">
    <x:cfRule type="duplicateValues" dxfId="1520" priority="152"/>
    <x:cfRule type="duplicateValues" dxfId="1520" priority="152"/>
  </x:conditionalFormatting>
  <x:conditionalFormatting sqref="L24:L27">
    <x:cfRule type="duplicateValues" dxfId="1520" priority="153"/>
    <x:cfRule type="duplicateValues" dxfId="1520" priority="153"/>
    <x:cfRule type="duplicateValues" dxfId="1520" priority="153"/>
    <x:cfRule type="duplicateValues" dxfId="1520" priority="153"/>
    <x:cfRule type="duplicateValues" dxfId="1520" priority="153"/>
    <x:cfRule type="duplicateValues" dxfId="1520" priority="153"/>
    <x:cfRule type="duplicateValues" dxfId="1520" priority="153"/>
  </x:conditionalFormatting>
  <x:conditionalFormatting sqref="V6:V7">
    <x:cfRule type="duplicateValues" dxfId="1520" priority="154"/>
    <x:cfRule type="duplicateValues" dxfId="1520" priority="154"/>
  </x:conditionalFormatting>
  <x:conditionalFormatting sqref="Y4:Y7">
    <x:cfRule type="duplicateValues" dxfId="1520" priority="155"/>
  </x:conditionalFormatting>
  <x:conditionalFormatting sqref="U6:U7">
    <x:cfRule type="duplicateValues" dxfId="1520" priority="156"/>
  </x:conditionalFormatting>
  <x:conditionalFormatting sqref="R10:R11">
    <x:cfRule type="duplicateValues" dxfId="1520" priority="157"/>
  </x:conditionalFormatting>
  <x:conditionalFormatting sqref="U9:U9">
    <x:cfRule type="duplicateValues" dxfId="1520" priority="158"/>
  </x:conditionalFormatting>
  <x:conditionalFormatting sqref="V10:V11">
    <x:cfRule type="duplicateValues" dxfId="1520" priority="159"/>
    <x:cfRule type="duplicateValues" dxfId="1520" priority="159"/>
  </x:conditionalFormatting>
  <x:conditionalFormatting sqref="Y8:Y11">
    <x:cfRule type="duplicateValues" dxfId="1520" priority="160"/>
  </x:conditionalFormatting>
  <x:conditionalFormatting sqref="U10:U11">
    <x:cfRule type="duplicateValues" dxfId="1520" priority="161"/>
  </x:conditionalFormatting>
  <x:conditionalFormatting sqref="V14:V15">
    <x:cfRule type="duplicateValues" dxfId="1520" priority="162"/>
    <x:cfRule type="duplicateValues" dxfId="1520" priority="162"/>
  </x:conditionalFormatting>
  <x:conditionalFormatting sqref="Y12:Y15">
    <x:cfRule type="duplicateValues" dxfId="1520" priority="163"/>
  </x:conditionalFormatting>
  <x:conditionalFormatting sqref="U14:U15">
    <x:cfRule type="duplicateValues" dxfId="1520" priority="164"/>
  </x:conditionalFormatting>
  <x:conditionalFormatting sqref="R18:R19">
    <x:cfRule type="duplicateValues" dxfId="1520" priority="165"/>
  </x:conditionalFormatting>
  <x:conditionalFormatting sqref="U17:U17">
    <x:cfRule type="duplicateValues" dxfId="1520" priority="166"/>
  </x:conditionalFormatting>
  <x:conditionalFormatting sqref="V18:V19">
    <x:cfRule type="duplicateValues" dxfId="1520" priority="167"/>
    <x:cfRule type="duplicateValues" dxfId="1520" priority="167"/>
  </x:conditionalFormatting>
  <x:conditionalFormatting sqref="Y16:Y19">
    <x:cfRule type="duplicateValues" dxfId="1520" priority="168"/>
  </x:conditionalFormatting>
  <x:conditionalFormatting sqref="U18:U19">
    <x:cfRule type="duplicateValues" dxfId="1520" priority="169"/>
  </x:conditionalFormatting>
  <x:conditionalFormatting sqref="V22:V23">
    <x:cfRule type="duplicateValues" dxfId="1520" priority="170"/>
    <x:cfRule type="duplicateValues" dxfId="1520" priority="170"/>
  </x:conditionalFormatting>
  <x:conditionalFormatting sqref="Y20:Y23">
    <x:cfRule type="duplicateValues" dxfId="1520" priority="171"/>
  </x:conditionalFormatting>
  <x:conditionalFormatting sqref="U22:U23">
    <x:cfRule type="duplicateValues" dxfId="1520" priority="172"/>
  </x:conditionalFormatting>
  <x:conditionalFormatting sqref="R26:R27">
    <x:cfRule type="duplicateValues" dxfId="1520" priority="173"/>
  </x:conditionalFormatting>
  <x:conditionalFormatting sqref="U25:U25">
    <x:cfRule type="duplicateValues" dxfId="1520" priority="174"/>
  </x:conditionalFormatting>
  <x:conditionalFormatting sqref="V26:V27">
    <x:cfRule type="duplicateValues" dxfId="1520" priority="175"/>
    <x:cfRule type="duplicateValues" dxfId="1520" priority="175"/>
  </x:conditionalFormatting>
  <x:conditionalFormatting sqref="Y25:Y27">
    <x:cfRule type="duplicateValues" dxfId="1520" priority="176"/>
  </x:conditionalFormatting>
  <x:conditionalFormatting sqref="U26:U27">
    <x:cfRule type="duplicateValues" dxfId="1520" priority="177"/>
  </x:conditionalFormatting>
  <x:conditionalFormatting sqref="G28:G28">
    <x:cfRule type="duplicateValues" dxfId="1520" priority="178"/>
  </x:conditionalFormatting>
  <x:conditionalFormatting sqref="H30:H31">
    <x:cfRule type="duplicateValues" dxfId="1520" priority="179"/>
    <x:cfRule type="duplicateValues" dxfId="1520" priority="179"/>
    <x:cfRule type="duplicateValues" dxfId="1520" priority="179"/>
    <x:cfRule type="duplicateValues" dxfId="1520" priority="179"/>
    <x:cfRule type="duplicateValues" dxfId="1520" priority="179"/>
    <x:cfRule type="duplicateValues" dxfId="1520" priority="179"/>
  </x:conditionalFormatting>
  <x:conditionalFormatting sqref="L28:L29"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  <x:cfRule type="duplicateValues" dxfId="1520" priority="180"/>
  </x:conditionalFormatting>
  <x:conditionalFormatting sqref="I30:I31">
    <x:cfRule type="duplicateValues" dxfId="1520" priority="181"/>
  </x:conditionalFormatting>
  <x:conditionalFormatting sqref="M28:M29">
    <x:cfRule type="duplicateValues" dxfId="1520" priority="182"/>
    <x:cfRule type="duplicateValues" dxfId="1520" priority="182"/>
  </x:conditionalFormatting>
  <x:conditionalFormatting sqref="O28:O29">
    <x:cfRule type="duplicateValues" dxfId="1520" priority="183"/>
    <x:cfRule type="duplicateValues" dxfId="1520" priority="183"/>
  </x:conditionalFormatting>
  <x:conditionalFormatting sqref="O29:O29">
    <x:cfRule type="duplicateValues" dxfId="1520" priority="184"/>
    <x:cfRule type="duplicateValues" dxfId="1520" priority="184"/>
  </x:conditionalFormatting>
  <x:conditionalFormatting sqref="G28:G31">
    <x:cfRule type="duplicateValues" dxfId="1520" priority="185"/>
  </x:conditionalFormatting>
  <x:conditionalFormatting sqref="M30:M30">
    <x:cfRule type="duplicateValues" dxfId="1520" priority="186"/>
    <x:cfRule type="duplicateValues" dxfId="1520" priority="186"/>
  </x:conditionalFormatting>
  <x:conditionalFormatting sqref="O30:O31">
    <x:cfRule type="duplicateValues" dxfId="1520" priority="187"/>
    <x:cfRule type="duplicateValues" dxfId="1520" priority="187"/>
  </x:conditionalFormatting>
  <x:conditionalFormatting sqref="P29:P29">
    <x:cfRule type="duplicateValues" dxfId="1520" priority="188"/>
    <x:cfRule type="duplicateValues" dxfId="1520" priority="188"/>
  </x:conditionalFormatting>
  <x:conditionalFormatting sqref="R30:R31">
    <x:cfRule type="duplicateValues" dxfId="1520" priority="189"/>
    <x:cfRule type="duplicateValues" dxfId="1520" priority="189"/>
  </x:conditionalFormatting>
  <x:conditionalFormatting sqref="Q30:Q31">
    <x:cfRule type="duplicateValues" dxfId="1520" priority="190"/>
    <x:cfRule type="duplicateValues" dxfId="1520" priority="190"/>
    <x:cfRule type="duplicateValues" dxfId="1520" priority="190"/>
    <x:cfRule type="duplicateValues" dxfId="1520" priority="190"/>
    <x:cfRule type="duplicateValues" dxfId="1520" priority="190"/>
    <x:cfRule type="duplicateValues" dxfId="1520" priority="190"/>
    <x:cfRule type="duplicateValues" dxfId="1520" priority="190"/>
    <x:cfRule type="duplicateValues" dxfId="1520" priority="190"/>
  </x:conditionalFormatting>
  <x:conditionalFormatting sqref="L30:L31">
    <x:cfRule type="duplicateValues" dxfId="1520" priority="191"/>
    <x:cfRule type="duplicateValues" dxfId="1520" priority="191"/>
    <x:cfRule type="duplicateValues" dxfId="1520" priority="191"/>
    <x:cfRule type="duplicateValues" dxfId="1520" priority="191"/>
  </x:conditionalFormatting>
  <x:conditionalFormatting sqref="G32:G32">
    <x:cfRule type="duplicateValues" dxfId="1520" priority="192"/>
  </x:conditionalFormatting>
  <x:conditionalFormatting sqref="H32:H35">
    <x:cfRule type="duplicateValues" dxfId="1520" priority="193"/>
    <x:cfRule type="duplicateValues" dxfId="1520" priority="193"/>
    <x:cfRule type="duplicateValues" dxfId="1520" priority="193"/>
    <x:cfRule type="duplicateValues" dxfId="1520" priority="193"/>
    <x:cfRule type="duplicateValues" dxfId="1520" priority="193"/>
    <x:cfRule type="duplicateValues" dxfId="1520" priority="193"/>
  </x:conditionalFormatting>
  <x:conditionalFormatting sqref="I32:I35">
    <x:cfRule type="duplicateValues" dxfId="1520" priority="194"/>
  </x:conditionalFormatting>
  <x:conditionalFormatting sqref="O32:O33">
    <x:cfRule type="duplicateValues" dxfId="1520" priority="195"/>
    <x:cfRule type="duplicateValues" dxfId="1520" priority="195"/>
  </x:conditionalFormatting>
  <x:conditionalFormatting sqref="O33:O33">
    <x:cfRule type="duplicateValues" dxfId="1520" priority="196"/>
    <x:cfRule type="duplicateValues" dxfId="1520" priority="196"/>
  </x:conditionalFormatting>
  <x:conditionalFormatting sqref="G32:G35">
    <x:cfRule type="duplicateValues" dxfId="1520" priority="197"/>
  </x:conditionalFormatting>
  <x:conditionalFormatting sqref="M34:M34">
    <x:cfRule type="duplicateValues" dxfId="1520" priority="198"/>
    <x:cfRule type="duplicateValues" dxfId="1520" priority="198"/>
  </x:conditionalFormatting>
  <x:conditionalFormatting sqref="O34:O35">
    <x:cfRule type="duplicateValues" dxfId="1520" priority="199"/>
    <x:cfRule type="duplicateValues" dxfId="1520" priority="199"/>
  </x:conditionalFormatting>
  <x:conditionalFormatting sqref="Q34:Q35"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</x:conditionalFormatting>
  <x:conditionalFormatting sqref="P33:P33">
    <x:cfRule type="duplicateValues" dxfId="1520" priority="201"/>
    <x:cfRule type="duplicateValues" dxfId="1520" priority="201"/>
  </x:conditionalFormatting>
  <x:conditionalFormatting sqref="L32:L32">
    <x:cfRule type="duplicateValues" dxfId="1520" priority="202"/>
    <x:cfRule type="duplicateValues" dxfId="1520" priority="202"/>
  </x:conditionalFormatting>
  <x:conditionalFormatting sqref="S34:S35">
    <x:cfRule type="duplicateValues" dxfId="1520" priority="203"/>
    <x:cfRule type="duplicateValues" dxfId="1520" priority="203"/>
    <x:cfRule type="duplicateValues" dxfId="1520" priority="203"/>
    <x:cfRule type="duplicateValues" dxfId="1520" priority="203"/>
    <x:cfRule type="duplicateValues" dxfId="1520" priority="203"/>
    <x:cfRule type="duplicateValues" dxfId="1520" priority="203"/>
    <x:cfRule type="duplicateValues" dxfId="1520" priority="203"/>
  </x:conditionalFormatting>
  <x:conditionalFormatting sqref="L32:L35">
    <x:cfRule type="duplicateValues" dxfId="1520" priority="204"/>
    <x:cfRule type="duplicateValues" dxfId="1520" priority="204"/>
    <x:cfRule type="duplicateValues" dxfId="1520" priority="204"/>
    <x:cfRule type="duplicateValues" dxfId="1520" priority="204"/>
    <x:cfRule type="duplicateValues" dxfId="1520" priority="204"/>
    <x:cfRule type="duplicateValues" dxfId="1520" priority="204"/>
    <x:cfRule type="duplicateValues" dxfId="1520" priority="204"/>
    <x:cfRule type="duplicateValues" dxfId="1520" priority="204"/>
    <x:cfRule type="duplicateValues" dxfId="1520" priority="204"/>
  </x:conditionalFormatting>
  <x:conditionalFormatting sqref="U29:U29">
    <x:cfRule type="duplicateValues" dxfId="1520" priority="205"/>
    <x:cfRule type="duplicateValues" dxfId="1520" priority="205"/>
  </x:conditionalFormatting>
  <x:conditionalFormatting sqref="G28:G35">
    <x:cfRule type="duplicateValues" dxfId="1520" priority="206"/>
  </x:conditionalFormatting>
  <x:conditionalFormatting sqref="L28:L35">
    <x:cfRule type="duplicateValues" dxfId="1520" priority="207"/>
    <x:cfRule type="duplicateValues" dxfId="1520" priority="207"/>
    <x:cfRule type="duplicateValues" dxfId="1520" priority="207"/>
    <x:cfRule type="duplicateValues" dxfId="1520" priority="207"/>
  </x:conditionalFormatting>
  <x:conditionalFormatting sqref="A30:A31">
    <x:cfRule type="duplicateValues" dxfId="1520" priority="208"/>
    <x:cfRule type="duplicateValues" dxfId="1520" priority="208"/>
    <x:cfRule type="duplicateValues" dxfId="1520" priority="208"/>
    <x:cfRule type="duplicateValues" dxfId="1520" priority="208"/>
  </x:conditionalFormatting>
  <x:conditionalFormatting sqref="A34:A35">
    <x:cfRule type="duplicateValues" dxfId="1520" priority="209"/>
    <x:cfRule type="duplicateValues" dxfId="1520" priority="209"/>
    <x:cfRule type="duplicateValues" dxfId="1520" priority="209"/>
    <x:cfRule type="duplicateValues" dxfId="1520" priority="209"/>
  </x:conditionalFormatting>
  <x:conditionalFormatting sqref="I28:I35">
    <x:cfRule type="duplicateValues" dxfId="1520" priority="210"/>
  </x:conditionalFormatting>
  <x:conditionalFormatting sqref="S30:S31">
    <x:cfRule type="duplicateValues" dxfId="1520" priority="211"/>
    <x:cfRule type="duplicateValues" dxfId="1520" priority="211"/>
    <x:cfRule type="duplicateValues" dxfId="1520" priority="211"/>
    <x:cfRule type="duplicateValues" dxfId="1520" priority="211"/>
  </x:conditionalFormatting>
  <x:conditionalFormatting sqref="A28:A35">
    <x:cfRule type="duplicateValues" dxfId="1520" priority="212"/>
  </x:conditionalFormatting>
  <x:conditionalFormatting sqref="H28:H35">
    <x:cfRule type="duplicateValues" dxfId="1520" priority="213"/>
  </x:conditionalFormatting>
  <x:conditionalFormatting sqref="S32:S33">
    <x:cfRule type="duplicateValues" dxfId="1520" priority="214"/>
  </x:conditionalFormatting>
  <x:conditionalFormatting sqref="V28:V29">
    <x:cfRule type="duplicateValues" dxfId="1520" priority="215"/>
    <x:cfRule type="duplicateValues" dxfId="1520" priority="215"/>
  </x:conditionalFormatting>
  <x:conditionalFormatting sqref="T34:T35"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</x:conditionalFormatting>
  <x:conditionalFormatting sqref="U32:U33">
    <x:cfRule type="duplicateValues" dxfId="1520" priority="217"/>
  </x:conditionalFormatting>
  <x:conditionalFormatting sqref="T30:T31">
    <x:cfRule type="duplicateValues" dxfId="1520" priority="218"/>
    <x:cfRule type="duplicateValues" dxfId="1520" priority="218"/>
    <x:cfRule type="duplicateValues" dxfId="1520" priority="218"/>
    <x:cfRule type="duplicateValues" dxfId="1520" priority="218"/>
    <x:cfRule type="duplicateValues" dxfId="1520" priority="218"/>
    <x:cfRule type="duplicateValues" dxfId="1520" priority="218"/>
    <x:cfRule type="duplicateValues" dxfId="1520" priority="218"/>
    <x:cfRule type="duplicateValues" dxfId="1520" priority="218"/>
  </x:conditionalFormatting>
  <x:conditionalFormatting sqref="V32:V33">
    <x:cfRule type="duplicateValues" dxfId="1520" priority="219"/>
    <x:cfRule type="duplicateValues" dxfId="1520" priority="219"/>
  </x:conditionalFormatting>
  <x:conditionalFormatting sqref="G36:G36">
    <x:cfRule type="duplicateValues" dxfId="1520" priority="220"/>
  </x:conditionalFormatting>
  <x:conditionalFormatting sqref="H38:H39">
    <x:cfRule type="duplicateValues" dxfId="1520" priority="221"/>
    <x:cfRule type="duplicateValues" dxfId="1520" priority="221"/>
    <x:cfRule type="duplicateValues" dxfId="1520" priority="221"/>
    <x:cfRule type="duplicateValues" dxfId="1520" priority="221"/>
    <x:cfRule type="duplicateValues" dxfId="1520" priority="221"/>
    <x:cfRule type="duplicateValues" dxfId="1520" priority="221"/>
  </x:conditionalFormatting>
  <x:conditionalFormatting sqref="L36:L37"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</x:conditionalFormatting>
  <x:conditionalFormatting sqref="I38:I39">
    <x:cfRule type="duplicateValues" dxfId="1520" priority="223"/>
  </x:conditionalFormatting>
  <x:conditionalFormatting sqref="M36:M37">
    <x:cfRule type="duplicateValues" dxfId="1520" priority="224"/>
    <x:cfRule type="duplicateValues" dxfId="1520" priority="224"/>
  </x:conditionalFormatting>
  <x:conditionalFormatting sqref="O36:O37">
    <x:cfRule type="duplicateValues" dxfId="1520" priority="225"/>
    <x:cfRule type="duplicateValues" dxfId="1520" priority="225"/>
  </x:conditionalFormatting>
  <x:conditionalFormatting sqref="O37:O37">
    <x:cfRule type="duplicateValues" dxfId="1520" priority="226"/>
    <x:cfRule type="duplicateValues" dxfId="1520" priority="226"/>
  </x:conditionalFormatting>
  <x:conditionalFormatting sqref="G36:G39">
    <x:cfRule type="duplicateValues" dxfId="1520" priority="227"/>
  </x:conditionalFormatting>
  <x:conditionalFormatting sqref="M38:M38">
    <x:cfRule type="duplicateValues" dxfId="1520" priority="228"/>
    <x:cfRule type="duplicateValues" dxfId="1520" priority="228"/>
  </x:conditionalFormatting>
  <x:conditionalFormatting sqref="O38:O39">
    <x:cfRule type="duplicateValues" dxfId="1520" priority="229"/>
    <x:cfRule type="duplicateValues" dxfId="1520" priority="229"/>
  </x:conditionalFormatting>
  <x:conditionalFormatting sqref="P37:P37">
    <x:cfRule type="duplicateValues" dxfId="1520" priority="230"/>
    <x:cfRule type="duplicateValues" dxfId="1520" priority="230"/>
  </x:conditionalFormatting>
  <x:conditionalFormatting sqref="R38:R39">
    <x:cfRule type="duplicateValues" dxfId="1520" priority="231"/>
    <x:cfRule type="duplicateValues" dxfId="1520" priority="231"/>
  </x:conditionalFormatting>
  <x:conditionalFormatting sqref="Q38:Q39">
    <x:cfRule type="duplicateValues" dxfId="1520" priority="232"/>
    <x:cfRule type="duplicateValues" dxfId="1520" priority="232"/>
    <x:cfRule type="duplicateValues" dxfId="1520" priority="232"/>
    <x:cfRule type="duplicateValues" dxfId="1520" priority="232"/>
    <x:cfRule type="duplicateValues" dxfId="1520" priority="232"/>
    <x:cfRule type="duplicateValues" dxfId="1520" priority="232"/>
    <x:cfRule type="duplicateValues" dxfId="1520" priority="232"/>
    <x:cfRule type="duplicateValues" dxfId="1520" priority="232"/>
  </x:conditionalFormatting>
  <x:conditionalFormatting sqref="L38:L39">
    <x:cfRule type="duplicateValues" dxfId="1520" priority="233"/>
    <x:cfRule type="duplicateValues" dxfId="1520" priority="233"/>
    <x:cfRule type="duplicateValues" dxfId="1520" priority="233"/>
    <x:cfRule type="duplicateValues" dxfId="1520" priority="233"/>
  </x:conditionalFormatting>
  <x:conditionalFormatting sqref="G40:G40">
    <x:cfRule type="duplicateValues" dxfId="1520" priority="234"/>
  </x:conditionalFormatting>
  <x:conditionalFormatting sqref="H40:H43">
    <x:cfRule type="duplicateValues" dxfId="1520" priority="235"/>
    <x:cfRule type="duplicateValues" dxfId="1520" priority="235"/>
    <x:cfRule type="duplicateValues" dxfId="1520" priority="235"/>
    <x:cfRule type="duplicateValues" dxfId="1520" priority="235"/>
    <x:cfRule type="duplicateValues" dxfId="1520" priority="235"/>
    <x:cfRule type="duplicateValues" dxfId="1520" priority="235"/>
  </x:conditionalFormatting>
  <x:conditionalFormatting sqref="I40:I43">
    <x:cfRule type="duplicateValues" dxfId="1520" priority="236"/>
  </x:conditionalFormatting>
  <x:conditionalFormatting sqref="O40:O41">
    <x:cfRule type="duplicateValues" dxfId="1520" priority="237"/>
    <x:cfRule type="duplicateValues" dxfId="1520" priority="237"/>
  </x:conditionalFormatting>
  <x:conditionalFormatting sqref="O41:O41">
    <x:cfRule type="duplicateValues" dxfId="1520" priority="238"/>
    <x:cfRule type="duplicateValues" dxfId="1520" priority="238"/>
  </x:conditionalFormatting>
  <x:conditionalFormatting sqref="G40:G43">
    <x:cfRule type="duplicateValues" dxfId="1520" priority="239"/>
  </x:conditionalFormatting>
  <x:conditionalFormatting sqref="M42:M42">
    <x:cfRule type="duplicateValues" dxfId="1520" priority="240"/>
    <x:cfRule type="duplicateValues" dxfId="1520" priority="240"/>
  </x:conditionalFormatting>
  <x:conditionalFormatting sqref="O42:O43">
    <x:cfRule type="duplicateValues" dxfId="1520" priority="241"/>
    <x:cfRule type="duplicateValues" dxfId="1520" priority="241"/>
  </x:conditionalFormatting>
  <x:conditionalFormatting sqref="Q42:Q43">
    <x:cfRule type="duplicateValues" dxfId="1520" priority="242"/>
    <x:cfRule type="duplicateValues" dxfId="1520" priority="242"/>
    <x:cfRule type="duplicateValues" dxfId="1520" priority="242"/>
    <x:cfRule type="duplicateValues" dxfId="1520" priority="242"/>
    <x:cfRule type="duplicateValues" dxfId="1520" priority="242"/>
    <x:cfRule type="duplicateValues" dxfId="1520" priority="242"/>
  </x:conditionalFormatting>
  <x:conditionalFormatting sqref="P41:P41">
    <x:cfRule type="duplicateValues" dxfId="1520" priority="243"/>
    <x:cfRule type="duplicateValues" dxfId="1520" priority="243"/>
  </x:conditionalFormatting>
  <x:conditionalFormatting sqref="L40:L40">
    <x:cfRule type="duplicateValues" dxfId="1520" priority="244"/>
    <x:cfRule type="duplicateValues" dxfId="1520" priority="244"/>
  </x:conditionalFormatting>
  <x:conditionalFormatting sqref="S42:S43">
    <x:cfRule type="duplicateValues" dxfId="1520" priority="245"/>
    <x:cfRule type="duplicateValues" dxfId="1520" priority="245"/>
    <x:cfRule type="duplicateValues" dxfId="1520" priority="245"/>
    <x:cfRule type="duplicateValues" dxfId="1520" priority="245"/>
    <x:cfRule type="duplicateValues" dxfId="1520" priority="245"/>
    <x:cfRule type="duplicateValues" dxfId="1520" priority="245"/>
  </x:conditionalFormatting>
  <x:conditionalFormatting sqref="L40:L43">
    <x:cfRule type="duplicateValues" dxfId="1520" priority="246"/>
    <x:cfRule type="duplicateValues" dxfId="1520" priority="246"/>
    <x:cfRule type="duplicateValues" dxfId="1520" priority="246"/>
    <x:cfRule type="duplicateValues" dxfId="1520" priority="246"/>
    <x:cfRule type="duplicateValues" dxfId="1520" priority="246"/>
    <x:cfRule type="duplicateValues" dxfId="1520" priority="246"/>
    <x:cfRule type="duplicateValues" dxfId="1520" priority="246"/>
    <x:cfRule type="duplicateValues" dxfId="1520" priority="246"/>
    <x:cfRule type="duplicateValues" dxfId="1520" priority="246"/>
  </x:conditionalFormatting>
  <x:conditionalFormatting sqref="U37:U37">
    <x:cfRule type="duplicateValues" dxfId="1520" priority="247"/>
    <x:cfRule type="duplicateValues" dxfId="1520" priority="247"/>
  </x:conditionalFormatting>
  <x:conditionalFormatting sqref="G36:G43">
    <x:cfRule type="duplicateValues" dxfId="1520" priority="248"/>
  </x:conditionalFormatting>
  <x:conditionalFormatting sqref="L36:L43">
    <x:cfRule type="duplicateValues" dxfId="1520" priority="249"/>
    <x:cfRule type="duplicateValues" dxfId="1520" priority="249"/>
    <x:cfRule type="duplicateValues" dxfId="1520" priority="249"/>
    <x:cfRule type="duplicateValues" dxfId="1520" priority="249"/>
  </x:conditionalFormatting>
  <x:conditionalFormatting sqref="A38:A39">
    <x:cfRule type="duplicateValues" dxfId="1520" priority="250"/>
    <x:cfRule type="duplicateValues" dxfId="1520" priority="250"/>
    <x:cfRule type="duplicateValues" dxfId="1520" priority="250"/>
    <x:cfRule type="duplicateValues" dxfId="1520" priority="250"/>
  </x:conditionalFormatting>
  <x:conditionalFormatting sqref="A42:A43">
    <x:cfRule type="duplicateValues" dxfId="1520" priority="251"/>
    <x:cfRule type="duplicateValues" dxfId="1520" priority="251"/>
    <x:cfRule type="duplicateValues" dxfId="1520" priority="251"/>
    <x:cfRule type="duplicateValues" dxfId="1520" priority="251"/>
  </x:conditionalFormatting>
  <x:conditionalFormatting sqref="I36:I43">
    <x:cfRule type="duplicateValues" dxfId="1520" priority="252"/>
  </x:conditionalFormatting>
  <x:conditionalFormatting sqref="S38:S39">
    <x:cfRule type="duplicateValues" dxfId="1520" priority="253"/>
    <x:cfRule type="duplicateValues" dxfId="1520" priority="253"/>
    <x:cfRule type="duplicateValues" dxfId="1520" priority="253"/>
    <x:cfRule type="duplicateValues" dxfId="1520" priority="253"/>
  </x:conditionalFormatting>
  <x:conditionalFormatting sqref="A36:A43">
    <x:cfRule type="duplicateValues" dxfId="1520" priority="254"/>
  </x:conditionalFormatting>
  <x:conditionalFormatting sqref="H36:H43">
    <x:cfRule type="duplicateValues" dxfId="1520" priority="255"/>
  </x:conditionalFormatting>
  <x:conditionalFormatting sqref="S40:S41">
    <x:cfRule type="duplicateValues" dxfId="1520" priority="256"/>
  </x:conditionalFormatting>
  <x:conditionalFormatting sqref="V36:V37">
    <x:cfRule type="duplicateValues" dxfId="1520" priority="257"/>
    <x:cfRule type="duplicateValues" dxfId="1520" priority="257"/>
  </x:conditionalFormatting>
  <x:conditionalFormatting sqref="T42:T43">
    <x:cfRule type="duplicateValues" dxfId="1520" priority="258"/>
    <x:cfRule type="duplicateValues" dxfId="1520" priority="258"/>
    <x:cfRule type="duplicateValues" dxfId="1520" priority="258"/>
    <x:cfRule type="duplicateValues" dxfId="1520" priority="258"/>
    <x:cfRule type="duplicateValues" dxfId="1520" priority="258"/>
    <x:cfRule type="duplicateValues" dxfId="1520" priority="258"/>
  </x:conditionalFormatting>
  <x:conditionalFormatting sqref="U40:U41">
    <x:cfRule type="duplicateValues" dxfId="1520" priority="259"/>
  </x:conditionalFormatting>
  <x:conditionalFormatting sqref="T38:T39">
    <x:cfRule type="duplicateValues" dxfId="1520" priority="260"/>
    <x:cfRule type="duplicateValues" dxfId="1520" priority="260"/>
    <x:cfRule type="duplicateValues" dxfId="1520" priority="260"/>
    <x:cfRule type="duplicateValues" dxfId="1520" priority="260"/>
    <x:cfRule type="duplicateValues" dxfId="1520" priority="260"/>
    <x:cfRule type="duplicateValues" dxfId="1520" priority="260"/>
    <x:cfRule type="duplicateValues" dxfId="1520" priority="260"/>
    <x:cfRule type="duplicateValues" dxfId="1520" priority="260"/>
  </x:conditionalFormatting>
  <x:conditionalFormatting sqref="V40:V41">
    <x:cfRule type="duplicateValues" dxfId="1520" priority="261"/>
    <x:cfRule type="duplicateValues" dxfId="1520" priority="261"/>
  </x:conditionalFormatting>
  <x:conditionalFormatting sqref="G44:G44">
    <x:cfRule type="duplicateValues" dxfId="1520" priority="262"/>
  </x:conditionalFormatting>
  <x:conditionalFormatting sqref="H46:H47">
    <x:cfRule type="duplicateValues" dxfId="1520" priority="263"/>
    <x:cfRule type="duplicateValues" dxfId="1520" priority="263"/>
    <x:cfRule type="duplicateValues" dxfId="1520" priority="263"/>
    <x:cfRule type="duplicateValues" dxfId="1520" priority="263"/>
    <x:cfRule type="duplicateValues" dxfId="1520" priority="263"/>
    <x:cfRule type="duplicateValues" dxfId="1520" priority="263"/>
  </x:conditionalFormatting>
  <x:conditionalFormatting sqref="L44:L45"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  <x:cfRule type="duplicateValues" dxfId="1520" priority="264"/>
  </x:conditionalFormatting>
  <x:conditionalFormatting sqref="I46:I47">
    <x:cfRule type="duplicateValues" dxfId="1520" priority="265"/>
  </x:conditionalFormatting>
  <x:conditionalFormatting sqref="M44:M45">
    <x:cfRule type="duplicateValues" dxfId="1520" priority="266"/>
    <x:cfRule type="duplicateValues" dxfId="1520" priority="266"/>
  </x:conditionalFormatting>
  <x:conditionalFormatting sqref="O44:O45">
    <x:cfRule type="duplicateValues" dxfId="1520" priority="267"/>
    <x:cfRule type="duplicateValues" dxfId="1520" priority="267"/>
  </x:conditionalFormatting>
  <x:conditionalFormatting sqref="O45:O45">
    <x:cfRule type="duplicateValues" dxfId="1520" priority="268"/>
    <x:cfRule type="duplicateValues" dxfId="1520" priority="268"/>
  </x:conditionalFormatting>
  <x:conditionalFormatting sqref="G44:G47">
    <x:cfRule type="duplicateValues" dxfId="1520" priority="269"/>
  </x:conditionalFormatting>
  <x:conditionalFormatting sqref="M46:M46">
    <x:cfRule type="duplicateValues" dxfId="1520" priority="270"/>
    <x:cfRule type="duplicateValues" dxfId="1520" priority="270"/>
  </x:conditionalFormatting>
  <x:conditionalFormatting sqref="O46:O47">
    <x:cfRule type="duplicateValues" dxfId="1520" priority="271"/>
    <x:cfRule type="duplicateValues" dxfId="1520" priority="271"/>
  </x:conditionalFormatting>
  <x:conditionalFormatting sqref="P45:P45">
    <x:cfRule type="duplicateValues" dxfId="1520" priority="272"/>
    <x:cfRule type="duplicateValues" dxfId="1520" priority="272"/>
  </x:conditionalFormatting>
  <x:conditionalFormatting sqref="R46:R47">
    <x:cfRule type="duplicateValues" dxfId="1520" priority="273"/>
    <x:cfRule type="duplicateValues" dxfId="1520" priority="273"/>
  </x:conditionalFormatting>
  <x:conditionalFormatting sqref="Q46:Q47">
    <x:cfRule type="duplicateValues" dxfId="1520" priority="274"/>
    <x:cfRule type="duplicateValues" dxfId="1520" priority="274"/>
    <x:cfRule type="duplicateValues" dxfId="1520" priority="274"/>
    <x:cfRule type="duplicateValues" dxfId="1520" priority="274"/>
    <x:cfRule type="duplicateValues" dxfId="1520" priority="274"/>
    <x:cfRule type="duplicateValues" dxfId="1520" priority="274"/>
    <x:cfRule type="duplicateValues" dxfId="1520" priority="274"/>
    <x:cfRule type="duplicateValues" dxfId="1520" priority="274"/>
  </x:conditionalFormatting>
  <x:conditionalFormatting sqref="L46:L46">
    <x:cfRule type="duplicateValues" dxfId="1520" priority="275"/>
    <x:cfRule type="duplicateValues" dxfId="1520" priority="275"/>
    <x:cfRule type="duplicateValues" dxfId="1520" priority="275"/>
    <x:cfRule type="duplicateValues" dxfId="1520" priority="275"/>
  </x:conditionalFormatting>
  <x:conditionalFormatting sqref="G48:G48">
    <x:cfRule type="duplicateValues" dxfId="1520" priority="276"/>
  </x:conditionalFormatting>
  <x:conditionalFormatting sqref="H48:H51">
    <x:cfRule type="duplicateValues" dxfId="1520" priority="277"/>
    <x:cfRule type="duplicateValues" dxfId="1520" priority="277"/>
    <x:cfRule type="duplicateValues" dxfId="1520" priority="277"/>
    <x:cfRule type="duplicateValues" dxfId="1520" priority="277"/>
    <x:cfRule type="duplicateValues" dxfId="1520" priority="277"/>
    <x:cfRule type="duplicateValues" dxfId="1520" priority="277"/>
  </x:conditionalFormatting>
  <x:conditionalFormatting sqref="I48:I51">
    <x:cfRule type="duplicateValues" dxfId="1520" priority="278"/>
  </x:conditionalFormatting>
  <x:conditionalFormatting sqref="O48:O49">
    <x:cfRule type="duplicateValues" dxfId="1520" priority="279"/>
    <x:cfRule type="duplicateValues" dxfId="1520" priority="279"/>
  </x:conditionalFormatting>
  <x:conditionalFormatting sqref="O49:O49">
    <x:cfRule type="duplicateValues" dxfId="1520" priority="280"/>
    <x:cfRule type="duplicateValues" dxfId="1520" priority="280"/>
  </x:conditionalFormatting>
  <x:conditionalFormatting sqref="G48:G51">
    <x:cfRule type="duplicateValues" dxfId="1520" priority="281"/>
  </x:conditionalFormatting>
  <x:conditionalFormatting sqref="M50:M50">
    <x:cfRule type="duplicateValues" dxfId="1520" priority="282"/>
    <x:cfRule type="duplicateValues" dxfId="1520" priority="282"/>
  </x:conditionalFormatting>
  <x:conditionalFormatting sqref="O50:O51">
    <x:cfRule type="duplicateValues" dxfId="1520" priority="283"/>
    <x:cfRule type="duplicateValues" dxfId="1520" priority="283"/>
  </x:conditionalFormatting>
  <x:conditionalFormatting sqref="Q50:Q51">
    <x:cfRule type="duplicateValues" dxfId="1520" priority="284"/>
    <x:cfRule type="duplicateValues" dxfId="1520" priority="284"/>
    <x:cfRule type="duplicateValues" dxfId="1520" priority="284"/>
    <x:cfRule type="duplicateValues" dxfId="1520" priority="284"/>
    <x:cfRule type="duplicateValues" dxfId="1520" priority="284"/>
    <x:cfRule type="duplicateValues" dxfId="1520" priority="284"/>
  </x:conditionalFormatting>
  <x:conditionalFormatting sqref="P49:P49">
    <x:cfRule type="duplicateValues" dxfId="1520" priority="285"/>
    <x:cfRule type="duplicateValues" dxfId="1520" priority="285"/>
  </x:conditionalFormatting>
  <x:conditionalFormatting sqref="L48:L48">
    <x:cfRule type="duplicateValues" dxfId="1520" priority="286"/>
    <x:cfRule type="duplicateValues" dxfId="1520" priority="286"/>
  </x:conditionalFormatting>
  <x:conditionalFormatting sqref="S50:S51">
    <x:cfRule type="duplicateValues" dxfId="1520" priority="287"/>
    <x:cfRule type="duplicateValues" dxfId="1520" priority="287"/>
    <x:cfRule type="duplicateValues" dxfId="1520" priority="287"/>
    <x:cfRule type="duplicateValues" dxfId="1520" priority="287"/>
    <x:cfRule type="duplicateValues" dxfId="1520" priority="287"/>
    <x:cfRule type="duplicateValues" dxfId="1520" priority="287"/>
  </x:conditionalFormatting>
  <x:conditionalFormatting sqref="L48:L49"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  <x:cfRule type="duplicateValues" dxfId="1520" priority="288"/>
  </x:conditionalFormatting>
  <x:conditionalFormatting sqref="L51:L51">
    <x:cfRule type="duplicateValues" dxfId="1520" priority="289"/>
    <x:cfRule type="duplicateValues" dxfId="1520" priority="289"/>
    <x:cfRule type="duplicateValues" dxfId="1520" priority="289"/>
    <x:cfRule type="duplicateValues" dxfId="1520" priority="289"/>
    <x:cfRule type="duplicateValues" dxfId="1520" priority="289"/>
    <x:cfRule type="duplicateValues" dxfId="1520" priority="289"/>
    <x:cfRule type="duplicateValues" dxfId="1520" priority="289"/>
    <x:cfRule type="duplicateValues" dxfId="1520" priority="289"/>
    <x:cfRule type="duplicateValues" dxfId="1520" priority="289"/>
  </x:conditionalFormatting>
  <x:conditionalFormatting sqref="U45:U45">
    <x:cfRule type="duplicateValues" dxfId="1520" priority="290"/>
    <x:cfRule type="duplicateValues" dxfId="1520" priority="290"/>
  </x:conditionalFormatting>
  <x:conditionalFormatting sqref="G44:G51">
    <x:cfRule type="duplicateValues" dxfId="1520" priority="291"/>
  </x:conditionalFormatting>
  <x:conditionalFormatting sqref="L44:L46"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  <x:cfRule type="duplicateValues" dxfId="1520" priority="292"/>
  </x:conditionalFormatting>
  <x:conditionalFormatting sqref="A46:A47">
    <x:cfRule type="duplicateValues" dxfId="1520" priority="293"/>
    <x:cfRule type="duplicateValues" dxfId="1520" priority="293"/>
    <x:cfRule type="duplicateValues" dxfId="1520" priority="293"/>
    <x:cfRule type="duplicateValues" dxfId="1520" priority="293"/>
  </x:conditionalFormatting>
  <x:conditionalFormatting sqref="A50:A51">
    <x:cfRule type="duplicateValues" dxfId="1520" priority="294"/>
    <x:cfRule type="duplicateValues" dxfId="1520" priority="294"/>
    <x:cfRule type="duplicateValues" dxfId="1520" priority="294"/>
    <x:cfRule type="duplicateValues" dxfId="1520" priority="294"/>
  </x:conditionalFormatting>
  <x:conditionalFormatting sqref="I44:I51">
    <x:cfRule type="duplicateValues" dxfId="1520" priority="295"/>
  </x:conditionalFormatting>
  <x:conditionalFormatting sqref="S46:S47">
    <x:cfRule type="duplicateValues" dxfId="1520" priority="296"/>
    <x:cfRule type="duplicateValues" dxfId="1520" priority="296"/>
    <x:cfRule type="duplicateValues" dxfId="1520" priority="296"/>
    <x:cfRule type="duplicateValues" dxfId="1520" priority="296"/>
  </x:conditionalFormatting>
  <x:conditionalFormatting sqref="A44:A51">
    <x:cfRule type="duplicateValues" dxfId="1520" priority="297"/>
  </x:conditionalFormatting>
  <x:conditionalFormatting sqref="H44:H51">
    <x:cfRule type="duplicateValues" dxfId="1520" priority="298"/>
  </x:conditionalFormatting>
  <x:conditionalFormatting sqref="S48:S49">
    <x:cfRule type="duplicateValues" dxfId="1520" priority="299"/>
  </x:conditionalFormatting>
  <x:conditionalFormatting sqref="V44:V45">
    <x:cfRule type="duplicateValues" dxfId="1520" priority="300"/>
    <x:cfRule type="duplicateValues" dxfId="1520" priority="300"/>
  </x:conditionalFormatting>
  <x:conditionalFormatting sqref="T50:T51">
    <x:cfRule type="duplicateValues" dxfId="1520" priority="301"/>
    <x:cfRule type="duplicateValues" dxfId="1520" priority="301"/>
    <x:cfRule type="duplicateValues" dxfId="1520" priority="301"/>
    <x:cfRule type="duplicateValues" dxfId="1520" priority="301"/>
    <x:cfRule type="duplicateValues" dxfId="1520" priority="301"/>
    <x:cfRule type="duplicateValues" dxfId="1520" priority="301"/>
  </x:conditionalFormatting>
  <x:conditionalFormatting sqref="U48:U49">
    <x:cfRule type="duplicateValues" dxfId="1520" priority="302"/>
  </x:conditionalFormatting>
  <x:conditionalFormatting sqref="T46:T47">
    <x:cfRule type="duplicateValues" dxfId="1520" priority="303"/>
    <x:cfRule type="duplicateValues" dxfId="1520" priority="303"/>
    <x:cfRule type="duplicateValues" dxfId="1520" priority="303"/>
    <x:cfRule type="duplicateValues" dxfId="1520" priority="303"/>
    <x:cfRule type="duplicateValues" dxfId="1520" priority="303"/>
    <x:cfRule type="duplicateValues" dxfId="1520" priority="303"/>
    <x:cfRule type="duplicateValues" dxfId="1520" priority="303"/>
    <x:cfRule type="duplicateValues" dxfId="1520" priority="303"/>
  </x:conditionalFormatting>
  <x:conditionalFormatting sqref="V48:V49">
    <x:cfRule type="duplicateValues" dxfId="1520" priority="304"/>
    <x:cfRule type="duplicateValues" dxfId="1520" priority="304"/>
  </x:conditionalFormatting>
  <x:conditionalFormatting sqref="V30:V51">
    <x:cfRule type="duplicateValues" dxfId="1520" priority="305"/>
    <x:cfRule type="duplicateValues" dxfId="1520" priority="305"/>
  </x:conditionalFormatting>
  <x:conditionalFormatting sqref="L28:L46">
    <x:cfRule type="duplicateValues" dxfId="1520" priority="306"/>
    <x:cfRule type="duplicateValues" dxfId="1520" priority="306"/>
    <x:cfRule type="duplicateValues" dxfId="1520" priority="306"/>
  </x:conditionalFormatting>
  <x:conditionalFormatting sqref="I28:I51">
    <x:cfRule type="duplicateValues" dxfId="1520" priority="307"/>
  </x:conditionalFormatting>
  <x:conditionalFormatting sqref="Y28:Y47">
    <x:cfRule type="duplicateValues" dxfId="1520" priority="308"/>
  </x:conditionalFormatting>
  <x:conditionalFormatting sqref="Y49:Y49">
    <x:cfRule type="duplicateValues" dxfId="1520" priority="309"/>
  </x:conditionalFormatting>
  <x:conditionalFormatting sqref="L50:L50"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  <x:cfRule type="duplicateValues" dxfId="1520" priority="310"/>
  </x:conditionalFormatting>
  <x:conditionalFormatting sqref="A28:A31">
    <x:cfRule type="duplicateValues" dxfId="1520" priority="311"/>
  </x:conditionalFormatting>
  <x:conditionalFormatting sqref="A32:A35">
    <x:cfRule type="duplicateValues" dxfId="1520" priority="312"/>
  </x:conditionalFormatting>
  <x:conditionalFormatting sqref="A36:A39">
    <x:cfRule type="duplicateValues" dxfId="1520" priority="313"/>
  </x:conditionalFormatting>
  <x:conditionalFormatting sqref="A40:A43">
    <x:cfRule type="duplicateValues" dxfId="1520" priority="314"/>
  </x:conditionalFormatting>
  <x:conditionalFormatting sqref="A44:A47">
    <x:cfRule type="duplicateValues" dxfId="1520" priority="315"/>
  </x:conditionalFormatting>
  <x:conditionalFormatting sqref="A48:A51">
    <x:cfRule type="duplicateValues" dxfId="1520" priority="316"/>
  </x:conditionalFormatting>
  <x:conditionalFormatting sqref="L28:L31">
    <x:cfRule type="duplicateValues" dxfId="1520" priority="317"/>
    <x:cfRule type="duplicateValues" dxfId="1520" priority="317"/>
    <x:cfRule type="duplicateValues" dxfId="1520" priority="317"/>
    <x:cfRule type="duplicateValues" dxfId="1520" priority="317"/>
    <x:cfRule type="duplicateValues" dxfId="1520" priority="317"/>
    <x:cfRule type="duplicateValues" dxfId="1520" priority="317"/>
    <x:cfRule type="duplicateValues" dxfId="1520" priority="317"/>
  </x:conditionalFormatting>
  <x:conditionalFormatting sqref="L32:L33">
    <x:cfRule type="duplicateValues" dxfId="1520" priority="318"/>
    <x:cfRule type="duplicateValues" dxfId="1520" priority="318"/>
    <x:cfRule type="duplicateValues" dxfId="1520" priority="318"/>
    <x:cfRule type="duplicateValues" dxfId="1520" priority="318"/>
    <x:cfRule type="duplicateValues" dxfId="1520" priority="318"/>
    <x:cfRule type="duplicateValues" dxfId="1520" priority="318"/>
  </x:conditionalFormatting>
  <x:conditionalFormatting sqref="M32:M33">
    <x:cfRule type="duplicateValues" dxfId="1520" priority="319"/>
  </x:conditionalFormatting>
  <x:conditionalFormatting sqref="L34:L35">
    <x:cfRule type="duplicateValues" dxfId="1520" priority="320"/>
    <x:cfRule type="duplicateValues" dxfId="1520" priority="320"/>
  </x:conditionalFormatting>
  <x:conditionalFormatting sqref="L36:L39">
    <x:cfRule type="duplicateValues" dxfId="1520" priority="321"/>
    <x:cfRule type="duplicateValues" dxfId="1520" priority="321"/>
    <x:cfRule type="duplicateValues" dxfId="1520" priority="321"/>
    <x:cfRule type="duplicateValues" dxfId="1520" priority="321"/>
    <x:cfRule type="duplicateValues" dxfId="1520" priority="321"/>
    <x:cfRule type="duplicateValues" dxfId="1520" priority="321"/>
    <x:cfRule type="duplicateValues" dxfId="1520" priority="321"/>
  </x:conditionalFormatting>
  <x:conditionalFormatting sqref="L40:L41">
    <x:cfRule type="duplicateValues" dxfId="1520" priority="322"/>
    <x:cfRule type="duplicateValues" dxfId="1520" priority="322"/>
    <x:cfRule type="duplicateValues" dxfId="1520" priority="322"/>
    <x:cfRule type="duplicateValues" dxfId="1520" priority="322"/>
    <x:cfRule type="duplicateValues" dxfId="1520" priority="322"/>
    <x:cfRule type="duplicateValues" dxfId="1520" priority="322"/>
  </x:conditionalFormatting>
  <x:conditionalFormatting sqref="M40:M41">
    <x:cfRule type="duplicateValues" dxfId="1520" priority="323"/>
  </x:conditionalFormatting>
  <x:conditionalFormatting sqref="L42:L43">
    <x:cfRule type="duplicateValues" dxfId="1520" priority="324"/>
    <x:cfRule type="duplicateValues" dxfId="1520" priority="324"/>
  </x:conditionalFormatting>
  <x:conditionalFormatting sqref="M48:M49">
    <x:cfRule type="duplicateValues" dxfId="1520" priority="325"/>
  </x:conditionalFormatting>
  <x:conditionalFormatting sqref="L50:L51">
    <x:cfRule type="duplicateValues" dxfId="1520" priority="326"/>
    <x:cfRule type="duplicateValues" dxfId="1520" priority="326"/>
  </x:conditionalFormatting>
  <x:conditionalFormatting sqref="L48:L51">
    <x:cfRule type="duplicateValues" dxfId="1520" priority="327"/>
    <x:cfRule type="duplicateValues" dxfId="1520" priority="327"/>
    <x:cfRule type="duplicateValues" dxfId="1520" priority="327"/>
    <x:cfRule type="duplicateValues" dxfId="1520" priority="327"/>
    <x:cfRule type="duplicateValues" dxfId="1520" priority="327"/>
    <x:cfRule type="duplicateValues" dxfId="1520" priority="327"/>
    <x:cfRule type="duplicateValues" dxfId="1520" priority="327"/>
  </x:conditionalFormatting>
  <x:conditionalFormatting sqref="V30:V31">
    <x:cfRule type="duplicateValues" dxfId="1520" priority="328"/>
    <x:cfRule type="duplicateValues" dxfId="1520" priority="328"/>
  </x:conditionalFormatting>
  <x:conditionalFormatting sqref="Y28:Y31">
    <x:cfRule type="duplicateValues" dxfId="1520" priority="329"/>
  </x:conditionalFormatting>
  <x:conditionalFormatting sqref="U30:U31">
    <x:cfRule type="duplicateValues" dxfId="1520" priority="330"/>
  </x:conditionalFormatting>
  <x:conditionalFormatting sqref="R34:R35">
    <x:cfRule type="duplicateValues" dxfId="1520" priority="331"/>
  </x:conditionalFormatting>
  <x:conditionalFormatting sqref="U33:U33">
    <x:cfRule type="duplicateValues" dxfId="1520" priority="332"/>
  </x:conditionalFormatting>
  <x:conditionalFormatting sqref="V34:V35">
    <x:cfRule type="duplicateValues" dxfId="1520" priority="333"/>
    <x:cfRule type="duplicateValues" dxfId="1520" priority="333"/>
  </x:conditionalFormatting>
  <x:conditionalFormatting sqref="Y32:Y35">
    <x:cfRule type="duplicateValues" dxfId="1520" priority="334"/>
  </x:conditionalFormatting>
  <x:conditionalFormatting sqref="U34:U35">
    <x:cfRule type="duplicateValues" dxfId="1520" priority="335"/>
  </x:conditionalFormatting>
  <x:conditionalFormatting sqref="V38:V39">
    <x:cfRule type="duplicateValues" dxfId="1520" priority="336"/>
    <x:cfRule type="duplicateValues" dxfId="1520" priority="336"/>
  </x:conditionalFormatting>
  <x:conditionalFormatting sqref="Y36:Y39">
    <x:cfRule type="duplicateValues" dxfId="1520" priority="337"/>
  </x:conditionalFormatting>
  <x:conditionalFormatting sqref="U38:U39">
    <x:cfRule type="duplicateValues" dxfId="1520" priority="338"/>
  </x:conditionalFormatting>
  <x:conditionalFormatting sqref="R42:R43">
    <x:cfRule type="duplicateValues" dxfId="1520" priority="339"/>
  </x:conditionalFormatting>
  <x:conditionalFormatting sqref="U41:U41">
    <x:cfRule type="duplicateValues" dxfId="1520" priority="340"/>
  </x:conditionalFormatting>
  <x:conditionalFormatting sqref="V42:V43">
    <x:cfRule type="duplicateValues" dxfId="1520" priority="341"/>
    <x:cfRule type="duplicateValues" dxfId="1520" priority="341"/>
  </x:conditionalFormatting>
  <x:conditionalFormatting sqref="Y40:Y43">
    <x:cfRule type="duplicateValues" dxfId="1520" priority="342"/>
  </x:conditionalFormatting>
  <x:conditionalFormatting sqref="U42:U43">
    <x:cfRule type="duplicateValues" dxfId="1520" priority="343"/>
  </x:conditionalFormatting>
  <x:conditionalFormatting sqref="V46:V47">
    <x:cfRule type="duplicateValues" dxfId="1520" priority="344"/>
    <x:cfRule type="duplicateValues" dxfId="1520" priority="344"/>
  </x:conditionalFormatting>
  <x:conditionalFormatting sqref="Y44:Y47">
    <x:cfRule type="duplicateValues" dxfId="1520" priority="345"/>
  </x:conditionalFormatting>
  <x:conditionalFormatting sqref="U46:U47">
    <x:cfRule type="duplicateValues" dxfId="1520" priority="346"/>
  </x:conditionalFormatting>
  <x:conditionalFormatting sqref="R50:R51">
    <x:cfRule type="duplicateValues" dxfId="1520" priority="347"/>
  </x:conditionalFormatting>
  <x:conditionalFormatting sqref="U49:U49">
    <x:cfRule type="duplicateValues" dxfId="1520" priority="348"/>
  </x:conditionalFormatting>
  <x:conditionalFormatting sqref="V50:V51">
    <x:cfRule type="duplicateValues" dxfId="1520" priority="349"/>
    <x:cfRule type="duplicateValues" dxfId="1520" priority="349"/>
  </x:conditionalFormatting>
  <x:conditionalFormatting sqref="Y49:Y51">
    <x:cfRule type="duplicateValues" dxfId="1520" priority="350"/>
  </x:conditionalFormatting>
  <x:conditionalFormatting sqref="U50:U51">
    <x:cfRule type="duplicateValues" dxfId="1520" priority="351"/>
  </x:conditionalFormatting>
  <x:conditionalFormatting sqref="Z4:Z20">
    <x:cfRule type="duplicateValues" dxfId="1520" priority="352"/>
  </x:conditionalFormatting>
  <x:conditionalFormatting sqref="Z22:Z49">
    <x:cfRule type="duplicateValues" dxfId="1520" priority="353"/>
  </x:conditionalFormatting>
  <x:conditionalFormatting sqref="V6:V51">
    <x:cfRule type="duplicateValues" dxfId="1520" priority="354"/>
  </x:conditionalFormatting>
  <x:printOptions horizontalCentered="0" verticalCentered="0" headings="0" gridLines="0"/>
  <x:pageMargins left="0.23" right="0.23" top="0.75" bottom="0.75" header="0.3" footer="0.3"/>
  <x:pageSetup paperSize="1" scale="100" pageOrder="downThenOver" orientation="landscape" blackAndWhite="0" draft="0" cellComments="none" errors="displayed" r:id="rId1"/>
  <x:headerFooter/>
  <x:tableParts count="0"/>
</x:worksheet>
</file>

<file path=xl/worksheets/sheet2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7">
    <x:outlinePr summaryBelow="1" summaryRight="1"/>
  </x:sheetPr>
  <x:dimension ref="B1:AC183"/>
  <x:sheetViews>
    <x:sheetView zoomScale="80" zoomScaleNormal="80" workbookViewId="0">
      <x:selection activeCell="M3" sqref="M3 M3:M6"/>
    </x:sheetView>
  </x:sheetViews>
  <x:sheetFormatPr defaultRowHeight="15" x14ac:dyDescent="0.25"/>
  <x:cols>
    <x:col min="1" max="2" width="9.140625" style="82" customWidth="1"/>
    <x:col min="3" max="3" width="11.7109375" style="82" customWidth="1"/>
    <x:col min="4" max="4" width="14.28515625" style="82" customWidth="1"/>
    <x:col min="5" max="5" width="11.28515625" style="82" customWidth="1"/>
    <x:col min="6" max="7" width="9.140625" style="82" customWidth="1"/>
    <x:col min="8" max="8" width="11.42578125" style="82" bestFit="1" customWidth="1"/>
    <x:col min="9" max="9" width="12.140625" style="82" bestFit="1" customWidth="1"/>
    <x:col min="10" max="10" width="18" style="82" bestFit="1" customWidth="1"/>
    <x:col min="11" max="12" width="9.140625" style="82" customWidth="1"/>
    <x:col min="13" max="13" width="12.140625" style="82" customWidth="1"/>
  </x:cols>
  <x:sheetData>
    <x:row r="1" spans="1:29" x14ac:dyDescent="0.25">
      <x:c r="H1" s="114" t="s">
        <x:v>50</x:v>
      </x:c>
      <x:c r="I1" s="114" t="s">
        <x:v>51</x:v>
      </x:c>
      <x:c r="J1" s="114" t="s">
        <x:v>52</x:v>
      </x:c>
      <x:c r="L1" s="115" t="s">
        <x:v>53</x:v>
      </x:c>
      <x:c r="M1" s="82" t="n">
        <x:v>100</x:v>
      </x:c>
    </x:row>
    <x:row r="2" spans="1:29" x14ac:dyDescent="0.25">
      <x:c r="B2" s="112" t="s">
        <x:v>54</x:v>
      </x:c>
      <x:c r="C2" s="82" t="s">
        <x:v>55</x:v>
      </x:c>
      <x:c r="D2" s="82" t="s">
        <x:v>56</x:v>
      </x:c>
      <x:c r="E2" s="82" t="s">
        <x:v>57</x:v>
      </x:c>
      <x:c r="F2" s="82" t="s">
        <x:v>58</x:v>
      </x:c>
      <x:c r="H2" s="82" t="s">
        <x:v>59</x:v>
      </x:c>
      <x:c r="I2" s="82" t="s">
        <x:v>59</x:v>
      </x:c>
      <x:c r="J2" s="82" t="s">
        <x:v>60</x:v>
      </x:c>
      <x:c r="L2" s="82" t="s">
        <x:v>61</x:v>
      </x:c>
      <x:c r="M2" s="116">
        <x:f>AC148</x:f>
      </x:c>
    </x:row>
    <x:row r="3" spans="1:29" x14ac:dyDescent="0.25">
      <x:c r="B3" s="113" t="s">
        <x:v>62</x:v>
      </x:c>
      <x:c r="C3" s="82" t="s">
        <x:v>63</x:v>
      </x:c>
      <x:c r="D3" s="82" t="s">
        <x:v>59</x:v>
      </x:c>
      <x:c r="E3" s="82" t="s">
        <x:v>64</x:v>
      </x:c>
      <x:c r="F3" s="82" t="s">
        <x:v>59</x:v>
      </x:c>
      <x:c r="L3" s="82" t="s">
        <x:v>65</x:v>
      </x:c>
      <x:c r="M3" s="112">
        <x:f>SUM(J4:J147)</x:f>
      </x:c>
      <x:c r="AB3" s="82">
        <x:f>MAX(AB4:AB148)</x:f>
      </x:c>
    </x:row>
    <x:row r="4" spans="1:29" x14ac:dyDescent="0.25">
      <x:c r="B4" s="117" t="n">
        <x:v>0.24</x:v>
      </x:c>
      <x:c r="C4" s="118" t="n">
        <x:v>0.753</x:v>
      </x:c>
      <x:c r="D4" s="82" t="n">
        <x:v>2.502</x:v>
      </x:c>
      <x:c r="E4" s="118" t="n">
        <x:v>6.159</x:v>
      </x:c>
      <x:c r="F4" s="82">
        <x:f>IF(C4=MEDIAN($M$1-1,$M$1+1,C4),IF(D4&lt;=AVERAGE($AB$3,AVERAGEIF($B$4:$B$200,"&gt;20",$D$4:$D$200)),D4,0),0)</x:f>
      </x:c>
      <x:c r="H4" s="111">
        <x:f>IF(MATCH(F4,$F$4:$F$200,0)&gt;=MATCH(MAX($F$4:$F$200),$F$4:$F$200,0),$M$4+($M$5-$M$4)*(1-EXP(-B4/$M$6)),0)</x:f>
      </x:c>
      <x:c r="I4" s="111">
        <x:f>IF(H4&gt;0,D4-H4,0)</x:f>
      </x:c>
      <x:c r="J4" s="111">
        <x:f>I4^2</x:f>
      </x:c>
      <x:c r="L4" s="82" t="s">
        <x:v>66</x:v>
      </x:c>
      <x:c r="M4" s="113" t="n">
        <x:v>4.08087927849728</x:v>
      </x:c>
      <x:c r="AB4" s="82">
        <x:f t="array" ref="AB4:AB4">MAX(IF($C$4:$C$200=MEDIAN($M$1-1,$M$1+1,C4),$D$4:$D$200,0))</x:f>
      </x:c>
      <x:c r="AC4" s="82">
        <x:f>ABS(D4-D5)</x:f>
      </x:c>
    </x:row>
    <x:row r="5" spans="1:29" x14ac:dyDescent="0.25">
      <x:c r="B5" s="113" t="n">
        <x:v>0.444</x:v>
      </x:c>
      <x:c r="C5" s="118" t="n">
        <x:v>102</x:v>
      </x:c>
      <x:c r="D5" s="82" t="n">
        <x:v>1.643</x:v>
      </x:c>
      <x:c r="E5" s="118" t="n">
        <x:v>226.1</x:v>
      </x:c>
      <x:c r="F5" s="82">
        <x:f>IF(C5=MEDIAN($M$1-1,$M$1+1,C5),IF(D5&lt;=AVERAGE($AB$3,AVERAGEIF($B$4:$B$200,"&gt;20",$D$4:$D$200)),D5,0),0)</x:f>
      </x:c>
      <x:c r="H5" s="111">
        <x:f>IF(MATCH(F5,$F$4:$F$200,0)&gt;=MATCH(MAX($F$4:$F$200),$F$4:$F$200,0),$M$4+($M$5-$M$4)*(1-EXP(-B5/$M$6)),0)</x:f>
      </x:c>
      <x:c r="I5" s="111">
        <x:f>IF(H5&gt;0,D5-H5,0)</x:f>
      </x:c>
      <x:c r="J5" s="111">
        <x:f>I5^2</x:f>
      </x:c>
      <x:c r="L5" s="82" t="s">
        <x:v>67</x:v>
      </x:c>
      <x:c r="M5" s="117" t="n">
        <x:v>0.338221000945935</x:v>
      </x:c>
      <x:c r="AB5" s="82">
        <x:f t="array" ref="AB5:AB5">MAX(IF($C$4:$C$200=MEDIAN($M$1-1,$M$1+1,C5),$D$4:$D$200,0))</x:f>
      </x:c>
      <x:c r="AC5" s="82">
        <x:f>ABS(D5-D6)</x:f>
      </x:c>
    </x:row>
    <x:row r="6" spans="1:29" x14ac:dyDescent="0.25">
      <x:c r="B6" s="118" t="n">
        <x:v>0.704</x:v>
      </x:c>
      <x:c r="C6" s="118" t="n">
        <x:v>102</x:v>
      </x:c>
      <x:c r="D6" s="82" t="n">
        <x:v>2.063</x:v>
      </x:c>
      <x:c r="E6" s="118" t="n">
        <x:v>226.1</x:v>
      </x:c>
      <x:c r="F6" s="82">
        <x:f>IF(C6=MEDIAN($M$1-1,$M$1+1,C6),IF(D6&lt;=AVERAGE($AB$3,AVERAGEIF($B$4:$B$200,"&gt;20",$D$4:$D$200)),D6,0),0)</x:f>
      </x:c>
      <x:c r="H6" s="111">
        <x:f>IF(MATCH(F6,$F$4:$F$200,0)&gt;=MATCH(MAX($F$4:$F$200),$F$4:$F$200,0),$M$4+($M$5-$M$4)*(1-EXP(-B6/$M$6)),0)</x:f>
      </x:c>
      <x:c r="I6" s="111">
        <x:f>IF(H6&gt;0,D6-H6,0)</x:f>
      </x:c>
      <x:c r="J6" s="111">
        <x:f>I6^2</x:f>
      </x:c>
      <x:c r="L6" s="82" t="s">
        <x:v>68</x:v>
      </x:c>
      <x:c r="M6" s="113" t="n">
        <x:v>2.78335207276676</x:v>
      </x:c>
      <x:c r="AB6" s="82">
        <x:f t="array" ref="AB6:AB6">MAX(IF($C$4:$C$200=MEDIAN($M$1-1,$M$1+1,C6),$D$4:$D$200,0))</x:f>
      </x:c>
      <x:c r="AC6" s="82">
        <x:f>ABS(D6-D7)</x:f>
      </x:c>
    </x:row>
    <x:row r="7" spans="1:29" x14ac:dyDescent="0.25">
      <x:c r="B7" s="118" t="n">
        <x:v>1.072</x:v>
      </x:c>
      <x:c r="C7" s="118" t="n">
        <x:v>99.73</x:v>
      </x:c>
      <x:c r="D7" s="82" t="n">
        <x:v>2.282</x:v>
      </x:c>
      <x:c r="E7" s="118" t="n">
        <x:v>230.2</x:v>
      </x:c>
      <x:c r="F7" s="82">
        <x:f>IF(C7=MEDIAN($M$1-1,$M$1+1,C7),IF(D7&lt;=AVERAGE($AB$3,AVERAGEIF($B$4:$B$200,"&gt;20",$D$4:$D$200)),D7,0),0)</x:f>
      </x:c>
      <x:c r="H7" s="111">
        <x:f>IF(MATCH(F7,$F$4:$F$200,0)&gt;=MATCH(MAX($F$4:$F$200),$F$4:$F$200,0),$M$4+($M$5-$M$4)*(1-EXP(-B7/$M$6)),0)</x:f>
      </x:c>
      <x:c r="I7" s="111">
        <x:f>IF(H7&gt;0,D7-H7,0)</x:f>
      </x:c>
      <x:c r="J7" s="111">
        <x:f>I7^2</x:f>
      </x:c>
      <x:c r="L7" s="82" t="s"/>
      <x:c r="M7" s="114" t="s"/>
      <x:c r="AB7" s="82">
        <x:f t="array" ref="AB7:AB7">MAX(IF($C$4:$C$200=MEDIAN($M$1-1,$M$1+1,C7),$D$4:$D$200,0))</x:f>
      </x:c>
      <x:c r="AC7" s="82">
        <x:f>ABS(D7-D8)</x:f>
      </x:c>
    </x:row>
    <x:row r="8" spans="1:29" x14ac:dyDescent="0.25">
      <x:c r="B8" s="118" t="n">
        <x:v>1.252</x:v>
      </x:c>
      <x:c r="C8" s="118" t="n">
        <x:v>99.73</x:v>
      </x:c>
      <x:c r="D8" s="82" t="n">
        <x:v>2.3</x:v>
      </x:c>
      <x:c r="E8" s="118" t="n">
        <x:v>230.2</x:v>
      </x:c>
      <x:c r="F8" s="82">
        <x:f>IF(C8=MEDIAN($M$1-1,$M$1+1,C8),IF(D8&lt;=AVERAGE($AB$3,AVERAGEIF($B$4:$B$200,"&gt;20",$D$4:$D$200)),D8,0),0)</x:f>
      </x:c>
      <x:c r="H8" s="111">
        <x:f>IF(MATCH(F8,$F$4:$F$200,0)&gt;=MATCH(MAX($F$4:$F$200),$F$4:$F$200,0),$M$4+($M$5-$M$4)*(1-EXP(-B8/$M$6)),0)</x:f>
      </x:c>
      <x:c r="I8" s="111">
        <x:f>IF(H8&gt;0,D8-H8,0)</x:f>
      </x:c>
      <x:c r="J8" s="111">
        <x:f>I8^2</x:f>
      </x:c>
      <x:c r="AB8" s="82">
        <x:f t="array" ref="AB8:AB8">MAX(IF($C$4:$C$200=MEDIAN($M$1-1,$M$1+1,C8),$D$4:$D$200,0))</x:f>
      </x:c>
      <x:c r="AC8" s="82">
        <x:f>ABS(D8-D9)</x:f>
      </x:c>
    </x:row>
    <x:row r="9" spans="1:29" x14ac:dyDescent="0.25">
      <x:c r="B9" s="118" t="n">
        <x:v>1.424</x:v>
      </x:c>
      <x:c r="C9" s="118" t="n">
        <x:v>99.74</x:v>
      </x:c>
      <x:c r="D9" s="82" t="n">
        <x:v>2.3</x:v>
      </x:c>
      <x:c r="E9" s="118" t="n">
        <x:v>260.7</x:v>
      </x:c>
      <x:c r="F9" s="82">
        <x:f>IF(C9=MEDIAN($M$1-1,$M$1+1,C9),IF(D9&lt;=AVERAGE($AB$3,AVERAGEIF($B$4:$B$200,"&gt;20",$D$4:$D$200)),D9,0),0)</x:f>
      </x:c>
      <x:c r="H9" s="111">
        <x:f>IF(MATCH(F9,$F$4:$F$200,0)&gt;=MATCH(MAX($F$4:$F$200),$F$4:$F$200,0),$M$4+($M$5-$M$4)*(1-EXP(-B9/$M$6)),0)</x:f>
      </x:c>
      <x:c r="I9" s="111">
        <x:f>IF(H9&gt;0,D9-H9,0)</x:f>
      </x:c>
      <x:c r="J9" s="111">
        <x:f>I9^2</x:f>
      </x:c>
      <x:c r="AB9" s="82">
        <x:f t="array" ref="AB9:AB9">MAX(IF($C$4:$C$200=MEDIAN($M$1-1,$M$1+1,C9),$D$4:$D$200,0))</x:f>
      </x:c>
      <x:c r="AC9" s="82">
        <x:f>ABS(D9-D10)</x:f>
      </x:c>
    </x:row>
    <x:row r="10" spans="1:29" x14ac:dyDescent="0.25">
      <x:c r="B10" s="118" t="n">
        <x:v>1.58</x:v>
      </x:c>
      <x:c r="C10" s="118" t="n">
        <x:v>99.74</x:v>
      </x:c>
      <x:c r="D10" s="82" t="n">
        <x:v>2.297</x:v>
      </x:c>
      <x:c r="E10" s="118" t="n">
        <x:v>260.7</x:v>
      </x:c>
      <x:c r="F10" s="82">
        <x:f>IF(C10=MEDIAN($M$1-1,$M$1+1,C10),IF(D10&lt;=AVERAGE($AB$3,AVERAGEIF($B$4:$B$200,"&gt;20",$D$4:$D$200)),D10,0),0)</x:f>
      </x:c>
      <x:c r="H10" s="111">
        <x:f>IF(MATCH(F10,$F$4:$F$200,0)&gt;=MATCH(MAX($F$4:$F$200),$F$4:$F$200,0),$M$4+($M$5-$M$4)*(1-EXP(-B10/$M$6)),0)</x:f>
      </x:c>
      <x:c r="I10" s="111">
        <x:f>IF(H10&gt;0,D10-H10,0)</x:f>
      </x:c>
      <x:c r="J10" s="111">
        <x:f>I10^2</x:f>
      </x:c>
      <x:c r="AB10" s="82">
        <x:f t="array" ref="AB10:AB10">MAX(IF($C$4:$C$200=MEDIAN($M$1-1,$M$1+1,C10),$D$4:$D$200,0))</x:f>
      </x:c>
      <x:c r="AC10" s="82">
        <x:f>ABS(D10-D11)</x:f>
      </x:c>
    </x:row>
    <x:row r="11" spans="1:29" x14ac:dyDescent="0.25">
      <x:c r="B11" s="118" t="n">
        <x:v>1.888</x:v>
      </x:c>
      <x:c r="C11" s="118" t="n">
        <x:v>99.7</x:v>
      </x:c>
      <x:c r="D11" s="82" t="n">
        <x:v>2.26</x:v>
      </x:c>
      <x:c r="E11" s="118" t="n">
        <x:v>285.6</x:v>
      </x:c>
      <x:c r="F11" s="82">
        <x:f>IF(C11=MEDIAN($M$1-1,$M$1+1,C11),IF(D11&lt;=AVERAGE($AB$3,AVERAGEIF($B$4:$B$200,"&gt;20",$D$4:$D$200)),D11,0),0)</x:f>
      </x:c>
      <x:c r="H11" s="111">
        <x:f>IF(MATCH(F11,$F$4:$F$200,0)&gt;=MATCH(MAX($F$4:$F$200),$F$4:$F$200,0),$M$4+($M$5-$M$4)*(1-EXP(-B11/$M$6)),0)</x:f>
      </x:c>
      <x:c r="I11" s="111">
        <x:f>IF(H11&gt;0,D11-H11,0)</x:f>
      </x:c>
      <x:c r="J11" s="111">
        <x:f>I11^2</x:f>
      </x:c>
      <x:c r="AB11" s="82">
        <x:f t="array" ref="AB11:AB11">MAX(IF($C$4:$C$200=MEDIAN($M$1-1,$M$1+1,C11),$D$4:$D$200,0))</x:f>
      </x:c>
      <x:c r="AC11" s="82">
        <x:f>ABS(D11-D12)</x:f>
      </x:c>
    </x:row>
    <x:row r="12" spans="1:29" customFormat="1" ht="15.75" customHeight="1" x14ac:dyDescent="0.3">
      <x:c r="B12" s="118" t="n">
        <x:v>2.128</x:v>
      </x:c>
      <x:c r="C12" s="118" t="n">
        <x:v>99.7</x:v>
      </x:c>
      <x:c r="D12" s="82" t="n">
        <x:v>2.225</x:v>
      </x:c>
      <x:c r="E12" s="118" t="n">
        <x:v>285.6</x:v>
      </x:c>
      <x:c r="F12" s="82">
        <x:f>IF(C12=MEDIAN($M$1-1,$M$1+1,C12),IF(D12&lt;=AVERAGE($AB$3,AVERAGEIF($B$4:$B$200,"&gt;20",$D$4:$D$200)),D12,0),0)</x:f>
      </x:c>
      <x:c r="H12" s="111">
        <x:f>IF(MATCH(F12,$F$4:$F$200,0)&gt;=MATCH(MAX($F$4:$F$200),$F$4:$F$200,0),$M$4+($M$5-$M$4)*(1-EXP(-B12/$M$6)),0)</x:f>
      </x:c>
      <x:c r="I12" s="111">
        <x:f>IF(H12&gt;0,D12-H12,0)</x:f>
      </x:c>
      <x:c r="J12" s="111">
        <x:f>I12^2</x:f>
      </x:c>
      <x:c r="L12" s="119" t="s"/>
      <x:c r="AB12" s="82">
        <x:f t="array" ref="AB12:AB12">MAX(IF($C$4:$C$200=MEDIAN($M$1-1,$M$1+1,C12),$D$4:$D$200,0))</x:f>
      </x:c>
      <x:c r="AC12" s="82">
        <x:f>ABS(D12-D13)</x:f>
      </x:c>
    </x:row>
    <x:row r="13" spans="1:29" customFormat="1" ht="15.75" customHeight="1" x14ac:dyDescent="0.3">
      <x:c r="B13" s="82" t="n">
        <x:v>2.336</x:v>
      </x:c>
      <x:c r="C13" s="118" t="n">
        <x:v>99.76</x:v>
      </x:c>
      <x:c r="D13" s="82" t="n">
        <x:v>2.124</x:v>
      </x:c>
      <x:c r="E13" s="118" t="n">
        <x:v>301.8</x:v>
      </x:c>
      <x:c r="F13" s="82">
        <x:f>IF(C13=MEDIAN($M$1-1,$M$1+1,C13),IF(D13&lt;=AVERAGE($AB$3,AVERAGEIF($B$4:$B$200,"&gt;20",$D$4:$D$200)),D13,0),0)</x:f>
      </x:c>
      <x:c r="H13" s="111">
        <x:f>IF(MATCH(F13,$F$4:$F$200,0)&gt;=MATCH(MAX($F$4:$F$200),$F$4:$F$200,0),$M$4+($M$5-$M$4)*(1-EXP(-B13/$M$6)),0)</x:f>
      </x:c>
      <x:c r="I13" s="111">
        <x:f>IF(H13&gt;0,D13-H13,0)</x:f>
      </x:c>
      <x:c r="J13" s="111">
        <x:f>I13^2</x:f>
      </x:c>
      <x:c r="L13" s="119" t="s"/>
      <x:c r="AB13" s="82">
        <x:f t="array" ref="AB13:AB13">MAX(IF($C$4:$C$200=MEDIAN($M$1-1,$M$1+1,C13),$D$4:$D$200,0))</x:f>
      </x:c>
      <x:c r="AC13" s="82">
        <x:f>ABS(D13-D14)</x:f>
      </x:c>
    </x:row>
    <x:row r="14" spans="1:29" x14ac:dyDescent="0.25">
      <x:c r="B14" s="82" t="n">
        <x:v>2.484</x:v>
      </x:c>
      <x:c r="C14" s="118" t="n">
        <x:v>99.76</x:v>
      </x:c>
      <x:c r="D14" s="82" t="n">
        <x:v>1.994</x:v>
      </x:c>
      <x:c r="E14" s="118" t="n">
        <x:v>301.8</x:v>
      </x:c>
      <x:c r="F14" s="82">
        <x:f>IF(C14=MEDIAN($M$1-1,$M$1+1,C14),IF(D14&lt;=AVERAGE($AB$3,AVERAGEIF($B$4:$B$200,"&gt;20",$D$4:$D$200)),D14,0),0)</x:f>
      </x:c>
      <x:c r="H14" s="111">
        <x:f>IF(MATCH(F14,$F$4:$F$200,0)&gt;=MATCH(MAX($F$4:$F$200),$F$4:$F$200,0),$M$4+($M$5-$M$4)*(1-EXP(-B14/$M$6)),0)</x:f>
      </x:c>
      <x:c r="I14" s="111">
        <x:f>IF(H14&gt;0,D14-H14,0)</x:f>
      </x:c>
      <x:c r="J14" s="111">
        <x:f>I14^2</x:f>
      </x:c>
      <x:c r="AB14" s="82">
        <x:f t="array" ref="AB14:AB14">MAX(IF($C$4:$C$200=MEDIAN($M$1-1,$M$1+1,C14),$D$4:$D$200,0))</x:f>
      </x:c>
      <x:c r="AC14" s="82">
        <x:f>ABS(D14-D15)</x:f>
      </x:c>
    </x:row>
    <x:row r="15" spans="1:29" x14ac:dyDescent="0.25">
      <x:c r="B15" s="82" t="n">
        <x:v>2.7</x:v>
      </x:c>
      <x:c r="C15" s="118" t="n">
        <x:v>99.76</x:v>
      </x:c>
      <x:c r="D15" s="82" t="n">
        <x:v>1.994</x:v>
      </x:c>
      <x:c r="E15" s="118" t="n">
        <x:v>301.8</x:v>
      </x:c>
      <x:c r="F15" s="82">
        <x:f>IF(C15=MEDIAN($M$1-1,$M$1+1,C15),IF(D15&lt;=AVERAGE($AB$3,AVERAGEIF($B$4:$B$200,"&gt;20",$D$4:$D$200)),D15,0),0)</x:f>
      </x:c>
      <x:c r="H15" s="111">
        <x:f>IF(MATCH(F15,$F$4:$F$200,0)&gt;=MATCH(MAX($F$4:$F$200),$F$4:$F$200,0),$M$4+($M$5-$M$4)*(1-EXP(-B15/$M$6)),0)</x:f>
      </x:c>
      <x:c r="I15" s="111">
        <x:f>IF(H15&gt;0,D15-H15,0)</x:f>
      </x:c>
      <x:c r="J15" s="111">
        <x:f>I15^2</x:f>
      </x:c>
      <x:c r="AB15" s="82">
        <x:f t="array" ref="AB15:AB15">MAX(IF($C$4:$C$200=MEDIAN($M$1-1,$M$1+1,C15),$D$4:$D$200,0))</x:f>
      </x:c>
      <x:c r="AC15" s="82">
        <x:f>ABS(D15-D16)</x:f>
      </x:c>
    </x:row>
    <x:row r="16" spans="1:29" x14ac:dyDescent="0.25">
      <x:c r="B16" s="82" t="n">
        <x:v>2.976</x:v>
      </x:c>
      <x:c r="C16" s="118" t="n">
        <x:v>99.79</x:v>
      </x:c>
      <x:c r="D16" s="82" t="n">
        <x:v>1.852</x:v>
      </x:c>
      <x:c r="E16" s="118" t="n">
        <x:v>310.8</x:v>
      </x:c>
      <x:c r="F16" s="82">
        <x:f>IF(C16=MEDIAN($M$1-1,$M$1+1,C16),IF(D16&lt;=AVERAGE($AB$3,AVERAGEIF($B$4:$B$200,"&gt;20",$D$4:$D$200)),D16,0),0)</x:f>
      </x:c>
      <x:c r="H16" s="111">
        <x:f>IF(MATCH(F16,$F$4:$F$200,0)&gt;=MATCH(MAX($F$4:$F$200),$F$4:$F$200,0),$M$4+($M$5-$M$4)*(1-EXP(-B16/$M$6)),0)</x:f>
      </x:c>
      <x:c r="I16" s="111">
        <x:f>IF(H16&gt;0,D16-H16,0)</x:f>
      </x:c>
      <x:c r="J16" s="111">
        <x:f>I16^2</x:f>
      </x:c>
      <x:c r="AB16" s="82">
        <x:f t="array" ref="AB16:AB16">MAX(IF($C$4:$C$200=MEDIAN($M$1-1,$M$1+1,C16),$D$4:$D$200,0))</x:f>
      </x:c>
      <x:c r="AC16" s="82">
        <x:f>ABS(D16-D17)</x:f>
      </x:c>
    </x:row>
    <x:row r="17" spans="1:29" x14ac:dyDescent="0.25">
      <x:c r="B17" s="82" t="n">
        <x:v>3.352</x:v>
      </x:c>
      <x:c r="C17" s="118" t="n">
        <x:v>99.93</x:v>
      </x:c>
      <x:c r="D17" s="82" t="n">
        <x:v>1.575</x:v>
      </x:c>
      <x:c r="E17" s="118" t="n">
        <x:v>315.1</x:v>
      </x:c>
      <x:c r="F17" s="82">
        <x:f>IF(C17=MEDIAN($M$1-1,$M$1+1,C17),IF(D17&lt;=AVERAGE($AB$3,AVERAGEIF($B$4:$B$200,"&gt;20",$D$4:$D$200)),D17,0),0)</x:f>
      </x:c>
      <x:c r="H17" s="111">
        <x:f>IF(MATCH(F17,$F$4:$F$200,0)&gt;=MATCH(MAX($F$4:$F$200),$F$4:$F$200,0),$M$4+($M$5-$M$4)*(1-EXP(-B17/$M$6)),0)</x:f>
      </x:c>
      <x:c r="I17" s="111">
        <x:f>IF(H17&gt;0,D17-H17,0)</x:f>
      </x:c>
      <x:c r="J17" s="111">
        <x:f>I17^2</x:f>
      </x:c>
      <x:c r="AB17" s="82">
        <x:f t="array" ref="AB17:AB17">MAX(IF($C$4:$C$200=MEDIAN($M$1-1,$M$1+1,C17),$D$4:$D$200,0))</x:f>
      </x:c>
      <x:c r="AC17" s="82">
        <x:f>ABS(D17-D18)</x:f>
      </x:c>
    </x:row>
    <x:row r="18" spans="1:29" x14ac:dyDescent="0.25">
      <x:c r="B18" s="82" t="n">
        <x:v>3.52</x:v>
      </x:c>
      <x:c r="C18" s="118" t="n">
        <x:v>99.93</x:v>
      </x:c>
      <x:c r="D18" s="82" t="n">
        <x:v>1.421</x:v>
      </x:c>
      <x:c r="E18" s="118" t="n">
        <x:v>315.1</x:v>
      </x:c>
      <x:c r="F18" s="82">
        <x:f>IF(C18=MEDIAN($M$1-1,$M$1+1,C18),IF(D18&lt;=AVERAGE($AB$3,AVERAGEIF($B$4:$B$200,"&gt;20",$D$4:$D$200)),D18,0),0)</x:f>
      </x:c>
      <x:c r="H18" s="111">
        <x:f>IF(MATCH(F18,$F$4:$F$200,0)&gt;=MATCH(MAX($F$4:$F$200),$F$4:$F$200,0),$M$4+($M$5-$M$4)*(1-EXP(-B18/$M$6)),0)</x:f>
      </x:c>
      <x:c r="I18" s="111">
        <x:f>IF(H18&gt;0,D18-H18,0)</x:f>
      </x:c>
      <x:c r="J18" s="111">
        <x:f>I18^2</x:f>
      </x:c>
      <x:c r="AB18" s="82">
        <x:f t="array" ref="AB18:AB18">MAX(IF($C$4:$C$200=MEDIAN($M$1-1,$M$1+1,C18),$D$4:$D$200,0))</x:f>
      </x:c>
      <x:c r="AC18" s="82">
        <x:f>ABS(D18-D19)</x:f>
      </x:c>
    </x:row>
    <x:row r="19" spans="1:29" x14ac:dyDescent="0.25">
      <x:c r="B19" s="82" t="n">
        <x:v>3.76</x:v>
      </x:c>
      <x:c r="C19" s="118" t="n">
        <x:v>99.94</x:v>
      </x:c>
      <x:c r="D19" s="82" t="n">
        <x:v>1.316</x:v>
      </x:c>
      <x:c r="E19" s="118" t="n">
        <x:v>316.8</x:v>
      </x:c>
      <x:c r="F19" s="82">
        <x:f>IF(C19=MEDIAN($M$1-1,$M$1+1,C19),IF(D19&lt;=AVERAGE($AB$3,AVERAGEIF($B$4:$B$200,"&gt;20",$D$4:$D$200)),D19,0),0)</x:f>
      </x:c>
      <x:c r="H19" s="111">
        <x:f>IF(MATCH(F19,$F$4:$F$200,0)&gt;=MATCH(MAX($F$4:$F$200),$F$4:$F$200,0),$M$4+($M$5-$M$4)*(1-EXP(-B19/$M$6)),0)</x:f>
      </x:c>
      <x:c r="I19" s="111">
        <x:f>IF(H19&gt;0,D19-H19,0)</x:f>
      </x:c>
      <x:c r="J19" s="111">
        <x:f>I19^2</x:f>
      </x:c>
      <x:c r="AB19" s="82">
        <x:f t="array" ref="AB19:AB19">MAX(IF($C$4:$C$200=MEDIAN($M$1-1,$M$1+1,C19),$D$4:$D$200,0))</x:f>
      </x:c>
      <x:c r="AC19" s="82">
        <x:f>ABS(D19-D20)</x:f>
      </x:c>
    </x:row>
    <x:row r="20" spans="1:29" x14ac:dyDescent="0.25">
      <x:c r="B20" s="82" t="n">
        <x:v>4.016</x:v>
      </x:c>
      <x:c r="C20" s="118" t="n">
        <x:v>99.94</x:v>
      </x:c>
      <x:c r="D20" s="82" t="n">
        <x:v>1.195</x:v>
      </x:c>
      <x:c r="E20" s="118" t="n">
        <x:v>316.8</x:v>
      </x:c>
      <x:c r="F20" s="82">
        <x:f>IF(C20=MEDIAN($M$1-1,$M$1+1,C20),IF(D20&lt;=AVERAGE($AB$3,AVERAGEIF($B$4:$B$200,"&gt;20",$D$4:$D$200)),D20,0),0)</x:f>
      </x:c>
      <x:c r="H20" s="111">
        <x:f>IF(MATCH(F20,$F$4:$F$200,0)&gt;=MATCH(MAX($F$4:$F$200),$F$4:$F$200,0),$M$4+($M$5-$M$4)*(1-EXP(-B20/$M$6)),0)</x:f>
      </x:c>
      <x:c r="I20" s="111">
        <x:f>IF(H20&gt;0,D20-H20,0)</x:f>
      </x:c>
      <x:c r="J20" s="111">
        <x:f>I20^2</x:f>
      </x:c>
      <x:c r="AB20" s="82">
        <x:f t="array" ref="AB20:AB20">MAX(IF($C$4:$C$200=MEDIAN($M$1-1,$M$1+1,C20),$D$4:$D$200,0))</x:f>
      </x:c>
      <x:c r="AC20" s="82">
        <x:f>ABS(D20-D21)</x:f>
      </x:c>
    </x:row>
    <x:row r="21" spans="1:29" x14ac:dyDescent="0.25">
      <x:c r="B21" s="82" t="n">
        <x:v>4.24</x:v>
      </x:c>
      <x:c r="C21" s="118" t="n">
        <x:v>99.91</x:v>
      </x:c>
      <x:c r="D21" s="82" t="n">
        <x:v>1.097</x:v>
      </x:c>
      <x:c r="E21" s="118" t="n">
        <x:v>319.1</x:v>
      </x:c>
      <x:c r="F21" s="82">
        <x:f>IF(C21=MEDIAN($M$1-1,$M$1+1,C21),IF(D21&lt;=AVERAGE($AB$3,AVERAGEIF($B$4:$B$200,"&gt;20",$D$4:$D$200)),D21,0),0)</x:f>
      </x:c>
      <x:c r="H21" s="111">
        <x:f>IF(MATCH(F21,$F$4:$F$200,0)&gt;=MATCH(MAX($F$4:$F$200),$F$4:$F$200,0),$M$4+($M$5-$M$4)*(1-EXP(-B21/$M$6)),0)</x:f>
      </x:c>
      <x:c r="I21" s="111">
        <x:f>IF(H21&gt;0,D21-H21,0)</x:f>
      </x:c>
      <x:c r="J21" s="111">
        <x:f>I21^2</x:f>
      </x:c>
      <x:c r="AB21" s="82">
        <x:f t="array" ref="AB21:AB21">MAX(IF($C$4:$C$200=MEDIAN($M$1-1,$M$1+1,C21),$D$4:$D$200,0))</x:f>
      </x:c>
      <x:c r="AC21" s="82">
        <x:f>ABS(D21-D22)</x:f>
      </x:c>
    </x:row>
    <x:row r="22" spans="1:29" x14ac:dyDescent="0.25">
      <x:c r="B22" s="82" t="n">
        <x:v>4.4</x:v>
      </x:c>
      <x:c r="C22" s="118" t="n">
        <x:v>99.91</x:v>
      </x:c>
      <x:c r="D22" s="82" t="n">
        <x:v>1.097</x:v>
      </x:c>
      <x:c r="E22" s="118" t="n">
        <x:v>319.1</x:v>
      </x:c>
      <x:c r="F22" s="82">
        <x:f>IF(C22=MEDIAN($M$1-1,$M$1+1,C22),IF(D22&lt;=AVERAGE($AB$3,AVERAGEIF($B$4:$B$200,"&gt;20",$D$4:$D$200)),D22,0),0)</x:f>
      </x:c>
      <x:c r="H22" s="111">
        <x:f>IF(MATCH(F22,$F$4:$F$200,0)&gt;=MATCH(MAX($F$4:$F$200),$F$4:$F$200,0),$M$4+($M$5-$M$4)*(1-EXP(-B22/$M$6)),0)</x:f>
      </x:c>
      <x:c r="I22" s="111">
        <x:f>IF(H22&gt;0,D22-H22,0)</x:f>
      </x:c>
      <x:c r="J22" s="111">
        <x:f>I22^2</x:f>
      </x:c>
      <x:c r="AB22" s="82">
        <x:f t="array" ref="AB22:AB22">MAX(IF($C$4:$C$200=MEDIAN($M$1-1,$M$1+1,C22),$D$4:$D$200,0))</x:f>
      </x:c>
      <x:c r="AC22" s="82">
        <x:f>ABS(D22-D23)</x:f>
      </x:c>
    </x:row>
    <x:row r="23" spans="1:29" x14ac:dyDescent="0.25">
      <x:c r="B23" s="82" t="n">
        <x:v>4.56</x:v>
      </x:c>
      <x:c r="C23" s="118" t="n">
        <x:v>99.91</x:v>
      </x:c>
      <x:c r="D23" s="82" t="n">
        <x:v>1.049</x:v>
      </x:c>
      <x:c r="E23" s="118" t="n">
        <x:v>319.1</x:v>
      </x:c>
      <x:c r="F23" s="82">
        <x:f>IF(C23=MEDIAN($M$1-1,$M$1+1,C23),IF(D23&lt;=AVERAGE($AB$3,AVERAGEIF($B$4:$B$200,"&gt;20",$D$4:$D$200)),D23,0),0)</x:f>
      </x:c>
      <x:c r="H23" s="111">
        <x:f>IF(MATCH(F23,$F$4:$F$200,0)&gt;=MATCH(MAX($F$4:$F$200),$F$4:$F$200,0),$M$4+($M$5-$M$4)*(1-EXP(-B23/$M$6)),0)</x:f>
      </x:c>
      <x:c r="I23" s="111">
        <x:f>IF(H23&gt;0,D23-H23,0)</x:f>
      </x:c>
      <x:c r="J23" s="111">
        <x:f>I23^2</x:f>
      </x:c>
      <x:c r="AB23" s="82">
        <x:f t="array" ref="AB23:AB23">MAX(IF($C$4:$C$200=MEDIAN($M$1-1,$M$1+1,C23),$D$4:$D$200,0))</x:f>
      </x:c>
      <x:c r="AC23" s="82">
        <x:f>ABS(D23-D24)</x:f>
      </x:c>
    </x:row>
    <x:row r="24" spans="1:29" x14ac:dyDescent="0.25">
      <x:c r="B24" s="82" t="n">
        <x:v>4.868</x:v>
      </x:c>
      <x:c r="C24" s="118" t="n">
        <x:v>99.91</x:v>
      </x:c>
      <x:c r="D24" s="82" t="n">
        <x:v>0.9924</x:v>
      </x:c>
      <x:c r="E24" s="118" t="n">
        <x:v>321.6</x:v>
      </x:c>
      <x:c r="F24" s="82">
        <x:f>IF(C24=MEDIAN($M$1-1,$M$1+1,C24),IF(D24&lt;=AVERAGE($AB$3,AVERAGEIF($B$4:$B$200,"&gt;20",$D$4:$D$200)),D24,0),0)</x:f>
      </x:c>
      <x:c r="H24" s="111">
        <x:f>IF(MATCH(F24,$F$4:$F$200,0)&gt;=MATCH(MAX($F$4:$F$200),$F$4:$F$200,0),$M$4+($M$5-$M$4)*(1-EXP(-B24/$M$6)),0)</x:f>
      </x:c>
      <x:c r="I24" s="111">
        <x:f>IF(H24&gt;0,D24-H24,0)</x:f>
      </x:c>
      <x:c r="J24" s="111">
        <x:f>I24^2</x:f>
      </x:c>
      <x:c r="AB24" s="82">
        <x:f t="array" ref="AB24:AB24">MAX(IF($C$4:$C$200=MEDIAN($M$1-1,$M$1+1,C24),$D$4:$D$200,0))</x:f>
      </x:c>
      <x:c r="AC24" s="82">
        <x:f>ABS(D24-D25)</x:f>
      </x:c>
    </x:row>
    <x:row r="25" spans="1:29" x14ac:dyDescent="0.25">
      <x:c r="B25" s="82" t="n">
        <x:v>5.144</x:v>
      </x:c>
      <x:c r="C25" s="118" t="n">
        <x:v>99.96</x:v>
      </x:c>
      <x:c r="D25" s="82" t="n">
        <x:v>0.9497</x:v>
      </x:c>
      <x:c r="E25" s="118" t="n">
        <x:v>323.7</x:v>
      </x:c>
      <x:c r="F25" s="82">
        <x:f>IF(C25=MEDIAN($M$1-1,$M$1+1,C25),IF(D25&lt;=AVERAGE($AB$3,AVERAGEIF($B$4:$B$200,"&gt;20",$D$4:$D$200)),D25,0),0)</x:f>
      </x:c>
      <x:c r="H25" s="111">
        <x:f>IF(MATCH(F25,$F$4:$F$200,0)&gt;=MATCH(MAX($F$4:$F$200),$F$4:$F$200,0),$M$4+($M$5-$M$4)*(1-EXP(-B25/$M$6)),0)</x:f>
      </x:c>
      <x:c r="I25" s="111">
        <x:f>IF(H25&gt;0,D25-H25,0)</x:f>
      </x:c>
      <x:c r="J25" s="111">
        <x:f>I25^2</x:f>
      </x:c>
      <x:c r="AB25" s="82">
        <x:f t="array" ref="AB25:AB25">MAX(IF($C$4:$C$200=MEDIAN($M$1-1,$M$1+1,C25),$D$4:$D$200,0))</x:f>
      </x:c>
      <x:c r="AC25" s="82">
        <x:f>ABS(D25-D26)</x:f>
      </x:c>
    </x:row>
    <x:row r="26" spans="1:29" x14ac:dyDescent="0.25">
      <x:c r="B26" s="82" t="n">
        <x:v>5.416</x:v>
      </x:c>
      <x:c r="C26" s="118" t="n">
        <x:v>99.96</x:v>
      </x:c>
      <x:c r="D26" s="82" t="n">
        <x:v>0.9206</x:v>
      </x:c>
      <x:c r="E26" s="118" t="n">
        <x:v>323.7</x:v>
      </x:c>
      <x:c r="F26" s="82">
        <x:f>IF(C26=MEDIAN($M$1-1,$M$1+1,C26),IF(D26&lt;=AVERAGE($AB$3,AVERAGEIF($B$4:$B$200,"&gt;20",$D$4:$D$200)),D26,0),0)</x:f>
      </x:c>
      <x:c r="H26" s="111">
        <x:f>IF(MATCH(F26,$F$4:$F$200,0)&gt;=MATCH(MAX($F$4:$F$200),$F$4:$F$200,0),$M$4+($M$5-$M$4)*(1-EXP(-B26/$M$6)),0)</x:f>
      </x:c>
      <x:c r="I26" s="111">
        <x:f>IF(H26&gt;0,D26-H26,0)</x:f>
      </x:c>
      <x:c r="J26" s="111">
        <x:f>I26^2</x:f>
      </x:c>
      <x:c r="AB26" s="82">
        <x:f t="array" ref="AB26:AB26">MAX(IF($C$4:$C$200=MEDIAN($M$1-1,$M$1+1,C26),$D$4:$D$200,0))</x:f>
      </x:c>
      <x:c r="AC26" s="82">
        <x:f>ABS(D26-D27)</x:f>
      </x:c>
    </x:row>
    <x:row r="27" spans="1:29" x14ac:dyDescent="0.25">
      <x:c r="B27" s="82" t="n">
        <x:v>5.6</x:v>
      </x:c>
      <x:c r="C27" s="118" t="n">
        <x:v>99.94</x:v>
      </x:c>
      <x:c r="D27" s="82" t="n">
        <x:v>0.8891</x:v>
      </x:c>
      <x:c r="E27" s="118" t="n">
        <x:v>325.6</x:v>
      </x:c>
      <x:c r="F27" s="82">
        <x:f>IF(C27=MEDIAN($M$1-1,$M$1+1,C27),IF(D27&lt;=AVERAGE($AB$3,AVERAGEIF($B$4:$B$200,"&gt;20",$D$4:$D$200)),D27,0),0)</x:f>
      </x:c>
      <x:c r="H27" s="111">
        <x:f>IF(MATCH(F27,$F$4:$F$200,0)&gt;=MATCH(MAX($F$4:$F$200),$F$4:$F$200,0),$M$4+($M$5-$M$4)*(1-EXP(-B27/$M$6)),0)</x:f>
      </x:c>
      <x:c r="I27" s="111">
        <x:f>IF(H27&gt;0,D27-H27,0)</x:f>
      </x:c>
      <x:c r="J27" s="111">
        <x:f>I27^2</x:f>
      </x:c>
      <x:c r="AB27" s="82">
        <x:f t="array" ref="AB27:AB27">MAX(IF($C$4:$C$200=MEDIAN($M$1-1,$M$1+1,C27),$D$4:$D$200,0))</x:f>
      </x:c>
      <x:c r="AC27" s="82">
        <x:f>ABS(D27-D28)</x:f>
      </x:c>
    </x:row>
    <x:row r="28" spans="1:29" x14ac:dyDescent="0.25">
      <x:c r="B28" s="82" t="n">
        <x:v>5.892</x:v>
      </x:c>
      <x:c r="C28" s="118" t="n">
        <x:v>99.94</x:v>
      </x:c>
      <x:c r="D28" s="82" t="n">
        <x:v>0.8395</x:v>
      </x:c>
      <x:c r="E28" s="118" t="n">
        <x:v>325.6</x:v>
      </x:c>
      <x:c r="F28" s="82">
        <x:f>IF(C28=MEDIAN($M$1-1,$M$1+1,C28),IF(D28&lt;=AVERAGE($AB$3,AVERAGEIF($B$4:$B$200,"&gt;20",$D$4:$D$200)),D28,0),0)</x:f>
      </x:c>
      <x:c r="H28" s="111">
        <x:f>IF(MATCH(F28,$F$4:$F$200,0)&gt;=MATCH(MAX($F$4:$F$200),$F$4:$F$200,0),$M$4+($M$5-$M$4)*(1-EXP(-B28/$M$6)),0)</x:f>
      </x:c>
      <x:c r="I28" s="111">
        <x:f>IF(H28&gt;0,D28-H28,0)</x:f>
      </x:c>
      <x:c r="J28" s="111">
        <x:f>I28^2</x:f>
      </x:c>
      <x:c r="AB28" s="82">
        <x:f t="array" ref="AB28:AB28">MAX(IF($C$4:$C$200=MEDIAN($M$1-1,$M$1+1,C28),$D$4:$D$200,0))</x:f>
      </x:c>
      <x:c r="AC28" s="82">
        <x:f>ABS(D28-D29)</x:f>
      </x:c>
    </x:row>
    <x:row r="29" spans="1:29" x14ac:dyDescent="0.25">
      <x:c r="B29" s="82" t="n">
        <x:v>6.2</x:v>
      </x:c>
      <x:c r="C29" s="118" t="n">
        <x:v>99.91</x:v>
      </x:c>
      <x:c r="D29" s="82" t="n">
        <x:v>0.7595</x:v>
      </x:c>
      <x:c r="E29" s="118" t="n">
        <x:v>327.7</x:v>
      </x:c>
      <x:c r="F29" s="82">
        <x:f>IF(C29=MEDIAN($M$1-1,$M$1+1,C29),IF(D29&lt;=AVERAGE($AB$3,AVERAGEIF($B$4:$B$200,"&gt;20",$D$4:$D$200)),D29,0),0)</x:f>
      </x:c>
      <x:c r="H29" s="111">
        <x:f>IF(MATCH(F29,$F$4:$F$200,0)&gt;=MATCH(MAX($F$4:$F$200),$F$4:$F$200,0),$M$4+($M$5-$M$4)*(1-EXP(-B29/$M$6)),0)</x:f>
      </x:c>
      <x:c r="I29" s="111">
        <x:f>IF(H29&gt;0,D29-H29,0)</x:f>
      </x:c>
      <x:c r="J29" s="111">
        <x:f>I29^2</x:f>
      </x:c>
      <x:c r="AB29" s="82">
        <x:f t="array" ref="AB29:AB29">MAX(IF($C$4:$C$200=MEDIAN($M$1-1,$M$1+1,C29),$D$4:$D$200,0))</x:f>
      </x:c>
      <x:c r="AC29" s="82">
        <x:f>ABS(D29-D30)</x:f>
      </x:c>
    </x:row>
    <x:row r="30" spans="1:29" x14ac:dyDescent="0.25">
      <x:c r="B30" s="82" t="n">
        <x:v>6.4</x:v>
      </x:c>
      <x:c r="C30" s="118" t="n">
        <x:v>99.91</x:v>
      </x:c>
      <x:c r="D30" s="82" t="n">
        <x:v>0.7595</x:v>
      </x:c>
      <x:c r="E30" s="118" t="n">
        <x:v>327.7</x:v>
      </x:c>
      <x:c r="F30" s="82">
        <x:f>IF(C30=MEDIAN($M$1-1,$M$1+1,C30),IF(D30&lt;=AVERAGE($AB$3,AVERAGEIF($B$4:$B$200,"&gt;20",$D$4:$D$200)),D30,0),0)</x:f>
      </x:c>
      <x:c r="H30" s="111">
        <x:f>IF(MATCH(F30,$F$4:$F$200,0)&gt;=MATCH(MAX($F$4:$F$200),$F$4:$F$200,0),$M$4+($M$5-$M$4)*(1-EXP(-B30/$M$6)),0)</x:f>
      </x:c>
      <x:c r="I30" s="111">
        <x:f>IF(H30&gt;0,D30-H30,0)</x:f>
      </x:c>
      <x:c r="J30" s="111">
        <x:f>I30^2</x:f>
      </x:c>
      <x:c r="AB30" s="82">
        <x:f t="array" ref="AB30:AB30">MAX(IF($C$4:$C$200=MEDIAN($M$1-1,$M$1+1,C30),$D$4:$D$200,0))</x:f>
      </x:c>
      <x:c r="AC30" s="82">
        <x:f>ABS(D30-D31)</x:f>
      </x:c>
    </x:row>
    <x:row r="31" spans="1:29" x14ac:dyDescent="0.25">
      <x:c r="B31" s="82" t="n">
        <x:v>6.592</x:v>
      </x:c>
      <x:c r="C31" s="118" t="n">
        <x:v>99.95</x:v>
      </x:c>
      <x:c r="D31" s="82" t="n">
        <x:v>0.7067</x:v>
      </x:c>
      <x:c r="E31" s="118" t="n">
        <x:v>330</x:v>
      </x:c>
      <x:c r="F31" s="82">
        <x:f>IF(C31=MEDIAN($M$1-1,$M$1+1,C31),IF(D31&lt;=AVERAGE($AB$3,AVERAGEIF($B$4:$B$200,"&gt;20",$D$4:$D$200)),D31,0),0)</x:f>
      </x:c>
      <x:c r="H31" s="111">
        <x:f>IF(MATCH(F31,$F$4:$F$200,0)&gt;=MATCH(MAX($F$4:$F$200),$F$4:$F$200,0),$M$4+($M$5-$M$4)*(1-EXP(-B31/$M$6)),0)</x:f>
      </x:c>
      <x:c r="I31" s="111">
        <x:f>IF(H31&gt;0,D31-H31,0)</x:f>
      </x:c>
      <x:c r="J31" s="111">
        <x:f>I31^2</x:f>
      </x:c>
      <x:c r="Q31" s="82" t="s"/>
      <x:c r="AB31" s="82">
        <x:f t="array" ref="AB31:AB31">MAX(IF($C$4:$C$200=MEDIAN($M$1-1,$M$1+1,C31),$D$4:$D$200,0))</x:f>
      </x:c>
      <x:c r="AC31" s="82">
        <x:f>ABS(D31-D32)</x:f>
      </x:c>
    </x:row>
    <x:row r="32" spans="1:29" x14ac:dyDescent="0.25">
      <x:c r="B32" s="82" t="n">
        <x:v>6.88</x:v>
      </x:c>
      <x:c r="C32" s="118" t="n">
        <x:v>99.95</x:v>
      </x:c>
      <x:c r="D32" s="82" t="n">
        <x:v>0.6609</x:v>
      </x:c>
      <x:c r="E32" s="118" t="n">
        <x:v>330</x:v>
      </x:c>
      <x:c r="F32" s="82">
        <x:f>IF(C32=MEDIAN($M$1-1,$M$1+1,C32),IF(D32&lt;=AVERAGE($AB$3,AVERAGEIF($B$4:$B$200,"&gt;20",$D$4:$D$200)),D32,0),0)</x:f>
      </x:c>
      <x:c r="H32" s="111">
        <x:f>IF(MATCH(F32,$F$4:$F$200,0)&gt;=MATCH(MAX($F$4:$F$200),$F$4:$F$200,0),$M$4+($M$5-$M$4)*(1-EXP(-B32/$M$6)),0)</x:f>
      </x:c>
      <x:c r="I32" s="111">
        <x:f>IF(H32&gt;0,D32-H32,0)</x:f>
      </x:c>
      <x:c r="J32" s="111">
        <x:f>I32^2</x:f>
      </x:c>
      <x:c r="AB32" s="82">
        <x:f t="array" ref="AB32:AB32">MAX(IF($C$4:$C$200=MEDIAN($M$1-1,$M$1+1,C32),$D$4:$D$200,0))</x:f>
      </x:c>
      <x:c r="AC32" s="82">
        <x:f>ABS(D32-D33)</x:f>
      </x:c>
    </x:row>
    <x:row r="33" spans="1:29" x14ac:dyDescent="0.25">
      <x:c r="B33" s="82" t="n">
        <x:v>7.152</x:v>
      </x:c>
      <x:c r="C33" s="118" t="n">
        <x:v>99.98</x:v>
      </x:c>
      <x:c r="D33" s="82" t="n">
        <x:v>0.6311</x:v>
      </x:c>
      <x:c r="E33" s="118" t="n">
        <x:v>330.1</x:v>
      </x:c>
      <x:c r="F33" s="82">
        <x:f>IF(C33=MEDIAN($M$1-1,$M$1+1,C33),IF(D33&lt;=AVERAGE($AB$3,AVERAGEIF($B$4:$B$200,"&gt;20",$D$4:$D$200)),D33,0),0)</x:f>
      </x:c>
      <x:c r="H33" s="111">
        <x:f>IF(MATCH(F33,$F$4:$F$200,0)&gt;=MATCH(MAX($F$4:$F$200),$F$4:$F$200,0),$M$4+($M$5-$M$4)*(1-EXP(-B33/$M$6)),0)</x:f>
      </x:c>
      <x:c r="I33" s="111">
        <x:f>IF(H33&gt;0,D33-H33,0)</x:f>
      </x:c>
      <x:c r="J33" s="111">
        <x:f>I33^2</x:f>
      </x:c>
      <x:c r="AB33" s="82">
        <x:f t="array" ref="AB33:AB33">MAX(IF($C$4:$C$200=MEDIAN($M$1-1,$M$1+1,C33),$D$4:$D$200,0))</x:f>
      </x:c>
      <x:c r="AC33" s="82">
        <x:f>ABS(D33-D34)</x:f>
      </x:c>
    </x:row>
    <x:row r="34" spans="1:29" x14ac:dyDescent="0.25">
      <x:c r="B34" s="82" t="n">
        <x:v>7.36</x:v>
      </x:c>
      <x:c r="C34" s="118" t="n">
        <x:v>99.98</x:v>
      </x:c>
      <x:c r="D34" s="82" t="n">
        <x:v>0.5952</x:v>
      </x:c>
      <x:c r="E34" s="118" t="n">
        <x:v>330.1</x:v>
      </x:c>
      <x:c r="F34" s="82">
        <x:f>IF(C34=MEDIAN($M$1-1,$M$1+1,C34),IF(D34&lt;=AVERAGE($AB$3,AVERAGEIF($B$4:$B$200,"&gt;20",$D$4:$D$200)),D34,0),0)</x:f>
      </x:c>
      <x:c r="H34" s="111">
        <x:f>IF(MATCH(F34,$F$4:$F$200,0)&gt;=MATCH(MAX($F$4:$F$200),$F$4:$F$200,0),$M$4+($M$5-$M$4)*(1-EXP(-B34/$M$6)),0)</x:f>
      </x:c>
      <x:c r="I34" s="111">
        <x:f>IF(H34&gt;0,D34-H34,0)</x:f>
      </x:c>
      <x:c r="J34" s="111">
        <x:f>I34^2</x:f>
      </x:c>
      <x:c r="AB34" s="82">
        <x:f t="array" ref="AB34:AB34">MAX(IF($C$4:$C$200=MEDIAN($M$1-1,$M$1+1,C34),$D$4:$D$200,0))</x:f>
      </x:c>
      <x:c r="AC34" s="82">
        <x:f>ABS(D34-D35)</x:f>
      </x:c>
    </x:row>
    <x:row r="35" spans="1:29" x14ac:dyDescent="0.25">
      <x:c r="B35" s="82" t="n">
        <x:v>7.848</x:v>
      </x:c>
      <x:c r="C35" s="118" t="n">
        <x:v>99.96</x:v>
      </x:c>
      <x:c r="D35" s="82" t="n">
        <x:v>0.5506</x:v>
      </x:c>
      <x:c r="E35" s="118" t="n">
        <x:v>329.6</x:v>
      </x:c>
      <x:c r="F35" s="82">
        <x:f>IF(C35=MEDIAN($M$1-1,$M$1+1,C35),IF(D35&lt;=AVERAGE($AB$3,AVERAGEIF($B$4:$B$200,"&gt;20",$D$4:$D$200)),D35,0),0)</x:f>
      </x:c>
      <x:c r="H35" s="111">
        <x:f>IF(MATCH(F35,$F$4:$F$200,0)&gt;=MATCH(MAX($F$4:$F$200),$F$4:$F$200,0),$M$4+($M$5-$M$4)*(1-EXP(-B35/$M$6)),0)</x:f>
      </x:c>
      <x:c r="I35" s="111">
        <x:f>IF(H35&gt;0,D35-H35,0)</x:f>
      </x:c>
      <x:c r="J35" s="111">
        <x:f>I35^2</x:f>
      </x:c>
      <x:c r="AB35" s="82">
        <x:f t="array" ref="AB35:AB35">MAX(IF($C$4:$C$200=MEDIAN($M$1-1,$M$1+1,C35),$D$4:$D$200,0))</x:f>
      </x:c>
      <x:c r="AC35" s="82">
        <x:f>ABS(D35-D36)</x:f>
      </x:c>
    </x:row>
    <x:row r="36" spans="1:29" x14ac:dyDescent="0.25">
      <x:c r="B36" s="82" t="n">
        <x:v>8.052</x:v>
      </x:c>
      <x:c r="C36" s="118" t="n">
        <x:v>99.96</x:v>
      </x:c>
      <x:c r="D36" s="82" t="n">
        <x:v>0.5287</x:v>
      </x:c>
      <x:c r="E36" s="118" t="n">
        <x:v>330.2</x:v>
      </x:c>
      <x:c r="F36" s="82">
        <x:f>IF(C36=MEDIAN($M$1-1,$M$1+1,C36),IF(D36&lt;=AVERAGE($AB$3,AVERAGEIF($B$4:$B$200,"&gt;20",$D$4:$D$200)),D36,0),0)</x:f>
      </x:c>
      <x:c r="H36" s="111">
        <x:f>IF(MATCH(F36,$F$4:$F$200,0)&gt;=MATCH(MAX($F$4:$F$200),$F$4:$F$200,0),$M$4+($M$5-$M$4)*(1-EXP(-B36/$M$6)),0)</x:f>
      </x:c>
      <x:c r="I36" s="111">
        <x:f>IF(H36&gt;0,D36-H36,0)</x:f>
      </x:c>
      <x:c r="J36" s="111">
        <x:f>I36^2</x:f>
      </x:c>
      <x:c r="AB36" s="82">
        <x:f t="array" ref="AB36:AB36">MAX(IF($C$4:$C$200=MEDIAN($M$1-1,$M$1+1,C36),$D$4:$D$200,0))</x:f>
      </x:c>
      <x:c r="AC36" s="82">
        <x:f>ABS(D36-D37)</x:f>
      </x:c>
    </x:row>
    <x:row r="37" spans="1:29" x14ac:dyDescent="0.25">
      <x:c r="B37" s="82" t="n">
        <x:v>8.212</x:v>
      </x:c>
      <x:c r="C37" s="118" t="n">
        <x:v>99.96</x:v>
      </x:c>
      <x:c r="D37" s="82" t="n">
        <x:v>0.5128</x:v>
      </x:c>
      <x:c r="E37" s="118" t="n">
        <x:v>330.2</x:v>
      </x:c>
      <x:c r="F37" s="82">
        <x:f>IF(C37=MEDIAN($M$1-1,$M$1+1,C37),IF(D37&lt;=AVERAGE($AB$3,AVERAGEIF($B$4:$B$200,"&gt;20",$D$4:$D$200)),D37,0),0)</x:f>
      </x:c>
      <x:c r="H37" s="111">
        <x:f>IF(MATCH(F37,$F$4:$F$200,0)&gt;=MATCH(MAX($F$4:$F$200),$F$4:$F$200,0),$M$4+($M$5-$M$4)*(1-EXP(-B37/$M$6)),0)</x:f>
      </x:c>
      <x:c r="I37" s="111">
        <x:f>IF(H37&gt;0,D37-H37,0)</x:f>
      </x:c>
      <x:c r="J37" s="111">
        <x:f>I37^2</x:f>
      </x:c>
      <x:c r="AB37" s="82">
        <x:f t="array" ref="AB37:AB37">MAX(IF($C$4:$C$200=MEDIAN($M$1-1,$M$1+1,C37),$D$4:$D$200,0))</x:f>
      </x:c>
      <x:c r="AC37" s="82">
        <x:f>ABS(D37-D38)</x:f>
      </x:c>
    </x:row>
    <x:row r="38" spans="1:29" x14ac:dyDescent="0.25">
      <x:c r="B38" s="82" t="n">
        <x:v>8.392</x:v>
      </x:c>
      <x:c r="C38" s="118" t="n">
        <x:v>99.96</x:v>
      </x:c>
      <x:c r="D38" s="82" t="n">
        <x:v>0.5128</x:v>
      </x:c>
      <x:c r="E38" s="118" t="n">
        <x:v>330.2</x:v>
      </x:c>
      <x:c r="F38" s="82">
        <x:f>IF(C38=MEDIAN($M$1-1,$M$1+1,C38),IF(D38&lt;=AVERAGE($AB$3,AVERAGEIF($B$4:$B$200,"&gt;20",$D$4:$D$200)),D38,0),0)</x:f>
      </x:c>
      <x:c r="H38" s="111">
        <x:f>IF(MATCH(F38,$F$4:$F$200,0)&gt;=MATCH(MAX($F$4:$F$200),$F$4:$F$200,0),$M$4+($M$5-$M$4)*(1-EXP(-B38/$M$6)),0)</x:f>
      </x:c>
      <x:c r="I38" s="111">
        <x:f>IF(H38&gt;0,D38-H38,0)</x:f>
      </x:c>
      <x:c r="J38" s="111">
        <x:f>I38^2</x:f>
      </x:c>
      <x:c r="AB38" s="82">
        <x:f t="array" ref="AB38:AB38">MAX(IF($C$4:$C$200=MEDIAN($M$1-1,$M$1+1,C38),$D$4:$D$200,0))</x:f>
      </x:c>
      <x:c r="AC38" s="82">
        <x:f>ABS(D38-D39)</x:f>
      </x:c>
    </x:row>
    <x:row r="39" spans="1:29" x14ac:dyDescent="0.25">
      <x:c r="B39" s="82" t="n">
        <x:v>8.584</x:v>
      </x:c>
      <x:c r="C39" s="118" t="n">
        <x:v>99.96</x:v>
      </x:c>
      <x:c r="D39" s="82" t="n">
        <x:v>0.4909</x:v>
      </x:c>
      <x:c r="E39" s="118" t="n">
        <x:v>331.2</x:v>
      </x:c>
      <x:c r="F39" s="82">
        <x:f>IF(C39=MEDIAN($M$1-1,$M$1+1,C39),IF(D39&lt;=AVERAGE($AB$3,AVERAGEIF($B$4:$B$200,"&gt;20",$D$4:$D$200)),D39,0),0)</x:f>
      </x:c>
      <x:c r="H39" s="111">
        <x:f>IF(MATCH(F39,$F$4:$F$200,0)&gt;=MATCH(MAX($F$4:$F$200),$F$4:$F$200,0),$M$4+($M$5-$M$4)*(1-EXP(-B39/$M$6)),0)</x:f>
      </x:c>
      <x:c r="I39" s="111">
        <x:f>IF(H39&gt;0,D39-H39,0)</x:f>
      </x:c>
      <x:c r="J39" s="111">
        <x:f>I39^2</x:f>
      </x:c>
      <x:c r="AB39" s="82">
        <x:f t="array" ref="AB39:AB39">MAX(IF($C$4:$C$200=MEDIAN($M$1-1,$M$1+1,C39),$D$4:$D$200,0))</x:f>
      </x:c>
      <x:c r="AC39" s="82">
        <x:f>ABS(D39-D40)</x:f>
      </x:c>
    </x:row>
    <x:row r="40" spans="1:29" x14ac:dyDescent="0.25">
      <x:c r="B40" s="82" t="n">
        <x:v>8.9</x:v>
      </x:c>
      <x:c r="C40" s="118" t="n">
        <x:v>99.96</x:v>
      </x:c>
      <x:c r="D40" s="82" t="n">
        <x:v>0.4769</x:v>
      </x:c>
      <x:c r="E40" s="118" t="n">
        <x:v>331.2</x:v>
      </x:c>
      <x:c r="F40" s="82">
        <x:f>IF(C40=MEDIAN($M$1-1,$M$1+1,C40),IF(D40&lt;=AVERAGE($AB$3,AVERAGEIF($B$4:$B$200,"&gt;20",$D$4:$D$200)),D40,0),0)</x:f>
      </x:c>
      <x:c r="H40" s="111">
        <x:f>IF(MATCH(F40,$F$4:$F$200,0)&gt;=MATCH(MAX($F$4:$F$200),$F$4:$F$200,0),$M$4+($M$5-$M$4)*(1-EXP(-B40/$M$6)),0)</x:f>
      </x:c>
      <x:c r="I40" s="111">
        <x:f>IF(H40&gt;0,D40-H40,0)</x:f>
      </x:c>
      <x:c r="J40" s="111">
        <x:f>I40^2</x:f>
      </x:c>
      <x:c r="AB40" s="82">
        <x:f t="array" ref="AB40:AB40">MAX(IF($C$4:$C$200=MEDIAN($M$1-1,$M$1+1,C40),$D$4:$D$200,0))</x:f>
      </x:c>
      <x:c r="AC40" s="82">
        <x:f>ABS(D40-D41)</x:f>
      </x:c>
    </x:row>
    <x:row r="41" spans="1:29" x14ac:dyDescent="0.25">
      <x:c r="B41" s="82" t="n">
        <x:v>9.176</x:v>
      </x:c>
      <x:c r="C41" s="118" t="n">
        <x:v>99.94</x:v>
      </x:c>
      <x:c r="D41" s="82" t="n">
        <x:v>0.4588</x:v>
      </x:c>
      <x:c r="E41" s="118" t="n">
        <x:v>331.8</x:v>
      </x:c>
      <x:c r="F41" s="82">
        <x:f>IF(C41=MEDIAN($M$1-1,$M$1+1,C41),IF(D41&lt;=AVERAGE($AB$3,AVERAGEIF($B$4:$B$200,"&gt;20",$D$4:$D$200)),D41,0),0)</x:f>
      </x:c>
      <x:c r="H41" s="111">
        <x:f>IF(MATCH(F41,$F$4:$F$200,0)&gt;=MATCH(MAX($F$4:$F$200),$F$4:$F$200,0),$M$4+($M$5-$M$4)*(1-EXP(-B41/$M$6)),0)</x:f>
      </x:c>
      <x:c r="I41" s="111">
        <x:f>IF(H41&gt;0,D41-H41,0)</x:f>
      </x:c>
      <x:c r="J41" s="111">
        <x:f>I41^2</x:f>
      </x:c>
      <x:c r="AB41" s="82">
        <x:f t="array" ref="AB41:AB41">MAX(IF($C$4:$C$200=MEDIAN($M$1-1,$M$1+1,C41),$D$4:$D$200,0))</x:f>
      </x:c>
      <x:c r="AC41" s="82">
        <x:f>ABS(D41-D42)</x:f>
      </x:c>
    </x:row>
    <x:row r="42" spans="1:29" x14ac:dyDescent="0.25">
      <x:c r="B42" s="82" t="n">
        <x:v>9.38</x:v>
      </x:c>
      <x:c r="C42" s="118" t="n">
        <x:v>99.94</x:v>
      </x:c>
      <x:c r="D42" s="82" t="n">
        <x:v>0.4432</x:v>
      </x:c>
      <x:c r="E42" s="118" t="n">
        <x:v>331.8</x:v>
      </x:c>
      <x:c r="F42" s="82">
        <x:f>IF(C42=MEDIAN($M$1-1,$M$1+1,C42),IF(D42&lt;=AVERAGE($AB$3,AVERAGEIF($B$4:$B$200,"&gt;20",$D$4:$D$200)),D42,0),0)</x:f>
      </x:c>
      <x:c r="H42" s="111">
        <x:f>IF(MATCH(F42,$F$4:$F$200,0)&gt;=MATCH(MAX($F$4:$F$200),$F$4:$F$200,0),$M$4+($M$5-$M$4)*(1-EXP(-B42/$M$6)),0)</x:f>
      </x:c>
      <x:c r="I42" s="111">
        <x:f>IF(H42&gt;0,D42-H42,0)</x:f>
      </x:c>
      <x:c r="J42" s="111">
        <x:f>I42^2</x:f>
      </x:c>
      <x:c r="AB42" s="82">
        <x:f t="array" ref="AB42:AB42">MAX(IF($C$4:$C$200=MEDIAN($M$1-1,$M$1+1,C42),$D$4:$D$200,0))</x:f>
      </x:c>
      <x:c r="AC42" s="82">
        <x:f>ABS(D42-D43)</x:f>
      </x:c>
    </x:row>
    <x:row r="43" spans="1:29" x14ac:dyDescent="0.25">
      <x:c r="B43" s="82" t="n">
        <x:v>9.524</x:v>
      </x:c>
      <x:c r="C43" s="118" t="n">
        <x:v>99.9</x:v>
      </x:c>
      <x:c r="D43" s="82" t="n">
        <x:v>0.4389</x:v>
      </x:c>
      <x:c r="E43" s="118" t="n">
        <x:v>331.9</x:v>
      </x:c>
      <x:c r="F43" s="82">
        <x:f>IF(C43=MEDIAN($M$1-1,$M$1+1,C43),IF(D43&lt;=AVERAGE($AB$3,AVERAGEIF($B$4:$B$200,"&gt;20",$D$4:$D$200)),D43,0),0)</x:f>
      </x:c>
      <x:c r="H43" s="111">
        <x:f>IF(MATCH(F43,$F$4:$F$200,0)&gt;=MATCH(MAX($F$4:$F$200),$F$4:$F$200,0),$M$4+($M$5-$M$4)*(1-EXP(-B43/$M$6)),0)</x:f>
      </x:c>
      <x:c r="I43" s="111">
        <x:f>IF(H43&gt;0,D43-H43,0)</x:f>
      </x:c>
      <x:c r="J43" s="111">
        <x:f>I43^2</x:f>
      </x:c>
      <x:c r="AB43" s="82">
        <x:f t="array" ref="AB43:AB43">MAX(IF($C$4:$C$200=MEDIAN($M$1-1,$M$1+1,C43),$D$4:$D$200,0))</x:f>
      </x:c>
      <x:c r="AC43" s="82">
        <x:f>ABS(D43-D44)</x:f>
      </x:c>
    </x:row>
    <x:row r="44" spans="1:29" x14ac:dyDescent="0.25">
      <x:c r="B44" s="82" t="n">
        <x:v>9.764</x:v>
      </x:c>
      <x:c r="C44" s="118" t="n">
        <x:v>99.9</x:v>
      </x:c>
      <x:c r="D44" s="82" t="n">
        <x:v>0.4296</x:v>
      </x:c>
      <x:c r="E44" s="118" t="n">
        <x:v>331.9</x:v>
      </x:c>
      <x:c r="F44" s="82">
        <x:f>IF(C44=MEDIAN($M$1-1,$M$1+1,C44),IF(D44&lt;=AVERAGE($AB$3,AVERAGEIF($B$4:$B$200,"&gt;20",$D$4:$D$200)),D44,0),0)</x:f>
      </x:c>
      <x:c r="H44" s="111">
        <x:f>IF(MATCH(F44,$F$4:$F$200,0)&gt;=MATCH(MAX($F$4:$F$200),$F$4:$F$200,0),$M$4+($M$5-$M$4)*(1-EXP(-B44/$M$6)),0)</x:f>
      </x:c>
      <x:c r="I44" s="111">
        <x:f>IF(H44&gt;0,D44-H44,0)</x:f>
      </x:c>
      <x:c r="J44" s="111">
        <x:f>I44^2</x:f>
      </x:c>
      <x:c r="AB44" s="82">
        <x:f t="array" ref="AB44:AB44">MAX(IF($C$4:$C$200=MEDIAN($M$1-1,$M$1+1,C44),$D$4:$D$200,0))</x:f>
      </x:c>
      <x:c r="AC44" s="82">
        <x:f>ABS(D44-D45)</x:f>
      </x:c>
    </x:row>
    <x:row r="45" spans="1:29" x14ac:dyDescent="0.25">
      <x:c r="B45" s="82" t="n">
        <x:v>10.084</x:v>
      </x:c>
      <x:c r="C45" s="118" t="n">
        <x:v>99.87</x:v>
      </x:c>
      <x:c r="D45" s="82" t="n">
        <x:v>0.4227</x:v>
      </x:c>
      <x:c r="E45" s="118" t="n">
        <x:v>332.2</x:v>
      </x:c>
      <x:c r="F45" s="82">
        <x:f>IF(C45=MEDIAN($M$1-1,$M$1+1,C45),IF(D45&lt;=AVERAGE($AB$3,AVERAGEIF($B$4:$B$200,"&gt;20",$D$4:$D$200)),D45,0),0)</x:f>
      </x:c>
      <x:c r="H45" s="111">
        <x:f>IF(MATCH(F45,$F$4:$F$200,0)&gt;=MATCH(MAX($F$4:$F$200),$F$4:$F$200,0),$M$4+($M$5-$M$4)*(1-EXP(-B45/$M$6)),0)</x:f>
      </x:c>
      <x:c r="I45" s="111">
        <x:f>IF(H45&gt;0,D45-H45,0)</x:f>
      </x:c>
      <x:c r="J45" s="111">
        <x:f>I45^2</x:f>
      </x:c>
      <x:c r="AB45" s="82">
        <x:f t="array" ref="AB45:AB45">MAX(IF($C$4:$C$200=MEDIAN($M$1-1,$M$1+1,C45),$D$4:$D$200,0))</x:f>
      </x:c>
      <x:c r="AC45" s="82">
        <x:f>ABS(D45-D46)</x:f>
      </x:c>
    </x:row>
    <x:row r="46" spans="1:29" x14ac:dyDescent="0.25">
      <x:c r="B46" s="82" t="n">
        <x:v>10.268</x:v>
      </x:c>
      <x:c r="C46" s="118" t="n">
        <x:v>99.87</x:v>
      </x:c>
      <x:c r="D46" s="82" t="n">
        <x:v>0.4176</x:v>
      </x:c>
      <x:c r="E46" s="118" t="n">
        <x:v>332.2</x:v>
      </x:c>
      <x:c r="F46" s="82">
        <x:f>IF(C46=MEDIAN($M$1-1,$M$1+1,C46),IF(D46&lt;=AVERAGE($AB$3,AVERAGEIF($B$4:$B$200,"&gt;20",$D$4:$D$200)),D46,0),0)</x:f>
      </x:c>
      <x:c r="H46" s="111">
        <x:f>IF(MATCH(F46,$F$4:$F$200,0)&gt;=MATCH(MAX($F$4:$F$200),$F$4:$F$200,0),$M$4+($M$5-$M$4)*(1-EXP(-B46/$M$6)),0)</x:f>
      </x:c>
      <x:c r="I46" s="111">
        <x:f>IF(H46&gt;0,D46-H46,0)</x:f>
      </x:c>
      <x:c r="J46" s="111">
        <x:f>I46^2</x:f>
      </x:c>
      <x:c r="S46" s="120" t="s"/>
      <x:c r="V46" s="82" t="s"/>
      <x:c r="AB46" s="82">
        <x:f t="array" ref="AB46:AB46">MAX(IF($C$4:$C$200=MEDIAN($M$1-1,$M$1+1,C46),$D$4:$D$200,0))</x:f>
      </x:c>
      <x:c r="AC46" s="82">
        <x:f>ABS(D46-D47)</x:f>
      </x:c>
    </x:row>
    <x:row r="47" spans="1:29" x14ac:dyDescent="0.25">
      <x:c r="B47" s="82" t="n">
        <x:v>10.448</x:v>
      </x:c>
      <x:c r="C47" s="118" t="n">
        <x:v>99.85</x:v>
      </x:c>
      <x:c r="D47" s="82" t="n">
        <x:v>0.4125</x:v>
      </x:c>
      <x:c r="E47" s="118" t="n">
        <x:v>332.9</x:v>
      </x:c>
      <x:c r="F47" s="82">
        <x:f>IF(C47=MEDIAN($M$1-1,$M$1+1,C47),IF(D47&lt;=AVERAGE($AB$3,AVERAGEIF($B$4:$B$200,"&gt;20",$D$4:$D$200)),D47,0),0)</x:f>
      </x:c>
      <x:c r="H47" s="111">
        <x:f>IF(MATCH(F47,$F$4:$F$200,0)&gt;=MATCH(MAX($F$4:$F$200),$F$4:$F$200,0),$M$4+($M$5-$M$4)*(1-EXP(-B47/$M$6)),0)</x:f>
      </x:c>
      <x:c r="I47" s="111">
        <x:f>IF(H47&gt;0,D47-H47,0)</x:f>
      </x:c>
      <x:c r="J47" s="111">
        <x:f>I47^2</x:f>
      </x:c>
      <x:c r="S47" s="86" t="s"/>
      <x:c r="T47" s="110" t="s"/>
      <x:c r="U47" s="86" t="s"/>
      <x:c r="AB47" s="82">
        <x:f t="array" ref="AB47:AB47">MAX(IF($C$4:$C$200=MEDIAN($M$1-1,$M$1+1,C47),$D$4:$D$200,0))</x:f>
      </x:c>
      <x:c r="AC47" s="82">
        <x:f>ABS(D47-D48)</x:f>
      </x:c>
    </x:row>
    <x:row r="48" spans="1:29" x14ac:dyDescent="0.25">
      <x:c r="B48" s="82" t="n">
        <x:v>10.664</x:v>
      </x:c>
      <x:c r="C48" s="118" t="n">
        <x:v>99.85</x:v>
      </x:c>
      <x:c r="D48" s="82" t="n">
        <x:v>0.398</x:v>
      </x:c>
      <x:c r="E48" s="118" t="n">
        <x:v>332.9</x:v>
      </x:c>
      <x:c r="F48" s="82">
        <x:f>IF(C48=MEDIAN($M$1-1,$M$1+1,C48),IF(D48&lt;=AVERAGE($AB$3,AVERAGEIF($B$4:$B$200,"&gt;20",$D$4:$D$200)),D48,0),0)</x:f>
      </x:c>
      <x:c r="H48" s="111">
        <x:f>IF(MATCH(F48,$F$4:$F$200,0)&gt;=MATCH(MAX($F$4:$F$200),$F$4:$F$200,0),$M$4+($M$5-$M$4)*(1-EXP(-B48/$M$6)),0)</x:f>
      </x:c>
      <x:c r="I48" s="111">
        <x:f>IF(H48&gt;0,D48-H48,0)</x:f>
      </x:c>
      <x:c r="J48" s="111">
        <x:f>I48^2</x:f>
      </x:c>
      <x:c r="AB48" s="82">
        <x:f t="array" ref="AB48:AB48">MAX(IF($C$4:$C$200=MEDIAN($M$1-1,$M$1+1,C48),$D$4:$D$200,0))</x:f>
      </x:c>
      <x:c r="AC48" s="82">
        <x:f>ABS(D48-D49)</x:f>
      </x:c>
    </x:row>
    <x:row r="49" spans="1:29" x14ac:dyDescent="0.25">
      <x:c r="B49" s="82" t="n">
        <x:v>10.964</x:v>
      </x:c>
      <x:c r="C49" s="118" t="n">
        <x:v>99.93</x:v>
      </x:c>
      <x:c r="D49" s="82" t="n">
        <x:v>0.3872</x:v>
      </x:c>
      <x:c r="E49" s="118" t="n">
        <x:v>333.8</x:v>
      </x:c>
      <x:c r="F49" s="82">
        <x:f>IF(C49=MEDIAN($M$1-1,$M$1+1,C49),IF(D49&lt;=AVERAGE($AB$3,AVERAGEIF($B$4:$B$200,"&gt;20",$D$4:$D$200)),D49,0),0)</x:f>
      </x:c>
      <x:c r="H49" s="111">
        <x:f>IF(MATCH(F49,$F$4:$F$200,0)&gt;=MATCH(MAX($F$4:$F$200),$F$4:$F$200,0),$M$4+($M$5-$M$4)*(1-EXP(-B49/$M$6)),0)</x:f>
      </x:c>
      <x:c r="I49" s="111">
        <x:f>IF(H49&gt;0,D49-H49,0)</x:f>
      </x:c>
      <x:c r="J49" s="111">
        <x:f>I49^2</x:f>
      </x:c>
      <x:c r="AB49" s="82">
        <x:f t="array" ref="AB49:AB49">MAX(IF($C$4:$C$200=MEDIAN($M$1-1,$M$1+1,C49),$D$4:$D$200,0))</x:f>
      </x:c>
      <x:c r="AC49" s="82">
        <x:f>ABS(D49-D50)</x:f>
      </x:c>
    </x:row>
    <x:row r="50" spans="1:29" x14ac:dyDescent="0.25">
      <x:c r="B50" s="82" t="n">
        <x:v>11.22</x:v>
      </x:c>
      <x:c r="C50" s="118" t="n">
        <x:v>99.93</x:v>
      </x:c>
      <x:c r="D50" s="82" t="n">
        <x:v>0.3849</x:v>
      </x:c>
      <x:c r="E50" s="118" t="n">
        <x:v>333.8</x:v>
      </x:c>
      <x:c r="F50" s="82">
        <x:f>IF(C50=MEDIAN($M$1-1,$M$1+1,C50),IF(D50&lt;=AVERAGE($AB$3,AVERAGEIF($B$4:$B$200,"&gt;20",$D$4:$D$200)),D50,0),0)</x:f>
      </x:c>
      <x:c r="H50" s="111">
        <x:f>IF(MATCH(F50,$F$4:$F$200,0)&gt;=MATCH(MAX($F$4:$F$200),$F$4:$F$200,0),$M$4+($M$5-$M$4)*(1-EXP(-B50/$M$6)),0)</x:f>
      </x:c>
      <x:c r="I50" s="111">
        <x:f>IF(H50&gt;0,D50-H50,0)</x:f>
      </x:c>
      <x:c r="J50" s="111">
        <x:f>I50^2</x:f>
      </x:c>
      <x:c r="AB50" s="82">
        <x:f t="array" ref="AB50:AB50">MAX(IF($C$4:$C$200=MEDIAN($M$1-1,$M$1+1,C50),$D$4:$D$200,0))</x:f>
      </x:c>
      <x:c r="AC50" s="82">
        <x:f>ABS(D50-D51)</x:f>
      </x:c>
    </x:row>
    <x:row r="51" spans="1:29" x14ac:dyDescent="0.25">
      <x:c r="B51" s="82" t="n">
        <x:v>11.38</x:v>
      </x:c>
      <x:c r="C51" s="118" t="n">
        <x:v>99.89</x:v>
      </x:c>
      <x:c r="D51" s="82" t="n">
        <x:v>0.3849</x:v>
      </x:c>
      <x:c r="E51" s="118" t="n">
        <x:v>333.6</x:v>
      </x:c>
      <x:c r="F51" s="82">
        <x:f>IF(C51=MEDIAN($M$1-1,$M$1+1,C51),IF(D51&lt;=AVERAGE($AB$3,AVERAGEIF($B$4:$B$200,"&gt;20",$D$4:$D$200)),D51,0),0)</x:f>
      </x:c>
      <x:c r="H51" s="111">
        <x:f>IF(MATCH(F51,$F$4:$F$200,0)&gt;=MATCH(MAX($F$4:$F$200),$F$4:$F$200,0),$M$4+($M$5-$M$4)*(1-EXP(-B51/$M$6)),0)</x:f>
      </x:c>
      <x:c r="I51" s="111">
        <x:f>IF(H51&gt;0,D51-H51,0)</x:f>
      </x:c>
      <x:c r="J51" s="111">
        <x:f>I51^2</x:f>
      </x:c>
      <x:c r="AB51" s="82">
        <x:f t="array" ref="AB51:AB51">MAX(IF($C$4:$C$200=MEDIAN($M$1-1,$M$1+1,C51),$D$4:$D$200,0))</x:f>
      </x:c>
      <x:c r="AC51" s="82">
        <x:f>ABS(D51-D52)</x:f>
      </x:c>
    </x:row>
    <x:row r="52" spans="1:29" x14ac:dyDescent="0.25">
      <x:c r="B52" s="82" t="n">
        <x:v>11.54</x:v>
      </x:c>
      <x:c r="C52" s="118" t="n">
        <x:v>99.89</x:v>
      </x:c>
      <x:c r="D52" s="82" t="n">
        <x:v>0.386</x:v>
      </x:c>
      <x:c r="E52" s="118" t="n">
        <x:v>333.6</x:v>
      </x:c>
      <x:c r="F52" s="82">
        <x:f>IF(C52=MEDIAN($M$1-1,$M$1+1,C52),IF(D52&lt;=AVERAGE($AB$3,AVERAGEIF($B$4:$B$200,"&gt;20",$D$4:$D$200)),D52,0),0)</x:f>
      </x:c>
      <x:c r="H52" s="111">
        <x:f>IF(MATCH(F52,$F$4:$F$200,0)&gt;=MATCH(MAX($F$4:$F$200),$F$4:$F$200,0),$M$4+($M$5-$M$4)*(1-EXP(-B52/$M$6)),0)</x:f>
      </x:c>
      <x:c r="I52" s="111">
        <x:f>IF(H52&gt;0,D52-H52,0)</x:f>
      </x:c>
      <x:c r="J52" s="111">
        <x:f>I52^2</x:f>
      </x:c>
      <x:c r="AB52" s="82">
        <x:f t="array" ref="AB52:AB52">MAX(IF($C$4:$C$200=MEDIAN($M$1-1,$M$1+1,C52),$D$4:$D$200,0))</x:f>
      </x:c>
      <x:c r="AC52" s="82">
        <x:f>ABS(D52-D53)</x:f>
      </x:c>
    </x:row>
    <x:row r="53" spans="1:29" x14ac:dyDescent="0.25">
      <x:c r="B53" s="82" t="n">
        <x:v>11.86</x:v>
      </x:c>
      <x:c r="C53" s="118" t="n">
        <x:v>99.89</x:v>
      </x:c>
      <x:c r="D53" s="82" t="n">
        <x:v>0.3862</x:v>
      </x:c>
      <x:c r="E53" s="118" t="n">
        <x:v>334.6</x:v>
      </x:c>
      <x:c r="F53" s="82">
        <x:f>IF(C53=MEDIAN($M$1-1,$M$1+1,C53),IF(D53&lt;=AVERAGE($AB$3,AVERAGEIF($B$4:$B$200,"&gt;20",$D$4:$D$200)),D53,0),0)</x:f>
      </x:c>
      <x:c r="H53" s="111">
        <x:f>IF(MATCH(F53,$F$4:$F$200,0)&gt;=MATCH(MAX($F$4:$F$200),$F$4:$F$200,0),$M$4+($M$5-$M$4)*(1-EXP(-B53/$M$6)),0)</x:f>
      </x:c>
      <x:c r="I53" s="111">
        <x:f>IF(H53&gt;0,D53-H53,0)</x:f>
      </x:c>
      <x:c r="J53" s="111">
        <x:f>I53^2</x:f>
      </x:c>
      <x:c r="AB53" s="82">
        <x:f t="array" ref="AB53:AB53">MAX(IF($C$4:$C$200=MEDIAN($M$1-1,$M$1+1,C53),$D$4:$D$200,0))</x:f>
      </x:c>
      <x:c r="AC53" s="82">
        <x:f>ABS(D53-D54)</x:f>
      </x:c>
    </x:row>
    <x:row r="54" spans="1:29" x14ac:dyDescent="0.25">
      <x:c r="B54" s="82" t="n">
        <x:v>12.184</x:v>
      </x:c>
      <x:c r="C54" s="118" t="n">
        <x:v>99.89</x:v>
      </x:c>
      <x:c r="D54" s="82" t="n">
        <x:v>0.3819</x:v>
      </x:c>
      <x:c r="E54" s="118" t="n">
        <x:v>334.6</x:v>
      </x:c>
      <x:c r="F54" s="82">
        <x:f>IF(C54=MEDIAN($M$1-1,$M$1+1,C54),IF(D54&lt;=AVERAGE($AB$3,AVERAGEIF($B$4:$B$200,"&gt;20",$D$4:$D$200)),D54,0),0)</x:f>
      </x:c>
      <x:c r="H54" s="111">
        <x:f>IF(MATCH(F54,$F$4:$F$200,0)&gt;=MATCH(MAX($F$4:$F$200),$F$4:$F$200,0),$M$4+($M$5-$M$4)*(1-EXP(-B54/$M$6)),0)</x:f>
      </x:c>
      <x:c r="I54" s="111">
        <x:f>IF(H54&gt;0,D54-H54,0)</x:f>
      </x:c>
      <x:c r="J54" s="111">
        <x:f>I54^2</x:f>
      </x:c>
      <x:c r="AB54" s="82">
        <x:f t="array" ref="AB54:AB54">MAX(IF($C$4:$C$200=MEDIAN($M$1-1,$M$1+1,C54),$D$4:$D$200,0))</x:f>
      </x:c>
      <x:c r="AC54" s="82">
        <x:f>ABS(D54-D55)</x:f>
      </x:c>
    </x:row>
    <x:row r="55" spans="1:29" x14ac:dyDescent="0.25">
      <x:c r="B55" s="82" t="n">
        <x:v>12.34</x:v>
      </x:c>
      <x:c r="C55" s="118" t="n">
        <x:v>99.98</x:v>
      </x:c>
      <x:c r="D55" s="82" t="n">
        <x:v>0.3819</x:v>
      </x:c>
      <x:c r="E55" s="118" t="n">
        <x:v>335.1</x:v>
      </x:c>
      <x:c r="F55" s="82">
        <x:f>IF(C55=MEDIAN($M$1-1,$M$1+1,C55),IF(D55&lt;=AVERAGE($AB$3,AVERAGEIF($B$4:$B$200,"&gt;20",$D$4:$D$200)),D55,0),0)</x:f>
      </x:c>
      <x:c r="H55" s="111">
        <x:f>IF(MATCH(F55,$F$4:$F$200,0)&gt;=MATCH(MAX($F$4:$F$200),$F$4:$F$200,0),$M$4+($M$5-$M$4)*(1-EXP(-B55/$M$6)),0)</x:f>
      </x:c>
      <x:c r="I55" s="111">
        <x:f>IF(H55&gt;0,D55-H55,0)</x:f>
      </x:c>
      <x:c r="J55" s="111">
        <x:f>I55^2</x:f>
      </x:c>
      <x:c r="AB55" s="82">
        <x:f t="array" ref="AB55:AB55">MAX(IF($C$4:$C$200=MEDIAN($M$1-1,$M$1+1,C55),$D$4:$D$200,0))</x:f>
      </x:c>
      <x:c r="AC55" s="82">
        <x:f>ABS(D55-D56)</x:f>
      </x:c>
    </x:row>
    <x:row r="56" spans="1:29" x14ac:dyDescent="0.25">
      <x:c r="B56" s="82" t="n">
        <x:v>12.52</x:v>
      </x:c>
      <x:c r="C56" s="118" t="n">
        <x:v>99.98</x:v>
      </x:c>
      <x:c r="D56" s="82" t="n">
        <x:v>0.3729</x:v>
      </x:c>
      <x:c r="E56" s="118" t="n">
        <x:v>335.1</x:v>
      </x:c>
      <x:c r="F56" s="82">
        <x:f>IF(C56=MEDIAN($M$1-1,$M$1+1,C56),IF(D56&lt;=AVERAGE($AB$3,AVERAGEIF($B$4:$B$200,"&gt;20",$D$4:$D$200)),D56,0),0)</x:f>
      </x:c>
      <x:c r="H56" s="111">
        <x:f>IF(MATCH(F56,$F$4:$F$200,0)&gt;=MATCH(MAX($F$4:$F$200),$F$4:$F$200,0),$M$4+($M$5-$M$4)*(1-EXP(-B56/$M$6)),0)</x:f>
      </x:c>
      <x:c r="I56" s="111">
        <x:f>IF(H56&gt;0,D56-H56,0)</x:f>
      </x:c>
      <x:c r="J56" s="111">
        <x:f>I56^2</x:f>
      </x:c>
      <x:c r="AB56" s="82">
        <x:f t="array" ref="AB56:AB56">MAX(IF($C$4:$C$200=MEDIAN($M$1-1,$M$1+1,C56),$D$4:$D$200,0))</x:f>
      </x:c>
      <x:c r="AC56" s="82">
        <x:f>ABS(D56-D57)</x:f>
      </x:c>
    </x:row>
    <x:row r="57" spans="1:29" x14ac:dyDescent="0.25">
      <x:c r="B57" s="82" t="n">
        <x:v>12.788</x:v>
      </x:c>
      <x:c r="C57" s="118" t="n">
        <x:v>99.98</x:v>
      </x:c>
      <x:c r="D57" s="82" t="n">
        <x:v>0.3729</x:v>
      </x:c>
      <x:c r="E57" s="118" t="n">
        <x:v>335.1</x:v>
      </x:c>
      <x:c r="F57" s="82">
        <x:f>IF(C57=MEDIAN($M$1-1,$M$1+1,C57),IF(D57&lt;=AVERAGE($AB$3,AVERAGEIF($B$4:$B$200,"&gt;20",$D$4:$D$200)),D57,0),0)</x:f>
      </x:c>
      <x:c r="H57" s="111">
        <x:f>IF(MATCH(F57,$F$4:$F$200,0)&gt;=MATCH(MAX($F$4:$F$200),$F$4:$F$200,0),$M$4+($M$5-$M$4)*(1-EXP(-B57/$M$6)),0)</x:f>
      </x:c>
      <x:c r="I57" s="111">
        <x:f>IF(H57&gt;0,D57-H57,0)</x:f>
      </x:c>
      <x:c r="J57" s="111">
        <x:f>I57^2</x:f>
      </x:c>
      <x:c r="AB57" s="82">
        <x:f t="array" ref="AB57:AB57">MAX(IF($C$4:$C$200=MEDIAN($M$1-1,$M$1+1,C57),$D$4:$D$200,0))</x:f>
      </x:c>
      <x:c r="AC57" s="82">
        <x:f>ABS(D57-D58)</x:f>
      </x:c>
    </x:row>
    <x:row r="58" spans="1:29" x14ac:dyDescent="0.25">
      <x:c r="B58" s="82" t="n">
        <x:v>13.064</x:v>
      </x:c>
      <x:c r="C58" s="118" t="n">
        <x:v>99.9</x:v>
      </x:c>
      <x:c r="D58" s="82" t="n">
        <x:v>0.3653</x:v>
      </x:c>
      <x:c r="E58" s="118" t="n">
        <x:v>334.6</x:v>
      </x:c>
      <x:c r="F58" s="82">
        <x:f>IF(C58=MEDIAN($M$1-1,$M$1+1,C58),IF(D58&lt;=AVERAGE($AB$3,AVERAGEIF($B$4:$B$200,"&gt;20",$D$4:$D$200)),D58,0),0)</x:f>
      </x:c>
      <x:c r="H58" s="111">
        <x:f>IF(MATCH(F58,$F$4:$F$200,0)&gt;=MATCH(MAX($F$4:$F$200),$F$4:$F$200,0),$M$4+($M$5-$M$4)*(1-EXP(-B58/$M$6)),0)</x:f>
      </x:c>
      <x:c r="I58" s="111">
        <x:f>IF(H58&gt;0,D58-H58,0)</x:f>
      </x:c>
      <x:c r="J58" s="111">
        <x:f>I58^2</x:f>
      </x:c>
      <x:c r="AB58" s="82">
        <x:f t="array" ref="AB58:AB58">MAX(IF($C$4:$C$200=MEDIAN($M$1-1,$M$1+1,C58),$D$4:$D$200,0))</x:f>
      </x:c>
      <x:c r="AC58" s="82">
        <x:f>ABS(D58-D59)</x:f>
      </x:c>
    </x:row>
    <x:row r="59" spans="1:29" x14ac:dyDescent="0.25">
      <x:c r="B59" s="82" t="n">
        <x:v>13.288</x:v>
      </x:c>
      <x:c r="C59" s="118" t="n">
        <x:v>99.94</x:v>
      </x:c>
      <x:c r="D59" s="82" t="n">
        <x:v>0.3669</x:v>
      </x:c>
      <x:c r="E59" s="118" t="n">
        <x:v>334.6</x:v>
      </x:c>
      <x:c r="F59" s="82">
        <x:f>IF(C59=MEDIAN($M$1-1,$M$1+1,C59),IF(D59&lt;=AVERAGE($AB$3,AVERAGEIF($B$4:$B$200,"&gt;20",$D$4:$D$200)),D59,0),0)</x:f>
      </x:c>
      <x:c r="H59" s="111">
        <x:f>IF(MATCH(F59,$F$4:$F$200,0)&gt;=MATCH(MAX($F$4:$F$200),$F$4:$F$200,0),$M$4+($M$5-$M$4)*(1-EXP(-B59/$M$6)),0)</x:f>
      </x:c>
      <x:c r="I59" s="111">
        <x:f>IF(H59&gt;0,D59-H59,0)</x:f>
      </x:c>
      <x:c r="J59" s="111">
        <x:f>I59^2</x:f>
      </x:c>
      <x:c r="AB59" s="82">
        <x:f t="array" ref="AB59:AB59">MAX(IF($C$4:$C$200=MEDIAN($M$1-1,$M$1+1,C59),$D$4:$D$200,0))</x:f>
      </x:c>
      <x:c r="AC59" s="82">
        <x:f>ABS(D59-D60)</x:f>
      </x:c>
    </x:row>
    <x:row r="60" spans="1:29" x14ac:dyDescent="0.25">
      <x:c r="B60" s="82" t="n">
        <x:v>13.472</x:v>
      </x:c>
      <x:c r="C60" s="118" t="n">
        <x:v>99.94</x:v>
      </x:c>
      <x:c r="D60" s="82" t="n">
        <x:v>0.3754</x:v>
      </x:c>
      <x:c r="E60" s="118" t="n">
        <x:v>334.6</x:v>
      </x:c>
      <x:c r="F60" s="82">
        <x:f>IF(C60=MEDIAN($M$1-1,$M$1+1,C60),IF(D60&lt;=AVERAGE($AB$3,AVERAGEIF($B$4:$B$200,"&gt;20",$D$4:$D$200)),D60,0),0)</x:f>
      </x:c>
      <x:c r="H60" s="111">
        <x:f>IF(MATCH(F60,$F$4:$F$200,0)&gt;=MATCH(MAX($F$4:$F$200),$F$4:$F$200,0),$M$4+($M$5-$M$4)*(1-EXP(-B60/$M$6)),0)</x:f>
      </x:c>
      <x:c r="I60" s="111">
        <x:f>IF(H60&gt;0,D60-H60,0)</x:f>
      </x:c>
      <x:c r="J60" s="111">
        <x:f>I60^2</x:f>
      </x:c>
      <x:c r="AB60" s="82">
        <x:f t="array" ref="AB60:AB60">MAX(IF($C$4:$C$200=MEDIAN($M$1-1,$M$1+1,C60),$D$4:$D$200,0))</x:f>
      </x:c>
      <x:c r="AC60" s="82">
        <x:f>ABS(D60-D61)</x:f>
      </x:c>
    </x:row>
    <x:row r="61" spans="1:29" x14ac:dyDescent="0.25">
      <x:c r="B61" s="82" t="n">
        <x:v>13.624</x:v>
      </x:c>
      <x:c r="C61" s="118" t="n">
        <x:v>99.94</x:v>
      </x:c>
      <x:c r="D61" s="82" t="n">
        <x:v>0.3754</x:v>
      </x:c>
      <x:c r="E61" s="118" t="n">
        <x:v>334.6</x:v>
      </x:c>
      <x:c r="F61" s="82">
        <x:f>IF(C61=MEDIAN($M$1-1,$M$1+1,C61),IF(D61&lt;=AVERAGE($AB$3,AVERAGEIF($B$4:$B$200,"&gt;20",$D$4:$D$200)),D61,0),0)</x:f>
      </x:c>
      <x:c r="H61" s="111">
        <x:f>IF(MATCH(F61,$F$4:$F$200,0)&gt;=MATCH(MAX($F$4:$F$200),$F$4:$F$200,0),$M$4+($M$5-$M$4)*(1-EXP(-B61/$M$6)),0)</x:f>
      </x:c>
      <x:c r="I61" s="111">
        <x:f>IF(H61&gt;0,D61-H61,0)</x:f>
      </x:c>
      <x:c r="J61" s="111">
        <x:f>I61^2</x:f>
      </x:c>
      <x:c r="AB61" s="82">
        <x:f t="array" ref="AB61:AB61">MAX(IF($C$4:$C$200=MEDIAN($M$1-1,$M$1+1,C61),$D$4:$D$200,0))</x:f>
      </x:c>
      <x:c r="AC61" s="82">
        <x:f>ABS(D61-D62)</x:f>
      </x:c>
    </x:row>
    <x:row r="62" spans="1:29" x14ac:dyDescent="0.25">
      <x:c r="B62" s="82" t="n">
        <x:v>13.928</x:v>
      </x:c>
      <x:c r="C62" s="118" t="n">
        <x:v>99.77</x:v>
      </x:c>
      <x:c r="D62" s="118" t="n">
        <x:v>0.3794</x:v>
      </x:c>
      <x:c r="E62" s="118" t="n">
        <x:v>335.5</x:v>
      </x:c>
      <x:c r="F62" s="82">
        <x:f>IF(C62=MEDIAN($M$1-1,$M$1+1,C62),IF(D62&lt;=AVERAGE($AB$3,AVERAGEIF($B$4:$B$200,"&gt;20",$D$4:$D$200)),D62,0),0)</x:f>
      </x:c>
      <x:c r="H62" s="111">
        <x:f>IF(MATCH(F62,$F$4:$F$200,0)&gt;=MATCH(MAX($F$4:$F$200),$F$4:$F$200,0),$M$4+($M$5-$M$4)*(1-EXP(-B62/$M$6)),0)</x:f>
      </x:c>
      <x:c r="I62" s="111">
        <x:f>IF(H62&gt;0,D62-H62,0)</x:f>
      </x:c>
      <x:c r="J62" s="111">
        <x:f>I62^2</x:f>
      </x:c>
      <x:c r="AB62" s="82">
        <x:f t="array" ref="AB62:AB62">MAX(IF($C$4:$C$200=MEDIAN($M$1-1,$M$1+1,C62),$D$4:$D$200,0))</x:f>
      </x:c>
      <x:c r="AC62" s="82">
        <x:f>ABS(D62-D63)</x:f>
      </x:c>
    </x:row>
    <x:row r="63" spans="1:29" x14ac:dyDescent="0.25">
      <x:c r="B63" s="82" t="n">
        <x:v>14.328</x:v>
      </x:c>
      <x:c r="C63" s="118" t="n">
        <x:v>99.66</x:v>
      </x:c>
      <x:c r="D63" s="118" t="n">
        <x:v>0.3724</x:v>
      </x:c>
      <x:c r="E63" s="118" t="n">
        <x:v>335.7</x:v>
      </x:c>
      <x:c r="F63" s="82">
        <x:f>IF(C63=MEDIAN($M$1-1,$M$1+1,C63),IF(D63&lt;=AVERAGE($AB$3,AVERAGEIF($B$4:$B$200,"&gt;20",$D$4:$D$200)),D63,0),0)</x:f>
      </x:c>
      <x:c r="H63" s="111">
        <x:f>IF(MATCH(F63,$F$4:$F$200,0)&gt;=MATCH(MAX($F$4:$F$200),$F$4:$F$200,0),$M$4+($M$5-$M$4)*(1-EXP(-B63/$M$6)),0)</x:f>
      </x:c>
      <x:c r="I63" s="111">
        <x:f>IF(H63&gt;0,D63-H63,0)</x:f>
      </x:c>
      <x:c r="J63" s="111">
        <x:f>I63^2</x:f>
      </x:c>
      <x:c r="AB63" s="82">
        <x:f t="array" ref="AB63:AB63">MAX(IF($C$4:$C$200=MEDIAN($M$1-1,$M$1+1,C63),$D$4:$D$200,0))</x:f>
      </x:c>
      <x:c r="AC63" s="82">
        <x:f>ABS(D63-D64)</x:f>
      </x:c>
    </x:row>
    <x:row r="64" spans="1:29" x14ac:dyDescent="0.25">
      <x:c r="B64" s="82" t="n">
        <x:v>14.488</x:v>
      </x:c>
      <x:c r="C64" s="118" t="n">
        <x:v>99.66</x:v>
      </x:c>
      <x:c r="D64" s="118" t="n">
        <x:v>0.3591</x:v>
      </x:c>
      <x:c r="E64" s="118" t="n">
        <x:v>335.7</x:v>
      </x:c>
      <x:c r="F64" s="82">
        <x:f>IF(C64=MEDIAN($M$1-1,$M$1+1,C64),IF(D64&lt;=AVERAGE($AB$3,AVERAGEIF($B$4:$B$200,"&gt;20",$D$4:$D$200)),D64,0),0)</x:f>
      </x:c>
      <x:c r="H64" s="111">
        <x:f>IF(MATCH(F64,$F$4:$F$200,0)&gt;=MATCH(MAX($F$4:$F$200),$F$4:$F$200,0),$M$4+($M$5-$M$4)*(1-EXP(-B64/$M$6)),0)</x:f>
      </x:c>
      <x:c r="I64" s="111">
        <x:f>IF(H64&gt;0,D64-H64,0)</x:f>
      </x:c>
      <x:c r="J64" s="111">
        <x:f>I64^2</x:f>
      </x:c>
      <x:c r="AB64" s="82">
        <x:f t="array" ref="AB64:AB64">MAX(IF($C$4:$C$200=MEDIAN($M$1-1,$M$1+1,C64),$D$4:$D$200,0))</x:f>
      </x:c>
      <x:c r="AC64" s="82">
        <x:f>ABS(D64-D65)</x:f>
      </x:c>
    </x:row>
    <x:row r="65" spans="1:29" x14ac:dyDescent="0.25">
      <x:c r="B65" s="82" t="n">
        <x:v>14.668</x:v>
      </x:c>
      <x:c r="C65" s="118" t="n">
        <x:v>99.66</x:v>
      </x:c>
      <x:c r="D65" s="118" t="n">
        <x:v>0.3511</x:v>
      </x:c>
      <x:c r="E65" s="118" t="n">
        <x:v>335.7</x:v>
      </x:c>
      <x:c r="F65" s="82">
        <x:f>IF(C65=MEDIAN($M$1-1,$M$1+1,C65),IF(D65&lt;=AVERAGE($AB$3,AVERAGEIF($B$4:$B$200,"&gt;20",$D$4:$D$200)),D65,0),0)</x:f>
      </x:c>
      <x:c r="H65" s="111">
        <x:f>IF(MATCH(F65,$F$4:$F$200,0)&gt;=MATCH(MAX($F$4:$F$200),$F$4:$F$200,0),$M$4+($M$5-$M$4)*(1-EXP(-B65/$M$6)),0)</x:f>
      </x:c>
      <x:c r="I65" s="111">
        <x:f>IF(H65&gt;0,D65-H65,0)</x:f>
      </x:c>
      <x:c r="J65" s="111">
        <x:f>I65^2</x:f>
      </x:c>
      <x:c r="AB65" s="82">
        <x:f t="array" ref="AB65:AB65">MAX(IF($C$4:$C$200=MEDIAN($M$1-1,$M$1+1,C65),$D$4:$D$200,0))</x:f>
      </x:c>
      <x:c r="AC65" s="82">
        <x:f>ABS(D65-D66)</x:f>
      </x:c>
    </x:row>
    <x:row r="66" spans="1:29" x14ac:dyDescent="0.25">
      <x:c r="B66" s="82" t="n">
        <x:v>14.984</x:v>
      </x:c>
      <x:c r="C66" s="118" t="n">
        <x:v>99.68</x:v>
      </x:c>
      <x:c r="D66" s="118" t="n">
        <x:v>0.3446</x:v>
      </x:c>
      <x:c r="E66" s="118" t="n">
        <x:v>334.8</x:v>
      </x:c>
      <x:c r="F66" s="82">
        <x:f>IF(C66=MEDIAN($M$1-1,$M$1+1,C66),IF(D66&lt;=AVERAGE($AB$3,AVERAGEIF($B$4:$B$200,"&gt;20",$D$4:$D$200)),D66,0),0)</x:f>
      </x:c>
      <x:c r="H66" s="111">
        <x:f>IF(MATCH(F66,$F$4:$F$200,0)&gt;=MATCH(MAX($F$4:$F$200),$F$4:$F$200,0),$M$4+($M$5-$M$4)*(1-EXP(-B66/$M$6)),0)</x:f>
      </x:c>
      <x:c r="I66" s="111">
        <x:f>IF(H66&gt;0,D66-H66,0)</x:f>
      </x:c>
      <x:c r="J66" s="111">
        <x:f>I66^2</x:f>
      </x:c>
      <x:c r="AB66" s="82">
        <x:f t="array" ref="AB66:AB66">MAX(IF($C$4:$C$200=MEDIAN($M$1-1,$M$1+1,C66),$D$4:$D$200,0))</x:f>
      </x:c>
      <x:c r="AC66" s="82">
        <x:f>ABS(D66-D67)</x:f>
      </x:c>
    </x:row>
    <x:row r="67" spans="1:29" x14ac:dyDescent="0.25">
      <x:c r="B67" s="82" t="n">
        <x:v>15.288</x:v>
      </x:c>
      <x:c r="C67" s="118" t="n">
        <x:v>99.59</x:v>
      </x:c>
      <x:c r="D67" s="118" t="n">
        <x:v>0.3568</x:v>
      </x:c>
      <x:c r="E67" s="118" t="n">
        <x:v>334.8</x:v>
      </x:c>
      <x:c r="F67" s="82">
        <x:f>IF(C67=MEDIAN($M$1-1,$M$1+1,C67),IF(D67&lt;=AVERAGE($AB$3,AVERAGEIF($B$4:$B$200,"&gt;20",$D$4:$D$200)),D67,0),0)</x:f>
      </x:c>
      <x:c r="H67" s="111">
        <x:f>IF(MATCH(F67,$F$4:$F$200,0)&gt;=MATCH(MAX($F$4:$F$200),$F$4:$F$200,0),$M$4+($M$5-$M$4)*(1-EXP(-B67/$M$6)),0)</x:f>
      </x:c>
      <x:c r="I67" s="111">
        <x:f>IF(H67&gt;0,D67-H67,0)</x:f>
      </x:c>
      <x:c r="J67" s="111">
        <x:f>I67^2</x:f>
      </x:c>
      <x:c r="AB67" s="82">
        <x:f t="array" ref="AB67:AB67">MAX(IF($C$4:$C$200=MEDIAN($M$1-1,$M$1+1,C67),$D$4:$D$200,0))</x:f>
      </x:c>
      <x:c r="AC67" s="82">
        <x:f>ABS(D67-D68)</x:f>
      </x:c>
    </x:row>
    <x:row r="68" spans="1:29" x14ac:dyDescent="0.25">
      <x:c r="B68" s="82" t="n">
        <x:v>15.464</x:v>
      </x:c>
      <x:c r="C68" s="118" t="n">
        <x:v>99.59</x:v>
      </x:c>
      <x:c r="D68" s="118" t="n">
        <x:v>0.3671</x:v>
      </x:c>
      <x:c r="E68" s="118" t="n">
        <x:v>334.8</x:v>
      </x:c>
      <x:c r="F68" s="82">
        <x:f>IF(C68=MEDIAN($M$1-1,$M$1+1,C68),IF(D68&lt;=AVERAGE($AB$3,AVERAGEIF($B$4:$B$200,"&gt;20",$D$4:$D$200)),D68,0),0)</x:f>
      </x:c>
      <x:c r="H68" s="111">
        <x:f>IF(MATCH(F68,$F$4:$F$200,0)&gt;=MATCH(MAX($F$4:$F$200),$F$4:$F$200,0),$M$4+($M$5-$M$4)*(1-EXP(-B68/$M$6)),0)</x:f>
      </x:c>
      <x:c r="I68" s="111">
        <x:f>IF(H68&gt;0,D68-H68,0)</x:f>
      </x:c>
      <x:c r="J68" s="111">
        <x:f>I68^2</x:f>
      </x:c>
      <x:c r="AB68" s="82">
        <x:f t="array" ref="AB68:AB68">MAX(IF($C$4:$C$200=MEDIAN($M$1-1,$M$1+1,C68),$D$4:$D$200,0))</x:f>
      </x:c>
      <x:c r="AC68" s="82">
        <x:f>ABS(D68-D69)</x:f>
      </x:c>
    </x:row>
    <x:row r="69" spans="1:29" x14ac:dyDescent="0.25">
      <x:c r="B69" s="82" t="n">
        <x:v>15.696</x:v>
      </x:c>
      <x:c r="C69" s="118" t="n">
        <x:v>99.74</x:v>
      </x:c>
      <x:c r="D69" s="118" t="n">
        <x:v>0.3739</x:v>
      </x:c>
      <x:c r="E69" s="118" t="n">
        <x:v>336.4</x:v>
      </x:c>
      <x:c r="F69" s="82">
        <x:f>IF(C69=MEDIAN($M$1-1,$M$1+1,C69),IF(D69&lt;=AVERAGE($AB$3,AVERAGEIF($B$4:$B$200,"&gt;20",$D$4:$D$200)),D69,0),0)</x:f>
      </x:c>
      <x:c r="H69" s="111">
        <x:f>IF(MATCH(F69,$F$4:$F$200,0)&gt;=MATCH(MAX($F$4:$F$200),$F$4:$F$200,0),$M$4+($M$5-$M$4)*(1-EXP(-B69/$M$6)),0)</x:f>
      </x:c>
      <x:c r="I69" s="111">
        <x:f>IF(H69&gt;0,D69-H69,0)</x:f>
      </x:c>
      <x:c r="J69" s="111">
        <x:f>I69^2</x:f>
      </x:c>
      <x:c r="AB69" s="82">
        <x:f t="array" ref="AB69:AB69">MAX(IF($C$4:$C$200=MEDIAN($M$1-1,$M$1+1,C69),$D$4:$D$200,0))</x:f>
      </x:c>
      <x:c r="AC69" s="82">
        <x:f>ABS(D69-D70)</x:f>
      </x:c>
    </x:row>
    <x:row r="70" spans="1:29" x14ac:dyDescent="0.25">
      <x:c r="B70" s="82" t="n">
        <x:v>15.988</x:v>
      </x:c>
      <x:c r="C70" s="118" t="n">
        <x:v>99.74</x:v>
      </x:c>
      <x:c r="D70" s="118" t="n">
        <x:v>0.368</x:v>
      </x:c>
      <x:c r="E70" s="118" t="n">
        <x:v>336.4</x:v>
      </x:c>
      <x:c r="F70" s="82">
        <x:f>IF(C70=MEDIAN($M$1-1,$M$1+1,C70),IF(D70&lt;=AVERAGE($AB$3,AVERAGEIF($B$4:$B$200,"&gt;20",$D$4:$D$200)),D70,0),0)</x:f>
      </x:c>
      <x:c r="H70" s="111">
        <x:f>IF(MATCH(F70,$F$4:$F$200,0)&gt;=MATCH(MAX($F$4:$F$200),$F$4:$F$200,0),$M$4+($M$5-$M$4)*(1-EXP(-B70/$M$6)),0)</x:f>
      </x:c>
      <x:c r="I70" s="111">
        <x:f>IF(H70&gt;0,D70-H70,0)</x:f>
      </x:c>
      <x:c r="J70" s="111">
        <x:f>I70^2</x:f>
      </x:c>
      <x:c r="AB70" s="82">
        <x:f t="array" ref="AB70:AB70">MAX(IF($C$4:$C$200=MEDIAN($M$1-1,$M$1+1,C70),$D$4:$D$200,0))</x:f>
      </x:c>
      <x:c r="AC70" s="82">
        <x:f>ABS(D70-D71)</x:f>
      </x:c>
    </x:row>
    <x:row r="71" spans="1:29" x14ac:dyDescent="0.25">
      <x:c r="B71" s="82" t="n">
        <x:v>16.264</x:v>
      </x:c>
      <x:c r="C71" s="118" t="n">
        <x:v>99.7</x:v>
      </x:c>
      <x:c r="D71" s="118" t="n">
        <x:v>0.3596</x:v>
      </x:c>
      <x:c r="E71" s="118" t="n">
        <x:v>336.6</x:v>
      </x:c>
      <x:c r="F71" s="82">
        <x:f>IF(C71=MEDIAN($M$1-1,$M$1+1,C71),IF(D71&lt;=AVERAGE($AB$3,AVERAGEIF($B$4:$B$200,"&gt;20",$D$4:$D$200)),D71,0),0)</x:f>
      </x:c>
      <x:c r="H71" s="111">
        <x:f>IF(MATCH(F71,$F$4:$F$200,0)&gt;=MATCH(MAX($F$4:$F$200),$F$4:$F$200,0),$M$4+($M$5-$M$4)*(1-EXP(-B71/$M$6)),0)</x:f>
      </x:c>
      <x:c r="I71" s="111">
        <x:f>IF(H71&gt;0,D71-H71,0)</x:f>
      </x:c>
      <x:c r="J71" s="111">
        <x:f>I71^2</x:f>
      </x:c>
      <x:c r="Q71" s="82" t="s"/>
      <x:c r="V71" s="82" t="s"/>
      <x:c r="AB71" s="82">
        <x:f t="array" ref="AB71:AB71">MAX(IF($C$4:$C$200=MEDIAN($M$1-1,$M$1+1,C71),$D$4:$D$200,0))</x:f>
      </x:c>
      <x:c r="AC71" s="82">
        <x:f>ABS(D71-D72)</x:f>
      </x:c>
    </x:row>
    <x:row r="72" spans="1:29" x14ac:dyDescent="0.25">
      <x:c r="B72" s="82" t="n">
        <x:v>16.52</x:v>
      </x:c>
      <x:c r="C72" s="118" t="n">
        <x:v>99.7</x:v>
      </x:c>
      <x:c r="D72" s="118" t="n">
        <x:v>0.3473</x:v>
      </x:c>
      <x:c r="E72" s="118" t="n">
        <x:v>336.6</x:v>
      </x:c>
      <x:c r="F72" s="82">
        <x:f>IF(C72=MEDIAN($M$1-1,$M$1+1,C72),IF(D72&lt;=AVERAGE($AB$3,AVERAGEIF($B$4:$B$200,"&gt;20",$D$4:$D$200)),D72,0),0)</x:f>
      </x:c>
      <x:c r="H72" s="111">
        <x:f>IF(MATCH(F72,$F$4:$F$200,0)&gt;=MATCH(MAX($F$4:$F$200),$F$4:$F$200,0),$M$4+($M$5-$M$4)*(1-EXP(-B72/$M$6)),0)</x:f>
      </x:c>
      <x:c r="I72" s="111">
        <x:f>IF(H72&gt;0,D72-H72,0)</x:f>
      </x:c>
      <x:c r="J72" s="111">
        <x:f>I72^2</x:f>
      </x:c>
      <x:c r="S72" s="121" t="s"/>
      <x:c r="T72" s="122" t="s"/>
      <x:c r="U72" s="121" t="s"/>
      <x:c r="V72" s="87" t="s"/>
      <x:c r="AB72" s="82">
        <x:f t="array" ref="AB72:AB72">MAX(IF($C$4:$C$200=MEDIAN($M$1-1,$M$1+1,C72),$D$4:$D$200,0))</x:f>
      </x:c>
      <x:c r="AC72" s="82">
        <x:f>ABS(D72-D73)</x:f>
      </x:c>
    </x:row>
    <x:row r="73" spans="1:29" x14ac:dyDescent="0.25">
      <x:c r="B73" s="82" t="n">
        <x:v>16.776</x:v>
      </x:c>
      <x:c r="C73" s="118" t="n">
        <x:v>99.7</x:v>
      </x:c>
      <x:c r="D73" s="118" t="n">
        <x:v>0.3427</x:v>
      </x:c>
      <x:c r="E73" s="118" t="n">
        <x:v>335.4</x:v>
      </x:c>
      <x:c r="F73" s="82">
        <x:f>IF(C73=MEDIAN($M$1-1,$M$1+1,C73),IF(D73&lt;=AVERAGE($AB$3,AVERAGEIF($B$4:$B$200,"&gt;20",$D$4:$D$200)),D73,0),0)</x:f>
      </x:c>
      <x:c r="H73" s="111">
        <x:f>IF(MATCH(F73,$F$4:$F$200,0)&gt;=MATCH(MAX($F$4:$F$200),$F$4:$F$200,0),$M$4+($M$5-$M$4)*(1-EXP(-B73/$M$6)),0)</x:f>
      </x:c>
      <x:c r="I73" s="111">
        <x:f>IF(H73&gt;0,D73-H73,0)</x:f>
      </x:c>
      <x:c r="J73" s="111">
        <x:f>I73^2</x:f>
      </x:c>
      <x:c r="AB73" s="82">
        <x:f t="array" ref="AB73:AB73">MAX(IF($C$4:$C$200=MEDIAN($M$1-1,$M$1+1,C73),$D$4:$D$200,0))</x:f>
      </x:c>
      <x:c r="AC73" s="82">
        <x:f>ABS(D73-D74)</x:f>
      </x:c>
    </x:row>
    <x:row r="74" spans="1:29" x14ac:dyDescent="0.25">
      <x:c r="B74" s="82" t="n">
        <x:v>17.032</x:v>
      </x:c>
      <x:c r="C74" s="118" t="n">
        <x:v>99.7</x:v>
      </x:c>
      <x:c r="D74" s="118" t="n">
        <x:v>0.3452</x:v>
      </x:c>
      <x:c r="E74" s="118" t="n">
        <x:v>335.4</x:v>
      </x:c>
      <x:c r="F74" s="82">
        <x:f>IF(C74=MEDIAN($M$1-1,$M$1+1,C74),IF(D74&lt;=AVERAGE($AB$3,AVERAGEIF($B$4:$B$200,"&gt;20",$D$4:$D$200)),D74,0),0)</x:f>
      </x:c>
      <x:c r="H74" s="111">
        <x:f>IF(MATCH(F74,$F$4:$F$200,0)&gt;=MATCH(MAX($F$4:$F$200),$F$4:$F$200,0),$M$4+($M$5-$M$4)*(1-EXP(-B74/$M$6)),0)</x:f>
      </x:c>
      <x:c r="I74" s="111">
        <x:f>IF(H74&gt;0,D74-H74,0)</x:f>
      </x:c>
      <x:c r="J74" s="111">
        <x:f>I74^2</x:f>
      </x:c>
      <x:c r="AB74" s="82">
        <x:f t="array" ref="AB74:AB74">MAX(IF($C$4:$C$200=MEDIAN($M$1-1,$M$1+1,C74),$D$4:$D$200,0))</x:f>
      </x:c>
      <x:c r="AC74" s="82">
        <x:f>ABS(D74-D75)</x:f>
      </x:c>
    </x:row>
    <x:row r="75" spans="1:29" x14ac:dyDescent="0.25">
      <x:c r="B75" s="82" t="n">
        <x:v>17.304</x:v>
      </x:c>
      <x:c r="C75" s="118" t="n">
        <x:v>99.84</x:v>
      </x:c>
      <x:c r="D75" s="118" t="n">
        <x:v>0.3545</x:v>
      </x:c>
      <x:c r="E75" s="118" t="n">
        <x:v>335.7</x:v>
      </x:c>
      <x:c r="F75" s="82">
        <x:f>IF(C75=MEDIAN($M$1-1,$M$1+1,C75),IF(D75&lt;=AVERAGE($AB$3,AVERAGEIF($B$4:$B$200,"&gt;20",$D$4:$D$200)),D75,0),0)</x:f>
      </x:c>
      <x:c r="H75" s="111">
        <x:f>IF(MATCH(F75,$F$4:$F$200,0)&gt;=MATCH(MAX($F$4:$F$200),$F$4:$F$200,0),$M$4+($M$5-$M$4)*(1-EXP(-B75/$M$6)),0)</x:f>
      </x:c>
      <x:c r="I75" s="111">
        <x:f>IF(H75&gt;0,D75-H75,0)</x:f>
      </x:c>
      <x:c r="J75" s="111">
        <x:f>I75^2</x:f>
      </x:c>
      <x:c r="AB75" s="82">
        <x:f t="array" ref="AB75:AB75">MAX(IF($C$4:$C$200=MEDIAN($M$1-1,$M$1+1,C75),$D$4:$D$200,0))</x:f>
      </x:c>
      <x:c r="AC75" s="82">
        <x:f>ABS(D75-D76)</x:f>
      </x:c>
    </x:row>
    <x:row r="76" spans="1:29" x14ac:dyDescent="0.25">
      <x:c r="B76" s="82" t="n">
        <x:v>17.48</x:v>
      </x:c>
      <x:c r="C76" s="118" t="n">
        <x:v>99.84</x:v>
      </x:c>
      <x:c r="D76" s="118" t="n">
        <x:v>0.36</x:v>
      </x:c>
      <x:c r="E76" s="118" t="n">
        <x:v>335.7</x:v>
      </x:c>
      <x:c r="F76" s="82">
        <x:f>IF(C76=MEDIAN($M$1-1,$M$1+1,C76),IF(D76&lt;=AVERAGE($AB$3,AVERAGEIF($B$4:$B$200,"&gt;20",$D$4:$D$200)),D76,0),0)</x:f>
      </x:c>
      <x:c r="H76" s="111">
        <x:f>IF(MATCH(F76,$F$4:$F$200,0)&gt;=MATCH(MAX($F$4:$F$200),$F$4:$F$200,0),$M$4+($M$5-$M$4)*(1-EXP(-B76/$M$6)),0)</x:f>
      </x:c>
      <x:c r="I76" s="111">
        <x:f>IF(H76&gt;0,D76-H76,0)</x:f>
      </x:c>
      <x:c r="J76" s="111">
        <x:f>I76^2</x:f>
      </x:c>
      <x:c r="AB76" s="82">
        <x:f t="array" ref="AB76:AB76">MAX(IF($C$4:$C$200=MEDIAN($M$1-1,$M$1+1,C76),$D$4:$D$200,0))</x:f>
      </x:c>
      <x:c r="AC76" s="82">
        <x:f>ABS(D76-D77)</x:f>
      </x:c>
    </x:row>
    <x:row r="77" spans="1:29" x14ac:dyDescent="0.25">
      <x:c r="B77" s="82" t="n">
        <x:v>17.672</x:v>
      </x:c>
      <x:c r="C77" s="118" t="n">
        <x:v>99.87</x:v>
      </x:c>
      <x:c r="D77" s="118" t="n">
        <x:v>0.3614</x:v>
      </x:c>
      <x:c r="E77" s="118" t="n">
        <x:v>336.6</x:v>
      </x:c>
      <x:c r="F77" s="82">
        <x:f>IF(C77=MEDIAN($M$1-1,$M$1+1,C77),IF(D77&lt;=AVERAGE($AB$3,AVERAGEIF($B$4:$B$200,"&gt;20",$D$4:$D$200)),D77,0),0)</x:f>
      </x:c>
      <x:c r="H77" s="111">
        <x:f>IF(MATCH(F77,$F$4:$F$200,0)&gt;=MATCH(MAX($F$4:$F$200),$F$4:$F$200,0),$M$4+($M$5-$M$4)*(1-EXP(-B77/$M$6)),0)</x:f>
      </x:c>
      <x:c r="I77" s="111">
        <x:f>IF(H77&gt;0,D77-H77,0)</x:f>
      </x:c>
      <x:c r="J77" s="111">
        <x:f>I77^2</x:f>
      </x:c>
      <x:c r="AB77" s="82">
        <x:f t="array" ref="AB77:AB77">MAX(IF($C$4:$C$200=MEDIAN($M$1-1,$M$1+1,C77),$D$4:$D$200,0))</x:f>
      </x:c>
      <x:c r="AC77" s="82">
        <x:f>ABS(D77-D78)</x:f>
      </x:c>
    </x:row>
    <x:row r="78" spans="1:29" x14ac:dyDescent="0.25">
      <x:c r="B78" s="82" t="n">
        <x:v>17.96</x:v>
      </x:c>
      <x:c r="C78" s="118" t="n">
        <x:v>99.87</x:v>
      </x:c>
      <x:c r="D78" s="118" t="n">
        <x:v>0.3619</x:v>
      </x:c>
      <x:c r="E78" s="118" t="n">
        <x:v>336.6</x:v>
      </x:c>
      <x:c r="F78" s="82">
        <x:f>IF(C78=MEDIAN($M$1-1,$M$1+1,C78),IF(D78&lt;=AVERAGE($AB$3,AVERAGEIF($B$4:$B$200,"&gt;20",$D$4:$D$200)),D78,0),0)</x:f>
      </x:c>
      <x:c r="H78" s="111">
        <x:f>IF(MATCH(F78,$F$4:$F$200,0)&gt;=MATCH(MAX($F$4:$F$200),$F$4:$F$200,0),$M$4+($M$5-$M$4)*(1-EXP(-B78/$M$6)),0)</x:f>
      </x:c>
      <x:c r="I78" s="111">
        <x:f>IF(H78&gt;0,D78-H78,0)</x:f>
      </x:c>
      <x:c r="J78" s="111">
        <x:f>I78^2</x:f>
      </x:c>
      <x:c r="AB78" s="82">
        <x:f t="array" ref="AB78:AB78">MAX(IF($C$4:$C$200=MEDIAN($M$1-1,$M$1+1,C78),$D$4:$D$200,0))</x:f>
      </x:c>
      <x:c r="AC78" s="82">
        <x:f>ABS(D78-D79)</x:f>
      </x:c>
    </x:row>
    <x:row r="79" spans="1:29" x14ac:dyDescent="0.25">
      <x:c r="B79" s="82" t="n">
        <x:v>18.216</x:v>
      </x:c>
      <x:c r="C79" s="118" t="n">
        <x:v>99.88</x:v>
      </x:c>
      <x:c r="D79" s="118" t="n">
        <x:v>0.3551</x:v>
      </x:c>
      <x:c r="E79" s="118" t="n">
        <x:v>336.7</x:v>
      </x:c>
      <x:c r="F79" s="82">
        <x:f>IF(C79=MEDIAN($M$1-1,$M$1+1,C79),IF(D79&lt;=AVERAGE($AB$3,AVERAGEIF($B$4:$B$200,"&gt;20",$D$4:$D$200)),D79,0),0)</x:f>
      </x:c>
      <x:c r="H79" s="111">
        <x:f>IF(MATCH(F79,$F$4:$F$200,0)&gt;=MATCH(MAX($F$4:$F$200),$F$4:$F$200,0),$M$4+($M$5-$M$4)*(1-EXP(-B79/$M$6)),0)</x:f>
      </x:c>
      <x:c r="I79" s="111">
        <x:f>IF(H79&gt;0,D79-H79,0)</x:f>
      </x:c>
      <x:c r="J79" s="111">
        <x:f>I79^2</x:f>
      </x:c>
      <x:c r="AB79" s="82">
        <x:f t="array" ref="AB79:AB79">MAX(IF($C$4:$C$200=MEDIAN($M$1-1,$M$1+1,C79),$D$4:$D$200,0))</x:f>
      </x:c>
      <x:c r="AC79" s="82">
        <x:f>ABS(D79-D80)</x:f>
      </x:c>
    </x:row>
    <x:row r="80" spans="1:29" x14ac:dyDescent="0.25">
      <x:c r="B80" s="82" t="n">
        <x:v>18.38</x:v>
      </x:c>
      <x:c r="C80" s="118" t="n">
        <x:v>99.88</x:v>
      </x:c>
      <x:c r="D80" s="118" t="n">
        <x:v>0.3551</x:v>
      </x:c>
      <x:c r="E80" s="118" t="n">
        <x:v>336.7</x:v>
      </x:c>
      <x:c r="F80" s="82">
        <x:f>IF(C80=MEDIAN($M$1-1,$M$1+1,C80),IF(D80&lt;=AVERAGE($AB$3,AVERAGEIF($B$4:$B$200,"&gt;20",$D$4:$D$200)),D80,0),0)</x:f>
      </x:c>
      <x:c r="H80" s="111">
        <x:f>IF(MATCH(F80,$F$4:$F$200,0)&gt;=MATCH(MAX($F$4:$F$200),$F$4:$F$200,0),$M$4+($M$5-$M$4)*(1-EXP(-B80/$M$6)),0)</x:f>
      </x:c>
      <x:c r="I80" s="111">
        <x:f>IF(H80&gt;0,D80-H80,0)</x:f>
      </x:c>
      <x:c r="J80" s="111">
        <x:f>I80^2</x:f>
      </x:c>
      <x:c r="AB80" s="82">
        <x:f t="array" ref="AB80:AB80">MAX(IF($C$4:$C$200=MEDIAN($M$1-1,$M$1+1,C80),$D$4:$D$200,0))</x:f>
      </x:c>
      <x:c r="AC80" s="82">
        <x:f>ABS(D80-D81)</x:f>
      </x:c>
    </x:row>
    <x:row r="81" spans="1:29" x14ac:dyDescent="0.25">
      <x:c r="B81" s="82" t="n">
        <x:v>18.564</x:v>
      </x:c>
      <x:c r="C81" s="118" t="n">
        <x:v>99.94</x:v>
      </x:c>
      <x:c r="D81" s="118" t="n">
        <x:v>0.3429</x:v>
      </x:c>
      <x:c r="E81" s="118" t="n">
        <x:v>336.4</x:v>
      </x:c>
      <x:c r="F81" s="82">
        <x:f>IF(C81=MEDIAN($M$1-1,$M$1+1,C81),IF(D81&lt;=AVERAGE($AB$3,AVERAGEIF($B$4:$B$200,"&gt;20",$D$4:$D$200)),D81,0),0)</x:f>
      </x:c>
      <x:c r="H81" s="111">
        <x:f>IF(MATCH(F81,$F$4:$F$200,0)&gt;=MATCH(MAX($F$4:$F$200),$F$4:$F$200,0),$M$4+($M$5-$M$4)*(1-EXP(-B81/$M$6)),0)</x:f>
      </x:c>
      <x:c r="I81" s="111">
        <x:f>IF(H81&gt;0,D81-H81,0)</x:f>
      </x:c>
      <x:c r="J81" s="111">
        <x:f>I81^2</x:f>
      </x:c>
      <x:c r="AB81" s="82">
        <x:f t="array" ref="AB81:AB81">MAX(IF($C$4:$C$200=MEDIAN($M$1-1,$M$1+1,C81),$D$4:$D$200,0))</x:f>
      </x:c>
      <x:c r="AC81" s="82">
        <x:f>ABS(D81-D82)</x:f>
      </x:c>
    </x:row>
    <x:row r="82" spans="1:29" x14ac:dyDescent="0.25">
      <x:c r="B82" s="82" t="n">
        <x:v>18.856</x:v>
      </x:c>
      <x:c r="C82" s="118" t="n">
        <x:v>99.94</x:v>
      </x:c>
      <x:c r="D82" s="118" t="n">
        <x:v>0.3372</x:v>
      </x:c>
      <x:c r="E82" s="118" t="n">
        <x:v>336.4</x:v>
      </x:c>
      <x:c r="F82" s="82">
        <x:f>IF(C82=MEDIAN($M$1-1,$M$1+1,C82),IF(D82&lt;=AVERAGE($AB$3,AVERAGEIF($B$4:$B$200,"&gt;20",$D$4:$D$200)),D82,0),0)</x:f>
      </x:c>
      <x:c r="H82" s="111">
        <x:f>IF(MATCH(F82,$F$4:$F$200,0)&gt;=MATCH(MAX($F$4:$F$200),$F$4:$F$200,0),$M$4+($M$5-$M$4)*(1-EXP(-B82/$M$6)),0)</x:f>
      </x:c>
      <x:c r="I82" s="111">
        <x:f>IF(H82&gt;0,D82-H82,0)</x:f>
      </x:c>
      <x:c r="J82" s="111">
        <x:f>I82^2</x:f>
      </x:c>
      <x:c r="AB82" s="82">
        <x:f t="array" ref="AB82:AB82">MAX(IF($C$4:$C$200=MEDIAN($M$1-1,$M$1+1,C82),$D$4:$D$200,0))</x:f>
      </x:c>
      <x:c r="AC82" s="82">
        <x:f>ABS(D82-D83)</x:f>
      </x:c>
    </x:row>
    <x:row r="83" spans="1:29" x14ac:dyDescent="0.25">
      <x:c r="B83" s="82" t="n">
        <x:v>19.148</x:v>
      </x:c>
      <x:c r="C83" s="118" t="n">
        <x:v>99.96</x:v>
      </x:c>
      <x:c r="D83" s="118" t="n">
        <x:v>0.3456</x:v>
      </x:c>
      <x:c r="E83" s="118" t="n">
        <x:v>337.4</x:v>
      </x:c>
      <x:c r="F83" s="82">
        <x:f>IF(C83=MEDIAN($M$1-1,$M$1+1,C83),IF(D83&lt;=AVERAGE($AB$3,AVERAGEIF($B$4:$B$200,"&gt;20",$D$4:$D$200)),D83,0),0)</x:f>
      </x:c>
      <x:c r="H83" s="111">
        <x:f>IF(MATCH(F83,$F$4:$F$200,0)&gt;=MATCH(MAX($F$4:$F$200),$F$4:$F$200,0),$M$4+($M$5-$M$4)*(1-EXP(-B83/$M$6)),0)</x:f>
      </x:c>
      <x:c r="I83" s="111">
        <x:f>IF(H83&gt;0,D83-H83,0)</x:f>
      </x:c>
      <x:c r="J83" s="111">
        <x:f>I83^2</x:f>
      </x:c>
      <x:c r="AB83" s="82">
        <x:f t="array" ref="AB83:AB83">MAX(IF($C$4:$C$200=MEDIAN($M$1-1,$M$1+1,C83),$D$4:$D$200,0))</x:f>
      </x:c>
      <x:c r="AC83" s="82">
        <x:f>ABS(D83-D84)</x:f>
      </x:c>
    </x:row>
    <x:row r="84" spans="1:29" x14ac:dyDescent="0.25">
      <x:c r="B84" s="82" t="n">
        <x:v>19.356</x:v>
      </x:c>
      <x:c r="C84" s="118" t="n">
        <x:v>99.96</x:v>
      </x:c>
      <x:c r="D84" s="118" t="n">
        <x:v>0.3456</x:v>
      </x:c>
      <x:c r="E84" s="118" t="n">
        <x:v>337.4</x:v>
      </x:c>
      <x:c r="F84" s="82">
        <x:f>IF(C84=MEDIAN($M$1-1,$M$1+1,C84),IF(D84&lt;=AVERAGE($AB$3,AVERAGEIF($B$4:$B$200,"&gt;20",$D$4:$D$200)),D84,0),0)</x:f>
      </x:c>
      <x:c r="H84" s="111">
        <x:f>IF(MATCH(F84,$F$4:$F$200,0)&gt;=MATCH(MAX($F$4:$F$200),$F$4:$F$200,0),$M$4+($M$5-$M$4)*(1-EXP(-B84/$M$6)),0)</x:f>
      </x:c>
      <x:c r="I84" s="111">
        <x:f>IF(H84&gt;0,D84-H84,0)</x:f>
      </x:c>
      <x:c r="J84" s="111">
        <x:f>I84^2</x:f>
      </x:c>
      <x:c r="AB84" s="82">
        <x:f t="array" ref="AB84:AB84">MAX(IF($C$4:$C$200=MEDIAN($M$1-1,$M$1+1,C84),$D$4:$D$200,0))</x:f>
      </x:c>
      <x:c r="AC84" s="82">
        <x:f>ABS(D84-D85)</x:f>
      </x:c>
    </x:row>
    <x:row r="85" spans="1:29" x14ac:dyDescent="0.25">
      <x:c r="B85" s="82" t="n">
        <x:v>19.52</x:v>
      </x:c>
      <x:c r="C85" s="118" t="n">
        <x:v>99.77</x:v>
      </x:c>
      <x:c r="D85" s="118" t="n">
        <x:v>0.345</x:v>
      </x:c>
      <x:c r="E85" s="118" t="n">
        <x:v>338.2</x:v>
      </x:c>
      <x:c r="F85" s="82">
        <x:f>IF(C85=MEDIAN($M$1-1,$M$1+1,C85),IF(D85&lt;=AVERAGE($AB$3,AVERAGEIF($B$4:$B$200,"&gt;20",$D$4:$D$200)),D85,0),0)</x:f>
      </x:c>
      <x:c r="H85" s="111">
        <x:f>IF(MATCH(F85,$F$4:$F$200,0)&gt;=MATCH(MAX($F$4:$F$200),$F$4:$F$200,0),$M$4+($M$5-$M$4)*(1-EXP(-B85/$M$6)),0)</x:f>
      </x:c>
      <x:c r="I85" s="111">
        <x:f>IF(H85&gt;0,D85-H85,0)</x:f>
      </x:c>
      <x:c r="J85" s="111">
        <x:f>I85^2</x:f>
      </x:c>
      <x:c r="AB85" s="82">
        <x:f t="array" ref="AB85:AB85">MAX(IF($C$4:$C$200=MEDIAN($M$1-1,$M$1+1,C85),$D$4:$D$200,0))</x:f>
      </x:c>
      <x:c r="AC85" s="82">
        <x:f>ABS(D85-D86)</x:f>
      </x:c>
    </x:row>
    <x:row r="86" spans="1:29" x14ac:dyDescent="0.25">
      <x:c r="B86" s="82" t="n">
        <x:v>19.78</x:v>
      </x:c>
      <x:c r="C86" s="118" t="n">
        <x:v>99.77</x:v>
      </x:c>
      <x:c r="D86" s="118" t="n">
        <x:v>0.3446</x:v>
      </x:c>
      <x:c r="E86" s="118" t="n">
        <x:v>338.2</x:v>
      </x:c>
      <x:c r="F86" s="82">
        <x:f>IF(C86=MEDIAN($M$1-1,$M$1+1,C86),IF(D86&lt;=AVERAGE($AB$3,AVERAGEIF($B$4:$B$200,"&gt;20",$D$4:$D$200)),D86,0),0)</x:f>
      </x:c>
      <x:c r="H86" s="111">
        <x:f>IF(MATCH(F86,$F$4:$F$200,0)&gt;=MATCH(MAX($F$4:$F$200),$F$4:$F$200,0),$M$4+($M$5-$M$4)*(1-EXP(-B86/$M$6)),0)</x:f>
      </x:c>
      <x:c r="I86" s="111">
        <x:f>IF(H86&gt;0,D86-H86,0)</x:f>
      </x:c>
      <x:c r="J86" s="111">
        <x:f>I86^2</x:f>
      </x:c>
      <x:c r="S86" s="86" t="s"/>
      <x:c r="T86" s="110" t="s"/>
      <x:c r="U86" s="86" t="s"/>
      <x:c r="V86" s="123" t="s"/>
      <x:c r="AB86" s="82">
        <x:f t="array" ref="AB86:AB86">MAX(IF($C$4:$C$200=MEDIAN($M$1-1,$M$1+1,C86),$D$4:$D$200,0))</x:f>
      </x:c>
      <x:c r="AC86" s="82">
        <x:f>ABS(D86-D87)</x:f>
      </x:c>
    </x:row>
    <x:row r="87" spans="1:29" x14ac:dyDescent="0.25">
      <x:c r="B87" s="82" t="n">
        <x:v>20.06</x:v>
      </x:c>
      <x:c r="C87" s="118" t="n">
        <x:v>99.85</x:v>
      </x:c>
      <x:c r="D87" s="118" t="n">
        <x:v>0.3287</x:v>
      </x:c>
      <x:c r="E87" s="118" t="n">
        <x:v>337.9</x:v>
      </x:c>
      <x:c r="F87" s="82">
        <x:f>IF(C87=MEDIAN($M$1-1,$M$1+1,C87),IF(D87&lt;=AVERAGE($AB$3,AVERAGEIF($B$4:$B$200,"&gt;20",$D$4:$D$200)),D87,0),0)</x:f>
      </x:c>
      <x:c r="H87" s="111">
        <x:f>IF(MATCH(F87,$F$4:$F$200,0)&gt;=MATCH(MAX($F$4:$F$200),$F$4:$F$200,0),$M$4+($M$5-$M$4)*(1-EXP(-B87/$M$6)),0)</x:f>
      </x:c>
      <x:c r="I87" s="111">
        <x:f>IF(H87&gt;0,D87-H87,0)</x:f>
      </x:c>
      <x:c r="J87" s="111">
        <x:f>I87^2</x:f>
      </x:c>
      <x:c r="AB87" s="82">
        <x:f t="array" ref="AB87:AB87">MAX(IF($C$4:$C$200=MEDIAN($M$1-1,$M$1+1,C87),$D$4:$D$200,0))</x:f>
      </x:c>
      <x:c r="AC87" s="82">
        <x:f>ABS(D87-D88)</x:f>
      </x:c>
    </x:row>
    <x:row r="88" spans="1:29" x14ac:dyDescent="0.25">
      <x:c r="B88" s="82" t="n">
        <x:v>20.296</x:v>
      </x:c>
      <x:c r="C88" s="118" t="n">
        <x:v>99.85</x:v>
      </x:c>
      <x:c r="D88" s="118" t="n">
        <x:v>0.3207</x:v>
      </x:c>
      <x:c r="E88" s="118" t="n">
        <x:v>337.9</x:v>
      </x:c>
      <x:c r="F88" s="82">
        <x:f>IF(C88=MEDIAN($M$1-1,$M$1+1,C88),IF(D88&lt;=AVERAGE($AB$3,AVERAGEIF($B$4:$B$200,"&gt;20",$D$4:$D$200)),D88,0),0)</x:f>
      </x:c>
      <x:c r="H88" s="111">
        <x:f>IF(MATCH(F88,$F$4:$F$200,0)&gt;=MATCH(MAX($F$4:$F$200),$F$4:$F$200,0),$M$4+($M$5-$M$4)*(1-EXP(-B88/$M$6)),0)</x:f>
      </x:c>
      <x:c r="I88" s="111">
        <x:f>IF(H88&gt;0,D88-H88,0)</x:f>
      </x:c>
      <x:c r="J88" s="111">
        <x:f>I88^2</x:f>
      </x:c>
      <x:c r="T88" s="82" t="s"/>
      <x:c r="AB88" s="82">
        <x:f t="array" ref="AB88:AB88">MAX(IF($C$4:$C$200=MEDIAN($M$1-1,$M$1+1,C88),$D$4:$D$200,0))</x:f>
      </x:c>
      <x:c r="AC88" s="82">
        <x:f>ABS(D88-D89)</x:f>
      </x:c>
    </x:row>
    <x:row r="89" spans="1:29" x14ac:dyDescent="0.25">
      <x:c r="B89" s="82" t="n">
        <x:v>20.48</x:v>
      </x:c>
      <x:c r="C89" s="118" t="n">
        <x:v>99.84</x:v>
      </x:c>
      <x:c r="D89" s="118" t="n">
        <x:v>0.3142</x:v>
      </x:c>
      <x:c r="E89" s="118" t="n">
        <x:v>336.5</x:v>
      </x:c>
      <x:c r="F89" s="82">
        <x:f>IF(C89=MEDIAN($M$1-1,$M$1+1,C89),IF(D89&lt;=AVERAGE($AB$3,AVERAGEIF($B$4:$B$200,"&gt;20",$D$4:$D$200)),D89,0),0)</x:f>
      </x:c>
      <x:c r="H89" s="111">
        <x:f>IF(MATCH(F89,$F$4:$F$200,0)&gt;=MATCH(MAX($F$4:$F$200),$F$4:$F$200,0),$M$4+($M$5-$M$4)*(1-EXP(-B89/$M$6)),0)</x:f>
      </x:c>
      <x:c r="I89" s="111">
        <x:f>IF(H89&gt;0,D89-H89,0)</x:f>
      </x:c>
      <x:c r="J89" s="111">
        <x:f>I89^2</x:f>
      </x:c>
      <x:c r="AB89" s="82">
        <x:f t="array" ref="AB89:AB89">MAX(IF($C$4:$C$200=MEDIAN($M$1-1,$M$1+1,C89),$D$4:$D$200,0))</x:f>
      </x:c>
      <x:c r="AC89" s="82">
        <x:f>ABS(D89-D90)</x:f>
      </x:c>
    </x:row>
    <x:row r="90" spans="1:29" x14ac:dyDescent="0.25">
      <x:c r="B90" s="82" t="n">
        <x:v>20.7</x:v>
      </x:c>
      <x:c r="C90" s="118" t="n">
        <x:v>99.84</x:v>
      </x:c>
      <x:c r="D90" s="118" t="n">
        <x:v>0.3165</x:v>
      </x:c>
      <x:c r="E90" s="118" t="n">
        <x:v>336.5</x:v>
      </x:c>
      <x:c r="F90" s="82">
        <x:f>IF(C90=MEDIAN($M$1-1,$M$1+1,C90),IF(D90&lt;=AVERAGE($AB$3,AVERAGEIF($B$4:$B$200,"&gt;20",$D$4:$D$200)),D90,0),0)</x:f>
      </x:c>
      <x:c r="H90" s="111">
        <x:f>IF(MATCH(F90,$F$4:$F$200,0)&gt;=MATCH(MAX($F$4:$F$200),$F$4:$F$200,0),$M$4+($M$5-$M$4)*(1-EXP(-B90/$M$6)),0)</x:f>
      </x:c>
      <x:c r="I90" s="111">
        <x:f>IF(H90&gt;0,D90-H90,0)</x:f>
      </x:c>
      <x:c r="J90" s="111">
        <x:f>I90^2</x:f>
      </x:c>
      <x:c r="AB90" s="82">
        <x:f t="array" ref="AB90:AB90">MAX(IF($C$4:$C$200=MEDIAN($M$1-1,$M$1+1,C90),$D$4:$D$200,0))</x:f>
      </x:c>
      <x:c r="AC90" s="82">
        <x:f>ABS(D90-D91)</x:f>
      </x:c>
    </x:row>
    <x:row r="91" spans="1:29" x14ac:dyDescent="0.25">
      <x:c r="B91" s="82" t="n">
        <x:v>21.02</x:v>
      </x:c>
      <x:c r="C91" s="118" t="n">
        <x:v>99.87</x:v>
      </x:c>
      <x:c r="D91" s="118" t="n">
        <x:v>0.3294</x:v>
      </x:c>
      <x:c r="E91" s="118" t="n">
        <x:v>337.6</x:v>
      </x:c>
      <x:c r="F91" s="82">
        <x:f>IF(C91=MEDIAN($M$1-1,$M$1+1,C91),IF(D91&lt;=AVERAGE($AB$3,AVERAGEIF($B$4:$B$200,"&gt;20",$D$4:$D$200)),D91,0),0)</x:f>
      </x:c>
      <x:c r="H91" s="111">
        <x:f>IF(MATCH(F91,$F$4:$F$200,0)&gt;=MATCH(MAX($F$4:$F$200),$F$4:$F$200,0),$M$4+($M$5-$M$4)*(1-EXP(-B91/$M$6)),0)</x:f>
      </x:c>
      <x:c r="I91" s="111">
        <x:f>IF(H91&gt;0,D91-H91,0)</x:f>
      </x:c>
      <x:c r="J91" s="111">
        <x:f>I91^2</x:f>
      </x:c>
      <x:c r="AB91" s="82">
        <x:f t="array" ref="AB91:AB91">MAX(IF($C$4:$C$200=MEDIAN($M$1-1,$M$1+1,C91),$D$4:$D$200,0))</x:f>
      </x:c>
      <x:c r="AC91" s="82">
        <x:f>ABS(D91-D92)</x:f>
      </x:c>
    </x:row>
    <x:row r="92" spans="1:29" x14ac:dyDescent="0.25">
      <x:c r="B92" s="82" t="n">
        <x:v>21.276</x:v>
      </x:c>
      <x:c r="C92" s="118" t="n">
        <x:v>99.87</x:v>
      </x:c>
      <x:c r="D92" s="118" t="n">
        <x:v>0.3344</x:v>
      </x:c>
      <x:c r="E92" s="118" t="n">
        <x:v>337.6</x:v>
      </x:c>
      <x:c r="F92" s="82">
        <x:f>IF(C92=MEDIAN($M$1-1,$M$1+1,C92),IF(D92&lt;=AVERAGE($AB$3,AVERAGEIF($B$4:$B$200,"&gt;20",$D$4:$D$200)),D92,0),0)</x:f>
      </x:c>
      <x:c r="H92" s="111">
        <x:f>IF(MATCH(F92,$F$4:$F$200,0)&gt;=MATCH(MAX($F$4:$F$200),$F$4:$F$200,0),$M$4+($M$5-$M$4)*(1-EXP(-B92/$M$6)),0)</x:f>
      </x:c>
      <x:c r="I92" s="111">
        <x:f>IF(H92&gt;0,D92-H92,0)</x:f>
      </x:c>
      <x:c r="J92" s="111">
        <x:f>I92^2</x:f>
      </x:c>
      <x:c r="AB92" s="82">
        <x:f t="array" ref="AB92:AB92">MAX(IF($C$4:$C$200=MEDIAN($M$1-1,$M$1+1,C92),$D$4:$D$200,0))</x:f>
      </x:c>
      <x:c r="AC92" s="82">
        <x:f>ABS(D92-D93)</x:f>
      </x:c>
    </x:row>
    <x:row r="93" spans="1:29" x14ac:dyDescent="0.25">
      <x:c r="B93" s="82" t="n">
        <x:v>21.44</x:v>
      </x:c>
      <x:c r="C93" s="118" t="n">
        <x:v>99.97</x:v>
      </x:c>
      <x:c r="D93" s="118" t="n">
        <x:v>0.3399</x:v>
      </x:c>
      <x:c r="E93" s="118" t="n">
        <x:v>339.5</x:v>
      </x:c>
      <x:c r="F93" s="82">
        <x:f>IF(C93=MEDIAN($M$1-1,$M$1+1,C93),IF(D93&lt;=AVERAGE($AB$3,AVERAGEIF($B$4:$B$200,"&gt;20",$D$4:$D$200)),D93,0),0)</x:f>
      </x:c>
      <x:c r="H93" s="111">
        <x:f>IF(MATCH(F93,$F$4:$F$200,0)&gt;=MATCH(MAX($F$4:$F$200),$F$4:$F$200,0),$M$4+($M$5-$M$4)*(1-EXP(-B93/$M$6)),0)</x:f>
      </x:c>
      <x:c r="I93" s="111">
        <x:f>IF(H93&gt;0,D93-H93,0)</x:f>
      </x:c>
      <x:c r="J93" s="111">
        <x:f>I93^2</x:f>
      </x:c>
      <x:c r="AB93" s="82">
        <x:f t="array" ref="AB93:AB93">MAX(IF($C$4:$C$200=MEDIAN($M$1-1,$M$1+1,C93),$D$4:$D$200,0))</x:f>
      </x:c>
      <x:c r="AC93" s="82">
        <x:f>ABS(D93-D94)</x:f>
      </x:c>
    </x:row>
    <x:row r="94" spans="1:29" x14ac:dyDescent="0.25">
      <x:c r="B94" s="82" t="n">
        <x:v>21.664</x:v>
      </x:c>
      <x:c r="C94" s="118" t="n">
        <x:v>99.97</x:v>
      </x:c>
      <x:c r="D94" s="118" t="n">
        <x:v>0.3359</x:v>
      </x:c>
      <x:c r="E94" s="118" t="n">
        <x:v>339.5</x:v>
      </x:c>
      <x:c r="F94" s="82">
        <x:f>IF(C94=MEDIAN($M$1-1,$M$1+1,C94),IF(D94&lt;=AVERAGE($AB$3,AVERAGEIF($B$4:$B$200,"&gt;20",$D$4:$D$200)),D94,0),0)</x:f>
      </x:c>
      <x:c r="H94" s="111">
        <x:f>IF(MATCH(F94,$F$4:$F$200,0)&gt;=MATCH(MAX($F$4:$F$200),$F$4:$F$200,0),$M$4+($M$5-$M$4)*(1-EXP(-B94/$M$6)),0)</x:f>
      </x:c>
      <x:c r="I94" s="111">
        <x:f>IF(H94&gt;0,D94-H94,0)</x:f>
      </x:c>
      <x:c r="J94" s="111">
        <x:f>I94^2</x:f>
      </x:c>
      <x:c r="AB94" s="82">
        <x:f t="array" ref="AB94:AB94">MAX(IF($C$4:$C$200=MEDIAN($M$1-1,$M$1+1,C94),$D$4:$D$200,0))</x:f>
      </x:c>
      <x:c r="AC94" s="82">
        <x:f>ABS(D94-D95)</x:f>
      </x:c>
    </x:row>
    <x:row r="95" spans="1:29" x14ac:dyDescent="0.25">
      <x:c r="B95" s="82" t="n">
        <x:v>21.98</x:v>
      </x:c>
      <x:c r="C95" s="118" t="n">
        <x:v>99.9</x:v>
      </x:c>
      <x:c r="D95" s="118" t="n">
        <x:v>0.3346</x:v>
      </x:c>
      <x:c r="E95" s="118" t="n">
        <x:v>339.6</x:v>
      </x:c>
      <x:c r="F95" s="82">
        <x:f>IF(C95=MEDIAN($M$1-1,$M$1+1,C95),IF(D95&lt;=AVERAGE($AB$3,AVERAGEIF($B$4:$B$200,"&gt;20",$D$4:$D$200)),D95,0),0)</x:f>
      </x:c>
      <x:c r="H95" s="111">
        <x:f>IF(MATCH(F95,$F$4:$F$200,0)&gt;=MATCH(MAX($F$4:$F$200),$F$4:$F$200,0),$M$4+($M$5-$M$4)*(1-EXP(-B95/$M$6)),0)</x:f>
      </x:c>
      <x:c r="I95" s="111">
        <x:f>IF(H95&gt;0,D95-H95,0)</x:f>
      </x:c>
      <x:c r="J95" s="111">
        <x:f>I95^2</x:f>
      </x:c>
      <x:c r="AB95" s="82">
        <x:f t="array" ref="AB95:AB95">MAX(IF($C$4:$C$200=MEDIAN($M$1-1,$M$1+1,C95),$D$4:$D$200,0))</x:f>
      </x:c>
      <x:c r="AC95" s="82">
        <x:f>ABS(D95-D96)</x:f>
      </x:c>
    </x:row>
    <x:row r="96" spans="1:29" x14ac:dyDescent="0.25">
      <x:c r="B96" s="82" t="n">
        <x:v>22.22</x:v>
      </x:c>
      <x:c r="C96" s="118" t="n">
        <x:v>99.9</x:v>
      </x:c>
      <x:c r="D96" s="118" t="n">
        <x:v>0.3327</x:v>
      </x:c>
      <x:c r="E96" s="118" t="n">
        <x:v>339.6</x:v>
      </x:c>
      <x:c r="F96" s="82">
        <x:f>IF(C96=MEDIAN($M$1-1,$M$1+1,C96),IF(D96&lt;=AVERAGE($AB$3,AVERAGEIF($B$4:$B$200,"&gt;20",$D$4:$D$200)),D96,0),0)</x:f>
      </x:c>
      <x:c r="H96" s="111">
        <x:f>IF(MATCH(F96,$F$4:$F$200,0)&gt;=MATCH(MAX($F$4:$F$200),$F$4:$F$200,0),$M$4+($M$5-$M$4)*(1-EXP(-B96/$M$6)),0)</x:f>
      </x:c>
      <x:c r="I96" s="111">
        <x:f>IF(H96&gt;0,D96-H96,0)</x:f>
      </x:c>
      <x:c r="J96" s="111">
        <x:f>I96^2</x:f>
      </x:c>
      <x:c r="AB96" s="82">
        <x:f t="array" ref="AB96:AB96">MAX(IF($C$4:$C$200=MEDIAN($M$1-1,$M$1+1,C96),$D$4:$D$200,0))</x:f>
      </x:c>
      <x:c r="AC96" s="82">
        <x:f>ABS(D96-D97)</x:f>
      </x:c>
    </x:row>
    <x:row r="97" spans="1:29" x14ac:dyDescent="0.25">
      <x:c r="B97" s="82" t="n">
        <x:v>22.396</x:v>
      </x:c>
      <x:c r="C97" s="118" t="n">
        <x:v>99.9</x:v>
      </x:c>
      <x:c r="D97" s="118" t="n">
        <x:v>0.3315</x:v>
      </x:c>
      <x:c r="E97" s="118" t="n">
        <x:v>339.6</x:v>
      </x:c>
      <x:c r="F97" s="82">
        <x:f>IF(C97=MEDIAN($M$1-1,$M$1+1,C97),IF(D97&lt;=AVERAGE($AB$3,AVERAGEIF($B$4:$B$200,"&gt;20",$D$4:$D$200)),D97,0),0)</x:f>
      </x:c>
      <x:c r="H97" s="111">
        <x:f>IF(MATCH(F97,$F$4:$F$200,0)&gt;=MATCH(MAX($F$4:$F$200),$F$4:$F$200,0),$M$4+($M$5-$M$4)*(1-EXP(-B97/$M$6)),0)</x:f>
      </x:c>
      <x:c r="I97" s="111">
        <x:f>IF(H97&gt;0,D97-H97,0)</x:f>
      </x:c>
      <x:c r="J97" s="111">
        <x:f>I97^2</x:f>
      </x:c>
      <x:c r="AB97" s="82">
        <x:f t="array" ref="AB97:AB97">MAX(IF($C$4:$C$200=MEDIAN($M$1-1,$M$1+1,C97),$D$4:$D$200,0))</x:f>
      </x:c>
      <x:c r="AC97" s="82">
        <x:f>ABS(D97-D98)</x:f>
      </x:c>
    </x:row>
    <x:row r="98" spans="1:29" x14ac:dyDescent="0.25">
      <x:c r="B98" s="82" t="n">
        <x:v>22.556</x:v>
      </x:c>
      <x:c r="C98" s="118" t="n">
        <x:v>99.83</x:v>
      </x:c>
      <x:c r="D98" s="118" t="n">
        <x:v>0.3315</x:v>
      </x:c>
      <x:c r="E98" s="118" t="n">
        <x:v>339.2</x:v>
      </x:c>
      <x:c r="F98" s="82">
        <x:f>IF(C98=MEDIAN($M$1-1,$M$1+1,C98),IF(D98&lt;=AVERAGE($AB$3,AVERAGEIF($B$4:$B$200,"&gt;20",$D$4:$D$200)),D98,0),0)</x:f>
      </x:c>
      <x:c r="H98" s="111">
        <x:f>IF(MATCH(F98,$F$4:$F$200,0)&gt;=MATCH(MAX($F$4:$F$200),$F$4:$F$200,0),$M$4+($M$5-$M$4)*(1-EXP(-B98/$M$6)),0)</x:f>
      </x:c>
      <x:c r="I98" s="111">
        <x:f>IF(H98&gt;0,D98-H98,0)</x:f>
      </x:c>
      <x:c r="J98" s="111">
        <x:f>I98^2</x:f>
      </x:c>
      <x:c r="AB98" s="82">
        <x:f t="array" ref="AB98:AB98">MAX(IF($C$4:$C$200=MEDIAN($M$1-1,$M$1+1,C98),$D$4:$D$200,0))</x:f>
      </x:c>
      <x:c r="AC98" s="82">
        <x:f>ABS(D98-D99)</x:f>
      </x:c>
    </x:row>
    <x:row r="99" spans="1:29" x14ac:dyDescent="0.25">
      <x:c r="B99" s="82" t="n">
        <x:v>22.844</x:v>
      </x:c>
      <x:c r="C99" s="118" t="n">
        <x:v>99.83</x:v>
      </x:c>
      <x:c r="D99" s="118" t="n">
        <x:v>0.3445</x:v>
      </x:c>
      <x:c r="E99" s="118" t="n">
        <x:v>339.2</x:v>
      </x:c>
      <x:c r="F99" s="82">
        <x:f>IF(C99=MEDIAN($M$1-1,$M$1+1,C99),IF(D99&lt;=AVERAGE($AB$3,AVERAGEIF($B$4:$B$200,"&gt;20",$D$4:$D$200)),D99,0),0)</x:f>
      </x:c>
      <x:c r="H99" s="111">
        <x:f>IF(MATCH(F99,$F$4:$F$200,0)&gt;=MATCH(MAX($F$4:$F$200),$F$4:$F$200,0),$M$4+($M$5-$M$4)*(1-EXP(-B99/$M$6)),0)</x:f>
      </x:c>
      <x:c r="I99" s="111">
        <x:f>IF(H99&gt;0,D99-H99,0)</x:f>
      </x:c>
      <x:c r="J99" s="111">
        <x:f>I99^2</x:f>
      </x:c>
      <x:c r="AB99" s="82">
        <x:f t="array" ref="AB99:AB99">MAX(IF($C$4:$C$200=MEDIAN($M$1-1,$M$1+1,C99),$D$4:$D$200,0))</x:f>
      </x:c>
      <x:c r="AC99" s="82">
        <x:f>ABS(D99-D100)</x:f>
      </x:c>
    </x:row>
    <x:row r="100" spans="1:29" x14ac:dyDescent="0.25">
      <x:c r="B100" s="82" t="n">
        <x:v>23.124</x:v>
      </x:c>
      <x:c r="C100" s="118" t="n">
        <x:v>99.92</x:v>
      </x:c>
      <x:c r="D100" s="118" t="n">
        <x:v>0.3543</x:v>
      </x:c>
      <x:c r="E100" s="118" t="n">
        <x:v>339.4</x:v>
      </x:c>
      <x:c r="F100" s="82">
        <x:f>IF(C100=MEDIAN($M$1-1,$M$1+1,C100),IF(D100&lt;=AVERAGE($AB$3,AVERAGEIF($B$4:$B$200,"&gt;20",$D$4:$D$200)),D100,0),0)</x:f>
      </x:c>
      <x:c r="H100" s="111">
        <x:f>IF(MATCH(F100,$F$4:$F$200,0)&gt;=MATCH(MAX($F$4:$F$200),$F$4:$F$200,0),$M$4+($M$5-$M$4)*(1-EXP(-B100/$M$6)),0)</x:f>
      </x:c>
      <x:c r="I100" s="111">
        <x:f>IF(H100&gt;0,D100-H100,0)</x:f>
      </x:c>
      <x:c r="J100" s="111">
        <x:f>I100^2</x:f>
      </x:c>
      <x:c r="AB100" s="82">
        <x:f t="array" ref="AB100:AB100">MAX(IF($C$4:$C$200=MEDIAN($M$1-1,$M$1+1,C100),$D$4:$D$200,0))</x:f>
      </x:c>
      <x:c r="AC100" s="82">
        <x:f>ABS(D100-D101)</x:f>
      </x:c>
    </x:row>
    <x:row r="101" spans="1:29" x14ac:dyDescent="0.25">
      <x:c r="B101" s="82" t="n">
        <x:v>23.328</x:v>
      </x:c>
      <x:c r="C101" s="118" t="n">
        <x:v>99.92</x:v>
      </x:c>
      <x:c r="D101" s="118" t="n">
        <x:v>0.3543</x:v>
      </x:c>
      <x:c r="E101" s="118" t="n">
        <x:v>339.4</x:v>
      </x:c>
      <x:c r="F101" s="82">
        <x:f>IF(C101=MEDIAN($M$1-1,$M$1+1,C101),IF(D101&lt;=AVERAGE($AB$3,AVERAGEIF($B$4:$B$200,"&gt;20",$D$4:$D$200)),D101,0),0)</x:f>
      </x:c>
      <x:c r="H101" s="111">
        <x:f>IF(MATCH(F101,$F$4:$F$200,0)&gt;=MATCH(MAX($F$4:$F$200),$F$4:$F$200,0),$M$4+($M$5-$M$4)*(1-EXP(-B101/$M$6)),0)</x:f>
      </x:c>
      <x:c r="I101" s="111">
        <x:f>IF(H101&gt;0,D101-H101,0)</x:f>
      </x:c>
      <x:c r="J101" s="111">
        <x:f>I101^2</x:f>
      </x:c>
      <x:c r="AB101" s="82">
        <x:f t="array" ref="AB101:AB101">MAX(IF($C$4:$C$200=MEDIAN($M$1-1,$M$1+1,C101),$D$4:$D$200,0))</x:f>
      </x:c>
      <x:c r="AC101" s="82">
        <x:f>ABS(D101-D102)</x:f>
      </x:c>
    </x:row>
    <x:row r="102" spans="1:29" x14ac:dyDescent="0.25">
      <x:c r="B102" s="82" t="n">
        <x:v>23.52</x:v>
      </x:c>
      <x:c r="C102" s="118" t="n">
        <x:v>99.86</x:v>
      </x:c>
      <x:c r="D102" s="118" t="n">
        <x:v>0.3469</x:v>
      </x:c>
      <x:c r="E102" s="118" t="n">
        <x:v>340.2</x:v>
      </x:c>
      <x:c r="F102" s="82">
        <x:f>IF(C102=MEDIAN($M$1-1,$M$1+1,C102),IF(D102&lt;=AVERAGE($AB$3,AVERAGEIF($B$4:$B$200,"&gt;20",$D$4:$D$200)),D102,0),0)</x:f>
      </x:c>
      <x:c r="H102" s="111">
        <x:f>IF(MATCH(F102,$F$4:$F$200,0)&gt;=MATCH(MAX($F$4:$F$200),$F$4:$F$200,0),$M$4+($M$5-$M$4)*(1-EXP(-B102/$M$6)),0)</x:f>
      </x:c>
      <x:c r="I102" s="111">
        <x:f>IF(H102&gt;0,D102-H102,0)</x:f>
      </x:c>
      <x:c r="J102" s="111">
        <x:f>I102^2</x:f>
      </x:c>
      <x:c r="AB102" s="82">
        <x:f t="array" ref="AB102:AB102">MAX(IF($C$4:$C$200=MEDIAN($M$1-1,$M$1+1,C102),$D$4:$D$200,0))</x:f>
      </x:c>
      <x:c r="AC102" s="82">
        <x:f>ABS(D102-D103)</x:f>
      </x:c>
    </x:row>
    <x:row r="103" spans="1:29" x14ac:dyDescent="0.25">
      <x:c r="B103" s="82" t="n">
        <x:v>23.744</x:v>
      </x:c>
      <x:c r="C103" s="118" t="n">
        <x:v>99.86</x:v>
      </x:c>
      <x:c r="D103" s="118" t="n">
        <x:v>0.345</x:v>
      </x:c>
      <x:c r="E103" s="118" t="n">
        <x:v>340.2</x:v>
      </x:c>
      <x:c r="F103" s="82">
        <x:f>IF(C103=MEDIAN($M$1-1,$M$1+1,C103),IF(D103&lt;=AVERAGE($AB$3,AVERAGEIF($B$4:$B$200,"&gt;20",$D$4:$D$200)),D103,0),0)</x:f>
      </x:c>
      <x:c r="H103" s="111">
        <x:f>IF(MATCH(F103,$F$4:$F$200,0)&gt;=MATCH(MAX($F$4:$F$200),$F$4:$F$200,0),$M$4+($M$5-$M$4)*(1-EXP(-B103/$M$6)),0)</x:f>
      </x:c>
      <x:c r="I103" s="111">
        <x:f>IF(H103&gt;0,D103-H103,0)</x:f>
      </x:c>
      <x:c r="J103" s="111">
        <x:f>I103^2</x:f>
      </x:c>
      <x:c r="AB103" s="82">
        <x:f t="array" ref="AB103:AB103">MAX(IF($C$4:$C$200=MEDIAN($M$1-1,$M$1+1,C103),$D$4:$D$200,0))</x:f>
      </x:c>
      <x:c r="AC103" s="82">
        <x:f>ABS(D103-D104)</x:f>
      </x:c>
    </x:row>
    <x:row r="104" spans="1:29" x14ac:dyDescent="0.25">
      <x:c r="B104" s="82" t="n">
        <x:v>24.044</x:v>
      </x:c>
      <x:c r="C104" s="118" t="n">
        <x:v>99.86</x:v>
      </x:c>
      <x:c r="D104" s="118" t="n">
        <x:v>0.3416</x:v>
      </x:c>
      <x:c r="E104" s="118" t="n">
        <x:v>340.4</x:v>
      </x:c>
      <x:c r="F104" s="82">
        <x:f>IF(C104=MEDIAN($M$1-1,$M$1+1,C104),IF(D104&lt;=AVERAGE($AB$3,AVERAGEIF($B$4:$B$200,"&gt;20",$D$4:$D$200)),D104,0),0)</x:f>
      </x:c>
      <x:c r="H104" s="111">
        <x:f>IF(MATCH(F104,$F$4:$F$200,0)&gt;=MATCH(MAX($F$4:$F$200),$F$4:$F$200,0),$M$4+($M$5-$M$4)*(1-EXP(-B104/$M$6)),0)</x:f>
      </x:c>
      <x:c r="I104" s="111">
        <x:f>IF(H104&gt;0,D104-H104,0)</x:f>
      </x:c>
      <x:c r="J104" s="111">
        <x:f>I104^2</x:f>
      </x:c>
      <x:c r="AB104" s="82">
        <x:f t="array" ref="AB104:AB104">MAX(IF($C$4:$C$200=MEDIAN($M$1-1,$M$1+1,C104),$D$4:$D$200,0))</x:f>
      </x:c>
      <x:c r="AC104" s="82">
        <x:f>ABS(D104-D105)</x:f>
      </x:c>
    </x:row>
    <x:row r="105" spans="1:29" x14ac:dyDescent="0.25">
      <x:c r="B105" s="82" t="n">
        <x:v>24.252</x:v>
      </x:c>
      <x:c r="C105" s="118" t="n">
        <x:v>99.86</x:v>
      </x:c>
      <x:c r="D105" s="118" t="n">
        <x:v>0.3439</x:v>
      </x:c>
      <x:c r="E105" s="118" t="n">
        <x:v>340.4</x:v>
      </x:c>
      <x:c r="F105" s="82">
        <x:f>IF(C105=MEDIAN($M$1-1,$M$1+1,C105),IF(D105&lt;=AVERAGE($AB$3,AVERAGEIF($B$4:$B$200,"&gt;20",$D$4:$D$200)),D105,0),0)</x:f>
      </x:c>
      <x:c r="H105" s="111">
        <x:f>IF(MATCH(F105,$F$4:$F$200,0)&gt;=MATCH(MAX($F$4:$F$200),$F$4:$F$200,0),$M$4+($M$5-$M$4)*(1-EXP(-B105/$M$6)),0)</x:f>
      </x:c>
      <x:c r="I105" s="111">
        <x:f>IF(H105&gt;0,D105-H105,0)</x:f>
      </x:c>
      <x:c r="J105" s="111">
        <x:f>I105^2</x:f>
      </x:c>
      <x:c r="AB105" s="82">
        <x:f t="array" ref="AB105:AB105">MAX(IF($C$4:$C$200=MEDIAN($M$1-1,$M$1+1,C105),$D$4:$D$200,0))</x:f>
      </x:c>
      <x:c r="AC105" s="82">
        <x:f>ABS(D105-D106)</x:f>
      </x:c>
    </x:row>
    <x:row r="106" spans="1:29" x14ac:dyDescent="0.25">
      <x:c r="B106" s="82" t="n">
        <x:v>24.416</x:v>
      </x:c>
      <x:c r="C106" s="118" t="n">
        <x:v>99.91</x:v>
      </x:c>
      <x:c r="D106" s="118" t="n">
        <x:v>0.3473</x:v>
      </x:c>
      <x:c r="E106" s="118" t="n">
        <x:v>340.4</x:v>
      </x:c>
      <x:c r="F106" s="82">
        <x:f>IF(C106=MEDIAN($M$1-1,$M$1+1,C106),IF(D106&lt;=AVERAGE($AB$3,AVERAGEIF($B$4:$B$200,"&gt;20",$D$4:$D$200)),D106,0),0)</x:f>
      </x:c>
      <x:c r="H106" s="111">
        <x:f>IF(MATCH(F106,$F$4:$F$200,0)&gt;=MATCH(MAX($F$4:$F$200),$F$4:$F$200,0),$M$4+($M$5-$M$4)*(1-EXP(-B106/$M$6)),0)</x:f>
      </x:c>
      <x:c r="I106" s="111">
        <x:f>IF(H106&gt;0,D106-H106,0)</x:f>
      </x:c>
      <x:c r="J106" s="111">
        <x:f>I106^2</x:f>
      </x:c>
      <x:c r="AB106" s="82">
        <x:f t="array" ref="AB106:AB106">MAX(IF($C$4:$C$200=MEDIAN($M$1-1,$M$1+1,C106),$D$4:$D$200,0))</x:f>
      </x:c>
      <x:c r="AC106" s="82">
        <x:f>ABS(D106-D107)</x:f>
      </x:c>
    </x:row>
    <x:row r="107" spans="1:29" x14ac:dyDescent="0.25">
      <x:c r="B107" s="82" t="n">
        <x:v>24.6</x:v>
      </x:c>
      <x:c r="C107" s="118" t="n">
        <x:v>99.91</x:v>
      </x:c>
      <x:c r="D107" s="118" t="n">
        <x:v>0.3473</x:v>
      </x:c>
      <x:c r="E107" s="118" t="n">
        <x:v>340.4</x:v>
      </x:c>
      <x:c r="F107" s="82">
        <x:f>IF(C107=MEDIAN($M$1-1,$M$1+1,C107),IF(D107&lt;=AVERAGE($AB$3,AVERAGEIF($B$4:$B$200,"&gt;20",$D$4:$D$200)),D107,0),0)</x:f>
      </x:c>
      <x:c r="H107" s="111">
        <x:f>IF(MATCH(F107,$F$4:$F$200,0)&gt;=MATCH(MAX($F$4:$F$200),$F$4:$F$200,0),$M$4+($M$5-$M$4)*(1-EXP(-B107/$M$6)),0)</x:f>
      </x:c>
      <x:c r="I107" s="111">
        <x:f>IF(H107&gt;0,D107-H107,0)</x:f>
      </x:c>
      <x:c r="J107" s="111">
        <x:f>I107^2</x:f>
      </x:c>
      <x:c r="AB107" s="82">
        <x:f t="array" ref="AB107:AB107">MAX(IF($C$4:$C$200=MEDIAN($M$1-1,$M$1+1,C107),$D$4:$D$200,0))</x:f>
      </x:c>
      <x:c r="AC107" s="82">
        <x:f>ABS(D107-D108)</x:f>
      </x:c>
    </x:row>
    <x:row r="108" spans="1:29" x14ac:dyDescent="0.25">
      <x:c r="B108" s="82" t="n">
        <x:v>24.896</x:v>
      </x:c>
      <x:c r="C108" s="118" t="n">
        <x:v>99.86</x:v>
      </x:c>
      <x:c r="D108" s="118" t="n">
        <x:v>0.3494</x:v>
      </x:c>
      <x:c r="E108" s="118" t="n">
        <x:v>341.2</x:v>
      </x:c>
      <x:c r="F108" s="82">
        <x:f>IF(C108=MEDIAN($M$1-1,$M$1+1,C108),IF(D108&lt;=AVERAGE($AB$3,AVERAGEIF($B$4:$B$200,"&gt;20",$D$4:$D$200)),D108,0),0)</x:f>
      </x:c>
      <x:c r="H108" s="111">
        <x:f>IF(MATCH(F108,$F$4:$F$200,0)&gt;=MATCH(MAX($F$4:$F$200),$F$4:$F$200,0),$M$4+($M$5-$M$4)*(1-EXP(-B108/$M$6)),0)</x:f>
      </x:c>
      <x:c r="I108" s="111">
        <x:f>IF(H108&gt;0,D108-H108,0)</x:f>
      </x:c>
      <x:c r="J108" s="111">
        <x:f>I108^2</x:f>
      </x:c>
      <x:c r="AB108" s="82">
        <x:f t="array" ref="AB108:AB108">MAX(IF($C$4:$C$200=MEDIAN($M$1-1,$M$1+1,C108),$D$4:$D$200,0))</x:f>
      </x:c>
      <x:c r="AC108" s="82">
        <x:f>ABS(D108-D109)</x:f>
      </x:c>
    </x:row>
    <x:row r="109" spans="1:29" x14ac:dyDescent="0.25">
      <x:c r="B109" s="82" t="n">
        <x:v>25.164</x:v>
      </x:c>
      <x:c r="C109" s="118" t="n">
        <x:v>99.86</x:v>
      </x:c>
      <x:c r="D109" s="118" t="n">
        <x:v>0.346</x:v>
      </x:c>
      <x:c r="E109" s="118" t="n">
        <x:v>341.2</x:v>
      </x:c>
      <x:c r="F109" s="82">
        <x:f>IF(C109=MEDIAN($M$1-1,$M$1+1,C109),IF(D109&lt;=AVERAGE($AB$3,AVERAGEIF($B$4:$B$200,"&gt;20",$D$4:$D$200)),D109,0),0)</x:f>
      </x:c>
      <x:c r="H109" s="111">
        <x:f>IF(MATCH(F109,$F$4:$F$200,0)&gt;=MATCH(MAX($F$4:$F$200),$F$4:$F$200,0),$M$4+($M$5-$M$4)*(1-EXP(-B109/$M$6)),0)</x:f>
      </x:c>
      <x:c r="I109" s="111">
        <x:f>IF(H109&gt;0,D109-H109,0)</x:f>
      </x:c>
      <x:c r="J109" s="111">
        <x:f>I109^2</x:f>
      </x:c>
      <x:c r="AB109" s="82">
        <x:f t="array" ref="AB109:AB109">MAX(IF($C$4:$C$200=MEDIAN($M$1-1,$M$1+1,C109),$D$4:$D$200,0))</x:f>
      </x:c>
      <x:c r="AC109" s="82">
        <x:f>ABS(D109-D110)</x:f>
      </x:c>
    </x:row>
    <x:row r="110" spans="1:29" x14ac:dyDescent="0.25">
      <x:c r="B110" s="82" t="n">
        <x:v>25.376</x:v>
      </x:c>
      <x:c r="C110" s="118" t="n">
        <x:v>99.85</x:v>
      </x:c>
      <x:c r="D110" s="118" t="n">
        <x:v>0.3418</x:v>
      </x:c>
      <x:c r="E110" s="118" t="n">
        <x:v>341</x:v>
      </x:c>
      <x:c r="F110" s="82">
        <x:f>IF(C110=MEDIAN($M$1-1,$M$1+1,C110),IF(D110&lt;=AVERAGE($AB$3,AVERAGEIF($B$4:$B$200,"&gt;20",$D$4:$D$200)),D110,0),0)</x:f>
      </x:c>
      <x:c r="H110" s="111">
        <x:f>IF(MATCH(F110,$F$4:$F$200,0)&gt;=MATCH(MAX($F$4:$F$200),$F$4:$F$200,0),$M$4+($M$5-$M$4)*(1-EXP(-B110/$M$6)),0)</x:f>
      </x:c>
      <x:c r="I110" s="111">
        <x:f>IF(H110&gt;0,D110-H110,0)</x:f>
      </x:c>
      <x:c r="J110" s="111">
        <x:f>I110^2</x:f>
      </x:c>
      <x:c r="AB110" s="82">
        <x:f t="array" ref="AB110:AB110">MAX(IF($C$4:$C$200=MEDIAN($M$1-1,$M$1+1,C110),$D$4:$D$200,0))</x:f>
      </x:c>
      <x:c r="AC110" s="82">
        <x:f>ABS(D110-D111)</x:f>
      </x:c>
    </x:row>
    <x:row r="111" spans="1:29" x14ac:dyDescent="0.25">
      <x:c r="B111" s="82" t="n">
        <x:v>25.536</x:v>
      </x:c>
      <x:c r="C111" s="118" t="n">
        <x:v>99.85</x:v>
      </x:c>
      <x:c r="D111" s="118" t="n">
        <x:v>0.3418</x:v>
      </x:c>
      <x:c r="E111" s="118" t="n">
        <x:v>341</x:v>
      </x:c>
      <x:c r="F111" s="82">
        <x:f>IF(C111=MEDIAN($M$1-1,$M$1+1,C111),IF(D111&lt;=AVERAGE($AB$3,AVERAGEIF($B$4:$B$200,"&gt;20",$D$4:$D$200)),D111,0),0)</x:f>
      </x:c>
      <x:c r="H111" s="111">
        <x:f>IF(MATCH(F111,$F$4:$F$200,0)&gt;=MATCH(MAX($F$4:$F$200),$F$4:$F$200,0),$M$4+($M$5-$M$4)*(1-EXP(-B111/$M$6)),0)</x:f>
      </x:c>
      <x:c r="I111" s="111">
        <x:f>IF(H111&gt;0,D111-H111,0)</x:f>
      </x:c>
      <x:c r="J111" s="111">
        <x:f>I111^2</x:f>
      </x:c>
      <x:c r="AB111" s="82">
        <x:f t="array" ref="AB111:AB111">MAX(IF($C$4:$C$200=MEDIAN($M$1-1,$M$1+1,C111),$D$4:$D$200,0))</x:f>
      </x:c>
      <x:c r="AC111" s="82">
        <x:f>ABS(D111-D112)</x:f>
      </x:c>
    </x:row>
    <x:row r="112" spans="1:29" x14ac:dyDescent="0.25">
      <x:c r="B112" s="82" t="n">
        <x:v>25.844</x:v>
      </x:c>
      <x:c r="C112" s="118" t="n">
        <x:v>99.88</x:v>
      </x:c>
      <x:c r="D112" s="118" t="n">
        <x:v>0.3365</x:v>
      </x:c>
      <x:c r="E112" s="118" t="n">
        <x:v>340.5</x:v>
      </x:c>
      <x:c r="F112" s="82">
        <x:f>IF(C112=MEDIAN($M$1-1,$M$1+1,C112),IF(D112&lt;=AVERAGE($AB$3,AVERAGEIF($B$4:$B$200,"&gt;20",$D$4:$D$200)),D112,0),0)</x:f>
      </x:c>
      <x:c r="H112" s="111">
        <x:f>IF(MATCH(F112,$F$4:$F$200,0)&gt;=MATCH(MAX($F$4:$F$200),$F$4:$F$200,0),$M$4+($M$5-$M$4)*(1-EXP(-B112/$M$6)),0)</x:f>
      </x:c>
      <x:c r="I112" s="111">
        <x:f>IF(H112&gt;0,D112-H112,0)</x:f>
      </x:c>
      <x:c r="J112" s="111">
        <x:f>I112^2</x:f>
      </x:c>
      <x:c r="AB112" s="82">
        <x:f t="array" ref="AB112:AB112">MAX(IF($C$4:$C$200=MEDIAN($M$1-1,$M$1+1,C112),$D$4:$D$200,0))</x:f>
      </x:c>
      <x:c r="AC112" s="82">
        <x:f>ABS(D112-D113)</x:f>
      </x:c>
    </x:row>
    <x:row r="113" spans="1:29" x14ac:dyDescent="0.25">
      <x:c r="B113" s="82" t="n">
        <x:v>26.132</x:v>
      </x:c>
      <x:c r="C113" s="118" t="n">
        <x:v>99.88</x:v>
      </x:c>
      <x:c r="D113" s="118" t="n">
        <x:v>0.3372</x:v>
      </x:c>
      <x:c r="E113" s="118" t="n">
        <x:v>340.5</x:v>
      </x:c>
      <x:c r="F113" s="82">
        <x:f>IF(C113=MEDIAN($M$1-1,$M$1+1,C113),IF(D113&lt;=AVERAGE($AB$3,AVERAGEIF($B$4:$B$200,"&gt;20",$D$4:$D$200)),D113,0),0)</x:f>
      </x:c>
      <x:c r="H113" s="111">
        <x:f>IF(MATCH(F113,$F$4:$F$200,0)&gt;=MATCH(MAX($F$4:$F$200),$F$4:$F$200,0),$M$4+($M$5-$M$4)*(1-EXP(-B113/$M$6)),0)</x:f>
      </x:c>
      <x:c r="I113" s="111">
        <x:f>IF(H113&gt;0,D113-H113,0)</x:f>
      </x:c>
      <x:c r="J113" s="111">
        <x:f>I113^2</x:f>
      </x:c>
      <x:c r="AB113" s="82">
        <x:f t="array" ref="AB113:AB113">MAX(IF($C$4:$C$200=MEDIAN($M$1-1,$M$1+1,C113),$D$4:$D$200,0))</x:f>
      </x:c>
      <x:c r="AC113" s="82">
        <x:f>ABS(D113-D114)</x:f>
      </x:c>
    </x:row>
    <x:row r="114" spans="1:29" x14ac:dyDescent="0.25">
      <x:c r="B114" s="82" t="n">
        <x:v>26.352</x:v>
      </x:c>
      <x:c r="C114" s="118" t="n">
        <x:v>99.84</x:v>
      </x:c>
      <x:c r="D114" s="118" t="n">
        <x:v>0.3452</x:v>
      </x:c>
      <x:c r="E114" s="118" t="n">
        <x:v>340.5</x:v>
      </x:c>
      <x:c r="F114" s="82">
        <x:f>IF(C114=MEDIAN($M$1-1,$M$1+1,C114),IF(D114&lt;=AVERAGE($AB$3,AVERAGEIF($B$4:$B$200,"&gt;20",$D$4:$D$200)),D114,0),0)</x:f>
      </x:c>
      <x:c r="H114" s="111">
        <x:f>IF(MATCH(F114,$F$4:$F$200,0)&gt;=MATCH(MAX($F$4:$F$200),$F$4:$F$200,0),$M$4+($M$5-$M$4)*(1-EXP(-B114/$M$6)),0)</x:f>
      </x:c>
      <x:c r="I114" s="111">
        <x:f>IF(H114&gt;0,D114-H114,0)</x:f>
      </x:c>
      <x:c r="J114" s="111">
        <x:f>I114^2</x:f>
      </x:c>
      <x:c r="AB114" s="82">
        <x:f t="array" ref="AB114:AB114">MAX(IF($C$4:$C$200=MEDIAN($M$1-1,$M$1+1,C114),$D$4:$D$200,0))</x:f>
      </x:c>
      <x:c r="AC114" s="82">
        <x:f>ABS(D114-D115)</x:f>
      </x:c>
    </x:row>
    <x:row r="115" spans="1:29" x14ac:dyDescent="0.25">
      <x:c r="B115" s="82" t="n">
        <x:v>26.528</x:v>
      </x:c>
      <x:c r="C115" s="118" t="n">
        <x:v>99.84</x:v>
      </x:c>
      <x:c r="D115" s="118" t="n">
        <x:v>0.3515</x:v>
      </x:c>
      <x:c r="E115" s="118" t="n">
        <x:v>340.5</x:v>
      </x:c>
      <x:c r="F115" s="82">
        <x:f>IF(C115=MEDIAN($M$1-1,$M$1+1,C115),IF(D115&lt;=AVERAGE($AB$3,AVERAGEIF($B$4:$B$200,"&gt;20",$D$4:$D$200)),D115,0),0)</x:f>
      </x:c>
      <x:c r="H115" s="111">
        <x:f>IF(MATCH(F115,$F$4:$F$200,0)&gt;=MATCH(MAX($F$4:$F$200),$F$4:$F$200,0),$M$4+($M$5-$M$4)*(1-EXP(-B115/$M$6)),0)</x:f>
      </x:c>
      <x:c r="I115" s="111">
        <x:f>IF(H115&gt;0,D115-H115,0)</x:f>
      </x:c>
      <x:c r="J115" s="111">
        <x:f>I115^2</x:f>
      </x:c>
      <x:c r="AB115" s="82">
        <x:f t="array" ref="AB115:AB115">MAX(IF($C$4:$C$200=MEDIAN($M$1-1,$M$1+1,C115),$D$4:$D$200,0))</x:f>
      </x:c>
      <x:c r="AC115" s="82">
        <x:f>ABS(D115-D116)</x:f>
      </x:c>
    </x:row>
    <x:row r="116" spans="1:29" x14ac:dyDescent="0.25">
      <x:c r="B116" s="82" t="n">
        <x:v>26.832</x:v>
      </x:c>
      <x:c r="C116" s="118" t="n">
        <x:v>99.83</x:v>
      </x:c>
      <x:c r="D116" s="118" t="n">
        <x:v>0.3494</x:v>
      </x:c>
      <x:c r="E116" s="118" t="n">
        <x:v>341.5</x:v>
      </x:c>
      <x:c r="F116" s="82">
        <x:f>IF(C116=MEDIAN($M$1-1,$M$1+1,C116),IF(D116&lt;=AVERAGE($AB$3,AVERAGEIF($B$4:$B$200,"&gt;20",$D$4:$D$200)),D116,0),0)</x:f>
      </x:c>
      <x:c r="H116" s="111">
        <x:f>IF(MATCH(F116,$F$4:$F$200,0)&gt;=MATCH(MAX($F$4:$F$200),$F$4:$F$200,0),$M$4+($M$5-$M$4)*(1-EXP(-B116/$M$6)),0)</x:f>
      </x:c>
      <x:c r="I116" s="111">
        <x:f>IF(H116&gt;0,D116-H116,0)</x:f>
      </x:c>
      <x:c r="J116" s="111">
        <x:f>I116^2</x:f>
      </x:c>
      <x:c r="AB116" s="82">
        <x:f t="array" ref="AB116:AB116">MAX(IF($C$4:$C$200=MEDIAN($M$1-1,$M$1+1,C116),$D$4:$D$200,0))</x:f>
      </x:c>
      <x:c r="AC116" s="82">
        <x:f>ABS(D116-D117)</x:f>
      </x:c>
    </x:row>
    <x:row r="117" spans="1:29" x14ac:dyDescent="0.25">
      <x:c r="B117" s="82" t="n">
        <x:v>27.088</x:v>
      </x:c>
      <x:c r="C117" s="118" t="n">
        <x:v>99.83</x:v>
      </x:c>
      <x:c r="D117" s="118" t="n">
        <x:v>0.3456</x:v>
      </x:c>
      <x:c r="E117" s="118" t="n">
        <x:v>341.5</x:v>
      </x:c>
      <x:c r="F117" s="82">
        <x:f>IF(C117=MEDIAN($M$1-1,$M$1+1,C117),IF(D117&lt;=AVERAGE($AB$3,AVERAGEIF($B$4:$B$200,"&gt;20",$D$4:$D$200)),D117,0),0)</x:f>
      </x:c>
      <x:c r="H117" s="111">
        <x:f>IF(MATCH(F117,$F$4:$F$200,0)&gt;=MATCH(MAX($F$4:$F$200),$F$4:$F$200,0),$M$4+($M$5-$M$4)*(1-EXP(-B117/$M$6)),0)</x:f>
      </x:c>
      <x:c r="I117" s="111">
        <x:f>IF(H117&gt;0,D117-H117,0)</x:f>
      </x:c>
      <x:c r="J117" s="111">
        <x:f>I117^2</x:f>
      </x:c>
      <x:c r="AB117" s="82">
        <x:f t="array" ref="AB117:AB117">MAX(IF($C$4:$C$200=MEDIAN($M$1-1,$M$1+1,C117),$D$4:$D$200,0))</x:f>
      </x:c>
      <x:c r="AC117" s="82">
        <x:f>ABS(D117-D118)</x:f>
      </x:c>
    </x:row>
    <x:row r="118" spans="1:29" x14ac:dyDescent="0.25">
      <x:c r="B118" s="82" t="n">
        <x:v>27.268</x:v>
      </x:c>
      <x:c r="C118" s="118" t="n">
        <x:v>99.86</x:v>
      </x:c>
      <x:c r="D118" s="118" t="n">
        <x:v>0.3431</x:v>
      </x:c>
      <x:c r="E118" s="118" t="n">
        <x:v>341.1</x:v>
      </x:c>
      <x:c r="F118" s="82">
        <x:f>IF(C118=MEDIAN($M$1-1,$M$1+1,C118),IF(D118&lt;=AVERAGE($AB$3,AVERAGEIF($B$4:$B$200,"&gt;20",$D$4:$D$200)),D118,0),0)</x:f>
      </x:c>
      <x:c r="H118" s="111">
        <x:f>IF(MATCH(F118,$F$4:$F$200,0)&gt;=MATCH(MAX($F$4:$F$200),$F$4:$F$200,0),$M$4+($M$5-$M$4)*(1-EXP(-B118/$M$6)),0)</x:f>
      </x:c>
      <x:c r="I118" s="111">
        <x:f>IF(H118&gt;0,D118-H118,0)</x:f>
      </x:c>
      <x:c r="J118" s="111">
        <x:f>I118^2</x:f>
      </x:c>
      <x:c r="AB118" s="82">
        <x:f t="array" ref="AB118:AB118">MAX(IF($C$4:$C$200=MEDIAN($M$1-1,$M$1+1,C118),$D$4:$D$200,0))</x:f>
      </x:c>
      <x:c r="AC118" s="82">
        <x:f>ABS(D118-D119)</x:f>
      </x:c>
    </x:row>
    <x:row r="119" spans="1:29" x14ac:dyDescent="0.25">
      <x:c r="B119" s="82" t="n">
        <x:v>27.424</x:v>
      </x:c>
      <x:c r="C119" s="118" t="n">
        <x:v>99.86</x:v>
      </x:c>
      <x:c r="D119" s="118" t="n">
        <x:v>0.3408</x:v>
      </x:c>
      <x:c r="E119" s="118" t="n">
        <x:v>341.1</x:v>
      </x:c>
      <x:c r="F119" s="82">
        <x:f>IF(C119=MEDIAN($M$1-1,$M$1+1,C119),IF(D119&lt;=AVERAGE($AB$3,AVERAGEIF($B$4:$B$200,"&gt;20",$D$4:$D$200)),D119,0),0)</x:f>
      </x:c>
      <x:c r="H119" s="111">
        <x:f>IF(MATCH(F119,$F$4:$F$200,0)&gt;=MATCH(MAX($F$4:$F$200),$F$4:$F$200,0),$M$4+($M$5-$M$4)*(1-EXP(-B119/$M$6)),0)</x:f>
      </x:c>
      <x:c r="I119" s="111">
        <x:f>IF(H119&gt;0,D119-H119,0)</x:f>
      </x:c>
      <x:c r="J119" s="111">
        <x:f>I119^2</x:f>
      </x:c>
      <x:c r="AB119" s="82">
        <x:f t="array" ref="AB119:AB119">MAX(IF($C$4:$C$200=MEDIAN($M$1-1,$M$1+1,C119),$D$4:$D$200,0))</x:f>
      </x:c>
      <x:c r="AC119" s="82">
        <x:f>ABS(D119-D120)</x:f>
      </x:c>
    </x:row>
    <x:row r="120" spans="1:29" x14ac:dyDescent="0.25">
      <x:c r="B120" s="82" t="n">
        <x:v>27.572</x:v>
      </x:c>
      <x:c r="C120" s="118" t="n">
        <x:v>99.86</x:v>
      </x:c>
      <x:c r="D120" s="118" t="n">
        <x:v>0.3408</x:v>
      </x:c>
      <x:c r="E120" s="118" t="n">
        <x:v>341.1</x:v>
      </x:c>
      <x:c r="F120" s="82">
        <x:f>IF(C120=MEDIAN($M$1-1,$M$1+1,C120),IF(D120&lt;=AVERAGE($AB$3,AVERAGEIF($B$4:$B$200,"&gt;20",$D$4:$D$200)),D120,0),0)</x:f>
      </x:c>
      <x:c r="H120" s="111">
        <x:f>IF(MATCH(F120,$F$4:$F$200,0)&gt;=MATCH(MAX($F$4:$F$200),$F$4:$F$200,0),$M$4+($M$5-$M$4)*(1-EXP(-B120/$M$6)),0)</x:f>
      </x:c>
      <x:c r="I120" s="111">
        <x:f>IF(H120&gt;0,D120-H120,0)</x:f>
      </x:c>
      <x:c r="J120" s="111">
        <x:f>I120^2</x:f>
      </x:c>
      <x:c r="AB120" s="82">
        <x:f t="array" ref="AB120:AB120">MAX(IF($C$4:$C$200=MEDIAN($M$1-1,$M$1+1,C120),$D$4:$D$200,0))</x:f>
      </x:c>
      <x:c r="AC120" s="82">
        <x:f>ABS(D120-D121)</x:f>
      </x:c>
    </x:row>
    <x:row r="121" spans="1:29" x14ac:dyDescent="0.25">
      <x:c r="B121" s="82" t="n">
        <x:v>27.888</x:v>
      </x:c>
      <x:c r="C121" s="118" t="n">
        <x:v>99.85</x:v>
      </x:c>
      <x:c r="D121" s="118" t="n">
        <x:v>0.3382</x:v>
      </x:c>
      <x:c r="E121" s="118" t="n">
        <x:v>340.8</x:v>
      </x:c>
      <x:c r="F121" s="82">
        <x:f>IF(C121=MEDIAN($M$1-1,$M$1+1,C121),IF(D121&lt;=AVERAGE($AB$3,AVERAGEIF($B$4:$B$200,"&gt;20",$D$4:$D$200)),D121,0),0)</x:f>
      </x:c>
      <x:c r="H121" s="111">
        <x:f>IF(MATCH(F121,$F$4:$F$200,0)&gt;=MATCH(MAX($F$4:$F$200),$F$4:$F$200,0),$M$4+($M$5-$M$4)*(1-EXP(-B121/$M$6)),0)</x:f>
      </x:c>
      <x:c r="I121" s="111">
        <x:f>IF(H121&gt;0,D121-H121,0)</x:f>
      </x:c>
      <x:c r="J121" s="111">
        <x:f>I121^2</x:f>
      </x:c>
      <x:c r="AB121" s="82">
        <x:f t="array" ref="AB121:AB121">MAX(IF($C$4:$C$200=MEDIAN($M$1-1,$M$1+1,C121),$D$4:$D$200,0))</x:f>
      </x:c>
      <x:c r="AC121" s="82">
        <x:f>ABS(D121-D122)</x:f>
      </x:c>
    </x:row>
    <x:row r="122" spans="1:29" x14ac:dyDescent="0.25">
      <x:c r="B122" s="82" t="n">
        <x:v>28.164</x:v>
      </x:c>
      <x:c r="C122" s="118" t="n">
        <x:v>99.72</x:v>
      </x:c>
      <x:c r="D122" s="118" t="n">
        <x:v>0.343</x:v>
      </x:c>
      <x:c r="E122" s="118" t="n">
        <x:v>341.1</x:v>
      </x:c>
      <x:c r="F122" s="82">
        <x:f>IF(C122=MEDIAN($M$1-1,$M$1+1,C122),IF(D122&lt;=AVERAGE($AB$3,AVERAGEIF($B$4:$B$200,"&gt;20",$D$4:$D$200)),D122,0),0)</x:f>
      </x:c>
      <x:c r="H122" s="111">
        <x:f>IF(MATCH(F122,$F$4:$F$200,0)&gt;=MATCH(MAX($F$4:$F$200),$F$4:$F$200,0),$M$4+($M$5-$M$4)*(1-EXP(-B122/$M$6)),0)</x:f>
      </x:c>
      <x:c r="I122" s="111">
        <x:f>IF(H122&gt;0,D122-H122,0)</x:f>
      </x:c>
      <x:c r="J122" s="111">
        <x:f>I122^2</x:f>
      </x:c>
      <x:c r="AB122" s="82">
        <x:f t="array" ref="AB122:AB122">MAX(IF($C$4:$C$200=MEDIAN($M$1-1,$M$1+1,C122),$D$4:$D$200,0))</x:f>
      </x:c>
      <x:c r="AC122" s="82">
        <x:f>ABS(D122-D123)</x:f>
      </x:c>
    </x:row>
    <x:row r="123" spans="1:29" x14ac:dyDescent="0.25">
      <x:c r="B123" s="82" t="n">
        <x:v>28.4</x:v>
      </x:c>
      <x:c r="C123" s="118" t="n">
        <x:v>99.72</x:v>
      </x:c>
      <x:c r="D123" s="118" t="n">
        <x:v>0.3502</x:v>
      </x:c>
      <x:c r="E123" s="118" t="n">
        <x:v>341.1</x:v>
      </x:c>
      <x:c r="F123" s="82">
        <x:f>IF(C123=MEDIAN($M$1-1,$M$1+1,C123),IF(D123&lt;=AVERAGE($AB$3,AVERAGEIF($B$4:$B$200,"&gt;20",$D$4:$D$200)),D123,0),0)</x:f>
      </x:c>
      <x:c r="H123" s="111">
        <x:f>IF(MATCH(F123,$F$4:$F$200,0)&gt;=MATCH(MAX($F$4:$F$200),$F$4:$F$200,0),$M$4+($M$5-$M$4)*(1-EXP(-B123/$M$6)),0)</x:f>
      </x:c>
      <x:c r="I123" s="111">
        <x:f>IF(H123&gt;0,D123-H123,0)</x:f>
      </x:c>
      <x:c r="J123" s="111">
        <x:f>I123^2</x:f>
      </x:c>
      <x:c r="AB123" s="82">
        <x:f t="array" ref="AB123:AB123">MAX(IF($C$4:$C$200=MEDIAN($M$1-1,$M$1+1,C123),$D$4:$D$200,0))</x:f>
      </x:c>
      <x:c r="AC123" s="82">
        <x:f>ABS(D123-D124)</x:f>
      </x:c>
    </x:row>
    <x:row r="124" spans="1:29" x14ac:dyDescent="0.25">
      <x:c r="B124" s="82" t="n">
        <x:v>28.56</x:v>
      </x:c>
      <x:c r="C124" s="118" t="n">
        <x:v>99.72</x:v>
      </x:c>
      <x:c r="D124" s="118" t="n">
        <x:v>0.3502</x:v>
      </x:c>
      <x:c r="E124" s="118" t="n">
        <x:v>341.1</x:v>
      </x:c>
      <x:c r="F124" s="82">
        <x:f>IF(C124=MEDIAN($M$1-1,$M$1+1,C124),IF(D124&lt;=AVERAGE($AB$3,AVERAGEIF($B$4:$B$200,"&gt;20",$D$4:$D$200)),D124,0),0)</x:f>
      </x:c>
      <x:c r="H124" s="111">
        <x:f>IF(MATCH(F124,$F$4:$F$200,0)&gt;=MATCH(MAX($F$4:$F$200),$F$4:$F$200,0),$M$4+($M$5-$M$4)*(1-EXP(-B124/$M$6)),0)</x:f>
      </x:c>
      <x:c r="I124" s="111">
        <x:f>IF(H124&gt;0,D124-H124,0)</x:f>
      </x:c>
      <x:c r="J124" s="111">
        <x:f>I124^2</x:f>
      </x:c>
      <x:c r="AB124" s="82">
        <x:f t="array" ref="AB124:AB124">MAX(IF($C$4:$C$200=MEDIAN($M$1-1,$M$1+1,C124),$D$4:$D$200,0))</x:f>
      </x:c>
      <x:c r="AC124" s="82">
        <x:f>ABS(D124-D125)</x:f>
      </x:c>
    </x:row>
    <x:row r="125" spans="1:29" x14ac:dyDescent="0.25">
      <x:c r="B125" s="82" t="n">
        <x:v>28.86</x:v>
      </x:c>
      <x:c r="C125" s="118" t="n">
        <x:v>99.78</x:v>
      </x:c>
      <x:c r="D125" s="118" t="n">
        <x:v>0.3475</x:v>
      </x:c>
      <x:c r="E125" s="118" t="n">
        <x:v>341.9</x:v>
      </x:c>
      <x:c r="F125" s="82">
        <x:f>IF(C125=MEDIAN($M$1-1,$M$1+1,C125),IF(D125&lt;=AVERAGE($AB$3,AVERAGEIF($B$4:$B$200,"&gt;20",$D$4:$D$200)),D125,0),0)</x:f>
      </x:c>
      <x:c r="H125" s="111">
        <x:f>IF(MATCH(F125,$F$4:$F$200,0)&gt;=MATCH(MAX($F$4:$F$200),$F$4:$F$200,0),$M$4+($M$5-$M$4)*(1-EXP(-B125/$M$6)),0)</x:f>
      </x:c>
      <x:c r="I125" s="111">
        <x:f>IF(H125&gt;0,D125-H125,0)</x:f>
      </x:c>
      <x:c r="J125" s="111">
        <x:f>I125^2</x:f>
      </x:c>
      <x:c r="AB125" s="82">
        <x:f t="array" ref="AB125:AB125">MAX(IF($C$4:$C$200=MEDIAN($M$1-1,$M$1+1,C125),$D$4:$D$200,0))</x:f>
      </x:c>
      <x:c r="AC125" s="82">
        <x:f>ABS(D125-D126)</x:f>
      </x:c>
    </x:row>
    <x:row r="126" spans="1:29" x14ac:dyDescent="0.25">
      <x:c r="B126" s="82" t="n">
        <x:v>29.168</x:v>
      </x:c>
      <x:c r="C126" s="118" t="n">
        <x:v>99.68</x:v>
      </x:c>
      <x:c r="D126" s="118" t="n">
        <x:v>0.3359</x:v>
      </x:c>
      <x:c r="E126" s="118" t="n">
        <x:v>341.1</x:v>
      </x:c>
      <x:c r="F126" s="82">
        <x:f>IF(C126=MEDIAN($M$1-1,$M$1+1,C126),IF(D126&lt;=AVERAGE($AB$3,AVERAGEIF($B$4:$B$200,"&gt;20",$D$4:$D$200)),D126,0),0)</x:f>
      </x:c>
      <x:c r="H126" s="111">
        <x:f>IF(MATCH(F126,$F$4:$F$200,0)&gt;=MATCH(MAX($F$4:$F$200),$F$4:$F$200,0),$M$4+($M$5-$M$4)*(1-EXP(-B126/$M$6)),0)</x:f>
      </x:c>
      <x:c r="I126" s="111">
        <x:f>IF(H126&gt;0,D126-H126,0)</x:f>
      </x:c>
      <x:c r="J126" s="111">
        <x:f>I126^2</x:f>
      </x:c>
      <x:c r="AB126" s="82">
        <x:f t="array" ref="AB126:AB126">MAX(IF($C$4:$C$200=MEDIAN($M$1-1,$M$1+1,C126),$D$4:$D$200,0))</x:f>
      </x:c>
      <x:c r="AC126" s="82">
        <x:f>ABS(D126-D127)</x:f>
      </x:c>
    </x:row>
    <x:row r="127" spans="1:29" x14ac:dyDescent="0.25">
      <x:c r="B127" s="82" t="n">
        <x:v>29.36</x:v>
      </x:c>
      <x:c r="C127" s="118" t="n">
        <x:v>99.68</x:v>
      </x:c>
      <x:c r="D127" s="118" t="n">
        <x:v>0.3319</x:v>
      </x:c>
      <x:c r="E127" s="118" t="n">
        <x:v>341.1</x:v>
      </x:c>
      <x:c r="F127" s="82">
        <x:f>IF(C127=MEDIAN($M$1-1,$M$1+1,C127),IF(D127&lt;=AVERAGE($AB$3,AVERAGEIF($B$4:$B$200,"&gt;20",$D$4:$D$200)),D127,0),0)</x:f>
      </x:c>
      <x:c r="H127" s="111">
        <x:f>IF(MATCH(F127,$F$4:$F$200,0)&gt;=MATCH(MAX($F$4:$F$200),$F$4:$F$200,0),$M$4+($M$5-$M$4)*(1-EXP(-B127/$M$6)),0)</x:f>
      </x:c>
      <x:c r="I127" s="111">
        <x:f>IF(H127&gt;0,D127-H127,0)</x:f>
      </x:c>
      <x:c r="J127" s="111">
        <x:f>I127^2</x:f>
      </x:c>
      <x:c r="AB127" s="82">
        <x:f t="array" ref="AB127:AB127">MAX(IF($C$4:$C$200=MEDIAN($M$1-1,$M$1+1,C127),$D$4:$D$200,0))</x:f>
      </x:c>
      <x:c r="AC127" s="82">
        <x:f>ABS(D127-D128)</x:f>
      </x:c>
    </x:row>
    <x:row r="128" spans="1:29" x14ac:dyDescent="0.25">
      <x:c r="B128" s="82" t="n">
        <x:v>29.508</x:v>
      </x:c>
      <x:c r="C128" s="118" t="n">
        <x:v>99.68</x:v>
      </x:c>
      <x:c r="D128" s="118" t="n">
        <x:v>0.3319</x:v>
      </x:c>
      <x:c r="E128" s="118" t="n">
        <x:v>341.1</x:v>
      </x:c>
      <x:c r="F128" s="82">
        <x:f>IF(C128=MEDIAN($M$1-1,$M$1+1,C128),IF(D128&lt;=AVERAGE($AB$3,AVERAGEIF($B$4:$B$200,"&gt;20",$D$4:$D$200)),D128,0),0)</x:f>
      </x:c>
      <x:c r="H128" s="111">
        <x:f>IF(MATCH(F128,$F$4:$F$200,0)&gt;=MATCH(MAX($F$4:$F$200),$F$4:$F$200,0),$M$4+($M$5-$M$4)*(1-EXP(-B128/$M$6)),0)</x:f>
      </x:c>
      <x:c r="I128" s="111">
        <x:f>IF(H128&gt;0,D128-H128,0)</x:f>
      </x:c>
      <x:c r="J128" s="111">
        <x:f>I128^2</x:f>
      </x:c>
      <x:c r="AB128" s="82">
        <x:f t="array" ref="AB128:AB128">MAX(IF($C$4:$C$200=MEDIAN($M$1-1,$M$1+1,C128),$D$4:$D$200,0))</x:f>
      </x:c>
      <x:c r="AC128" s="82">
        <x:f>ABS(D128-D129)</x:f>
      </x:c>
    </x:row>
    <x:row r="129" spans="1:29" x14ac:dyDescent="0.25">
      <x:c r="B129" s="82" t="n">
        <x:v>29.764</x:v>
      </x:c>
      <x:c r="C129" s="118" t="n">
        <x:v>99.74</x:v>
      </x:c>
      <x:c r="D129" s="118" t="n">
        <x:v>0.3314</x:v>
      </x:c>
      <x:c r="E129" s="118" t="n">
        <x:v>340.8</x:v>
      </x:c>
      <x:c r="F129" s="82">
        <x:f>IF(C129=MEDIAN($M$1-1,$M$1+1,C129),IF(D129&lt;=AVERAGE($AB$3,AVERAGEIF($B$4:$B$200,"&gt;20",$D$4:$D$200)),D129,0),0)</x:f>
      </x:c>
      <x:c r="H129" s="111">
        <x:f>IF(MATCH(F129,$F$4:$F$200,0)&gt;=MATCH(MAX($F$4:$F$200),$F$4:$F$200,0),$M$4+($M$5-$M$4)*(1-EXP(-B129/$M$6)),0)</x:f>
      </x:c>
      <x:c r="I129" s="111">
        <x:f>IF(H129&gt;0,D129-H129,0)</x:f>
      </x:c>
      <x:c r="J129" s="111">
        <x:f>I129^2</x:f>
      </x:c>
      <x:c r="AB129" s="82">
        <x:f t="array" ref="AB129:AB129">MAX(IF($C$4:$C$200=MEDIAN($M$1-1,$M$1+1,C129),$D$4:$D$200,0))</x:f>
      </x:c>
      <x:c r="AC129" s="82">
        <x:f>ABS(D129-D130)</x:f>
      </x:c>
    </x:row>
    <x:row r="130" spans="1:29" x14ac:dyDescent="0.25">
      <x:c r="B130" s="82" t="n">
        <x:v>30.036</x:v>
      </x:c>
      <x:c r="C130" s="118" t="n">
        <x:v>99.74</x:v>
      </x:c>
      <x:c r="D130" s="118" t="n">
        <x:v>0.341</x:v>
      </x:c>
      <x:c r="E130" s="118" t="n">
        <x:v>340.8</x:v>
      </x:c>
      <x:c r="F130" s="82">
        <x:f>IF(C130=MEDIAN($M$1-1,$M$1+1,C130),IF(D130&lt;=AVERAGE($AB$3,AVERAGEIF($B$4:$B$200,"&gt;20",$D$4:$D$200)),D130,0),0)</x:f>
      </x:c>
      <x:c r="H130" s="111">
        <x:f>IF(MATCH(F130,$F$4:$F$200,0)&gt;=MATCH(MAX($F$4:$F$200),$F$4:$F$200,0),$M$4+($M$5-$M$4)*(1-EXP(-B130/$M$6)),0)</x:f>
      </x:c>
      <x:c r="I130" s="111">
        <x:f>IF(H130&gt;0,D130-H130,0)</x:f>
      </x:c>
      <x:c r="J130" s="111">
        <x:f>I130^2</x:f>
      </x:c>
      <x:c r="AB130" s="82">
        <x:f t="array" ref="AB130:AB130">MAX(IF($C$4:$C$200=MEDIAN($M$1-1,$M$1+1,C130),$D$4:$D$200,0))</x:f>
      </x:c>
      <x:c r="AC130" s="82">
        <x:f>ABS(D130-D131)</x:f>
      </x:c>
    </x:row>
    <x:row r="131" spans="1:29" x14ac:dyDescent="0.25">
      <x:c r="B131" s="82" t="n">
        <x:v>30.272</x:v>
      </x:c>
      <x:c r="C131" s="118" t="n">
        <x:v>99.73</x:v>
      </x:c>
      <x:c r="D131" s="118" t="n">
        <x:v>0.3462</x:v>
      </x:c>
      <x:c r="E131" s="118" t="n">
        <x:v>341.3</x:v>
      </x:c>
      <x:c r="F131" s="82">
        <x:f>IF(C131=MEDIAN($M$1-1,$M$1+1,C131),IF(D131&lt;=AVERAGE($AB$3,AVERAGEIF($B$4:$B$200,"&gt;20",$D$4:$D$200)),D131,0),0)</x:f>
      </x:c>
      <x:c r="H131" s="111">
        <x:f>IF(MATCH(F131,$F$4:$F$200,0)&gt;=MATCH(MAX($F$4:$F$200),$F$4:$F$200,0),$M$4+($M$5-$M$4)*(1-EXP(-B131/$M$6)),0)</x:f>
      </x:c>
      <x:c r="I131" s="111">
        <x:f>IF(H131&gt;0,D131-H131,0)</x:f>
      </x:c>
      <x:c r="J131" s="111">
        <x:f>I131^2</x:f>
      </x:c>
      <x:c r="AB131" s="82">
        <x:f t="array" ref="AB131:AB131">MAX(IF($C$4:$C$200=MEDIAN($M$1-1,$M$1+1,C131),$D$4:$D$200,0))</x:f>
      </x:c>
      <x:c r="AC131" s="82">
        <x:f>ABS(D131-D132)</x:f>
      </x:c>
    </x:row>
    <x:row r="132" spans="1:29" x14ac:dyDescent="0.25">
      <x:c r="B132" s="82" t="n">
        <x:v>30.444</x:v>
      </x:c>
      <x:c r="C132" s="118" t="n">
        <x:v>99.73</x:v>
      </x:c>
      <x:c r="D132" s="118" t="n">
        <x:v>0.3486</x:v>
      </x:c>
      <x:c r="E132" s="118" t="n">
        <x:v>341.3</x:v>
      </x:c>
      <x:c r="F132" s="82">
        <x:f>IF(C132=MEDIAN($M$1-1,$M$1+1,C132),IF(D132&lt;=AVERAGE($AB$3,AVERAGEIF($B$4:$B$200,"&gt;20",$D$4:$D$200)),D132,0),0)</x:f>
      </x:c>
      <x:c r="H132" s="111">
        <x:f>IF(MATCH(F132,$F$4:$F$200,0)&gt;=MATCH(MAX($F$4:$F$200),$F$4:$F$200,0),$M$4+($M$5-$M$4)*(1-EXP(-B132/$M$6)),0)</x:f>
      </x:c>
      <x:c r="I132" s="111">
        <x:f>IF(H132&gt;0,D132-H132,0)</x:f>
      </x:c>
      <x:c r="J132" s="111">
        <x:f>I132^2</x:f>
      </x:c>
      <x:c r="AB132" s="82">
        <x:f t="array" ref="AB132:AB132">MAX(IF($C$4:$C$200=MEDIAN($M$1-1,$M$1+1,C132),$D$4:$D$200,0))</x:f>
      </x:c>
      <x:c r="AC132" s="82">
        <x:f>ABS(D132-D133)</x:f>
      </x:c>
    </x:row>
    <x:row r="133" spans="1:29" x14ac:dyDescent="0.25">
      <x:c r="B133" s="82" t="n">
        <x:v>30.66</x:v>
      </x:c>
      <x:c r="C133" s="118" t="n">
        <x:v>99.78</x:v>
      </x:c>
      <x:c r="D133" s="118" t="n">
        <x:v>0.3471</x:v>
      </x:c>
      <x:c r="E133" s="118" t="n">
        <x:v>341.9</x:v>
      </x:c>
      <x:c r="F133" s="82">
        <x:f>IF(C133=MEDIAN($M$1-1,$M$1+1,C133),IF(D133&lt;=AVERAGE($AB$3,AVERAGEIF($B$4:$B$200,"&gt;20",$D$4:$D$200)),D133,0),0)</x:f>
      </x:c>
      <x:c r="H133" s="111">
        <x:f>IF(MATCH(F133,$F$4:$F$200,0)&gt;=MATCH(MAX($F$4:$F$200),$F$4:$F$200,0),$M$4+($M$5-$M$4)*(1-EXP(-B133/$M$6)),0)</x:f>
      </x:c>
      <x:c r="I133" s="111">
        <x:f>IF(H133&gt;0,D133-H133,0)</x:f>
      </x:c>
      <x:c r="J133" s="111">
        <x:f>I133^2</x:f>
      </x:c>
      <x:c r="AB133" s="82">
        <x:f t="array" ref="AB133:AB133">MAX(IF($C$4:$C$200=MEDIAN($M$1-1,$M$1+1,C133),$D$4:$D$200,0))</x:f>
      </x:c>
      <x:c r="AC133" s="82">
        <x:f>ABS(D133-D134)</x:f>
      </x:c>
    </x:row>
    <x:row r="134" spans="1:29" x14ac:dyDescent="0.25">
      <x:c r="B134" s="82" t="n">
        <x:v>30.964</x:v>
      </x:c>
      <x:c r="C134" s="118" t="n">
        <x:v>99.78</x:v>
      </x:c>
      <x:c r="D134" s="118" t="n">
        <x:v>0.3355</x:v>
      </x:c>
      <x:c r="E134" s="118" t="n">
        <x:v>341.9</x:v>
      </x:c>
      <x:c r="F134" s="82">
        <x:f>IF(C134=MEDIAN($M$1-1,$M$1+1,C134),IF(D134&lt;=AVERAGE($AB$3,AVERAGEIF($B$4:$B$200,"&gt;20",$D$4:$D$200)),D134,0),0)</x:f>
      </x:c>
      <x:c r="H134" s="111">
        <x:f>IF(MATCH(F134,$F$4:$F$200,0)&gt;=MATCH(MAX($F$4:$F$200),$F$4:$F$200,0),$M$4+($M$5-$M$4)*(1-EXP(-B134/$M$6)),0)</x:f>
      </x:c>
      <x:c r="I134" s="111">
        <x:f>IF(H134&gt;0,D134-H134,0)</x:f>
      </x:c>
      <x:c r="J134" s="111">
        <x:f>I134^2</x:f>
      </x:c>
      <x:c r="AB134" s="82">
        <x:f t="array" ref="AB134:AB134">MAX(IF($C$4:$C$200=MEDIAN($M$1-1,$M$1+1,C134),$D$4:$D$200,0))</x:f>
      </x:c>
      <x:c r="AC134" s="82">
        <x:f>ABS(D134-D135)</x:f>
      </x:c>
    </x:row>
    <x:row r="135" spans="1:29" x14ac:dyDescent="0.25">
      <x:c r="B135" s="82" t="n">
        <x:v>31.224</x:v>
      </x:c>
      <x:c r="C135" s="118" t="n">
        <x:v>100</x:v>
      </x:c>
      <x:c r="D135" s="118" t="n">
        <x:v>0.3329</x:v>
      </x:c>
      <x:c r="E135" s="118" t="n">
        <x:v>341.2</x:v>
      </x:c>
      <x:c r="F135" s="82">
        <x:f>IF(C135=MEDIAN($M$1-1,$M$1+1,C135),IF(D135&lt;=AVERAGE($AB$3,AVERAGEIF($B$4:$B$200,"&gt;20",$D$4:$D$200)),D135,0),0)</x:f>
      </x:c>
      <x:c r="H135" s="111">
        <x:f>IF(MATCH(F135,$F$4:$F$200,0)&gt;=MATCH(MAX($F$4:$F$200),$F$4:$F$200,0),$M$4+($M$5-$M$4)*(1-EXP(-B135/$M$6)),0)</x:f>
      </x:c>
      <x:c r="I135" s="111">
        <x:f>IF(H135&gt;0,D135-H135,0)</x:f>
      </x:c>
      <x:c r="J135" s="111">
        <x:f>I135^2</x:f>
      </x:c>
      <x:c r="AB135" s="82">
        <x:f t="array" ref="AB135:AB135">MAX(IF($C$4:$C$200=MEDIAN($M$1-1,$M$1+1,C135),$D$4:$D$200,0))</x:f>
      </x:c>
      <x:c r="AC135" s="82">
        <x:f>ABS(D135-D136)</x:f>
      </x:c>
    </x:row>
    <x:row r="136" spans="1:29" x14ac:dyDescent="0.25">
      <x:c r="B136" s="82" t="n">
        <x:v>31.38</x:v>
      </x:c>
      <x:c r="C136" s="118" t="n">
        <x:v>100</x:v>
      </x:c>
      <x:c r="D136" s="118" t="n">
        <x:v>0.3245</x:v>
      </x:c>
      <x:c r="E136" s="118" t="n">
        <x:v>341.2</x:v>
      </x:c>
      <x:c r="F136" s="82">
        <x:f>IF(C136=MEDIAN($M$1-1,$M$1+1,C136),IF(D136&lt;=AVERAGE($AB$3,AVERAGEIF($B$4:$B$200,"&gt;20",$D$4:$D$200)),D136,0),0)</x:f>
      </x:c>
      <x:c r="H136" s="111">
        <x:f>IF(MATCH(F136,$F$4:$F$200,0)&gt;=MATCH(MAX($F$4:$F$200),$F$4:$F$200,0),$M$4+($M$5-$M$4)*(1-EXP(-B136/$M$6)),0)</x:f>
      </x:c>
      <x:c r="I136" s="111">
        <x:f>IF(H136&gt;0,D136-H136,0)</x:f>
      </x:c>
      <x:c r="J136" s="111">
        <x:f>I136^2</x:f>
      </x:c>
      <x:c r="AB136" s="82">
        <x:f t="array" ref="AB136:AB136">MAX(IF($C$4:$C$200=MEDIAN($M$1-1,$M$1+1,C136),$D$4:$D$200,0))</x:f>
      </x:c>
      <x:c r="AC136" s="82">
        <x:f>ABS(D136-D137)</x:f>
      </x:c>
    </x:row>
    <x:row r="137" spans="1:29" x14ac:dyDescent="0.25">
      <x:c r="B137" s="82" t="n">
        <x:v>31.556</x:v>
      </x:c>
      <x:c r="C137" s="118" t="n">
        <x:v>100</x:v>
      </x:c>
      <x:c r="D137" s="118" t="n">
        <x:v>0.3245</x:v>
      </x:c>
      <x:c r="E137" s="118" t="n">
        <x:v>340.6</x:v>
      </x:c>
      <x:c r="F137" s="82">
        <x:f>IF(C137=MEDIAN($M$1-1,$M$1+1,C137),IF(D137&lt;=AVERAGE($AB$3,AVERAGEIF($B$4:$B$200,"&gt;20",$D$4:$D$200)),D137,0),0)</x:f>
      </x:c>
      <x:c r="H137" s="111">
        <x:f>IF(MATCH(F137,$F$4:$F$200,0)&gt;=MATCH(MAX($F$4:$F$200),$F$4:$F$200,0),$M$4+($M$5-$M$4)*(1-EXP(-B137/$M$6)),0)</x:f>
      </x:c>
      <x:c r="I137" s="111">
        <x:f>IF(H137&gt;0,D137-H137,0)</x:f>
      </x:c>
      <x:c r="J137" s="111">
        <x:f>I137^2</x:f>
      </x:c>
      <x:c r="AB137" s="82">
        <x:f t="array" ref="AB137:AB137">MAX(IF($C$4:$C$200=MEDIAN($M$1-1,$M$1+1,C137),$D$4:$D$200,0))</x:f>
      </x:c>
      <x:c r="AC137" s="82">
        <x:f>ABS(D137-D138)</x:f>
      </x:c>
    </x:row>
    <x:row r="138" spans="1:29" x14ac:dyDescent="0.25">
      <x:c r="B138" s="82" t="n">
        <x:v>31.856</x:v>
      </x:c>
      <x:c r="C138" s="118" t="n">
        <x:v>100</x:v>
      </x:c>
      <x:c r="D138" s="118" t="n">
        <x:v>0.3477</x:v>
      </x:c>
      <x:c r="E138" s="118" t="n">
        <x:v>340.6</x:v>
      </x:c>
      <x:c r="F138" s="82">
        <x:f>IF(C138=MEDIAN($M$1-1,$M$1+1,C138),IF(D138&lt;=AVERAGE($AB$3,AVERAGEIF($B$4:$B$200,"&gt;20",$D$4:$D$200)),D138,0),0)</x:f>
      </x:c>
      <x:c r="H138" s="111">
        <x:f>IF(MATCH(F138,$F$4:$F$200,0)&gt;=MATCH(MAX($F$4:$F$200),$F$4:$F$200,0),$M$4+($M$5-$M$4)*(1-EXP(-B138/$M$6)),0)</x:f>
      </x:c>
      <x:c r="I138" s="111">
        <x:f>IF(H138&gt;0,D138-H138,0)</x:f>
      </x:c>
      <x:c r="J138" s="111">
        <x:f>I138^2</x:f>
      </x:c>
      <x:c r="AB138" s="82">
        <x:f t="array" ref="AB138:AB138">MAX(IF($C$4:$C$200=MEDIAN($M$1-1,$M$1+1,C138),$D$4:$D$200,0))</x:f>
      </x:c>
      <x:c r="AC138" s="82">
        <x:f>ABS(D138-D139)</x:f>
      </x:c>
    </x:row>
    <x:row r="139" spans="1:29" x14ac:dyDescent="0.25">
      <x:c r="B139" s="82" t="n">
        <x:v>32.148</x:v>
      </x:c>
      <x:c r="C139" s="118" t="n">
        <x:v>100</x:v>
      </x:c>
      <x:c r="D139" s="118" t="n">
        <x:v>0.3467</x:v>
      </x:c>
      <x:c r="E139" s="118" t="n">
        <x:v>341.8</x:v>
      </x:c>
      <x:c r="F139" s="82">
        <x:f>IF(C139=MEDIAN($M$1-1,$M$1+1,C139),IF(D139&lt;=AVERAGE($AB$3,AVERAGEIF($B$4:$B$200,"&gt;20",$D$4:$D$200)),D139,0),0)</x:f>
      </x:c>
      <x:c r="H139" s="111">
        <x:f>IF(MATCH(F139,$F$4:$F$200,0)&gt;=MATCH(MAX($F$4:$F$200),$F$4:$F$200,0),$M$4+($M$5-$M$4)*(1-EXP(-B139/$M$6)),0)</x:f>
      </x:c>
      <x:c r="I139" s="111">
        <x:f>IF(H139&gt;0,D139-H139,0)</x:f>
      </x:c>
      <x:c r="J139" s="111">
        <x:f>I139^2</x:f>
      </x:c>
      <x:c r="AB139" s="82">
        <x:f t="array" ref="AB139:AB139">MAX(IF($C$4:$C$200=MEDIAN($M$1-1,$M$1+1,C139),$D$4:$D$200,0))</x:f>
      </x:c>
      <x:c r="AC139" s="82">
        <x:f>ABS(D139-D140)</x:f>
      </x:c>
    </x:row>
    <x:row r="140" spans="1:29" x14ac:dyDescent="0.25">
      <x:c r="B140" s="82" t="n">
        <x:v>32.376</x:v>
      </x:c>
      <x:c r="C140" s="118" t="n">
        <x:v>100</x:v>
      </x:c>
      <x:c r="D140" s="118" t="n">
        <x:v>0.3454</x:v>
      </x:c>
      <x:c r="E140" s="118" t="n">
        <x:v>341.8</x:v>
      </x:c>
      <x:c r="F140" s="82">
        <x:f>IF(C140=MEDIAN($M$1-1,$M$1+1,C140),IF(D140&lt;=AVERAGE($AB$3,AVERAGEIF($B$4:$B$200,"&gt;20",$D$4:$D$200)),D140,0),0)</x:f>
      </x:c>
      <x:c r="H140" s="111">
        <x:f>IF(MATCH(F140,$F$4:$F$200,0)&gt;=MATCH(MAX($F$4:$F$200),$F$4:$F$200,0),$M$4+($M$5-$M$4)*(1-EXP(-B140/$M$6)),0)</x:f>
      </x:c>
      <x:c r="I140" s="111">
        <x:f>IF(H140&gt;0,D140-H140,0)</x:f>
      </x:c>
      <x:c r="J140" s="111">
        <x:f>I140^2</x:f>
      </x:c>
      <x:c r="AB140" s="82">
        <x:f t="array" ref="AB140:AB140">MAX(IF($C$4:$C$200=MEDIAN($M$1-1,$M$1+1,C140),$D$4:$D$200,0))</x:f>
      </x:c>
      <x:c r="AC140" s="82">
        <x:f>ABS(D140-D141)</x:f>
      </x:c>
    </x:row>
    <x:row r="141" spans="1:29" x14ac:dyDescent="0.25">
      <x:c r="B141" s="82" t="n">
        <x:v>32.568</x:v>
      </x:c>
      <x:c r="C141" s="118" t="n">
        <x:v>100</x:v>
      </x:c>
      <x:c r="D141" s="118" t="n">
        <x:v>0.337</x:v>
      </x:c>
      <x:c r="E141" s="118" t="n">
        <x:v>341.8</x:v>
      </x:c>
      <x:c r="F141" s="82">
        <x:f>IF(C141=MEDIAN($M$1-1,$M$1+1,C141),IF(D141&lt;=AVERAGE($AB$3,AVERAGEIF($B$4:$B$200,"&gt;20",$D$4:$D$200)),D141,0),0)</x:f>
      </x:c>
      <x:c r="H141" s="111">
        <x:f>IF(MATCH(F141,$F$4:$F$200,0)&gt;=MATCH(MAX($F$4:$F$200),$F$4:$F$200,0),$M$4+($M$5-$M$4)*(1-EXP(-B141/$M$6)),0)</x:f>
      </x:c>
      <x:c r="I141" s="111">
        <x:f>IF(H141&gt;0,D141-H141,0)</x:f>
      </x:c>
      <x:c r="J141" s="111">
        <x:f>I141^2</x:f>
      </x:c>
      <x:c r="AB141" s="82">
        <x:f t="array" ref="AB141:AB141">MAX(IF($C$4:$C$200=MEDIAN($M$1-1,$M$1+1,C141),$D$4:$D$200,0))</x:f>
      </x:c>
      <x:c r="AC141" s="82">
        <x:f>ABS(D141-D142)</x:f>
      </x:c>
    </x:row>
    <x:row r="142" spans="1:29" x14ac:dyDescent="0.25">
      <x:c r="B142" s="82" t="n">
        <x:v>32.868</x:v>
      </x:c>
      <x:c r="C142" s="118" t="n">
        <x:v>100</x:v>
      </x:c>
      <x:c r="D142" s="118" t="n">
        <x:v>0.3355</x:v>
      </x:c>
      <x:c r="E142" s="118" t="n">
        <x:v>341.8</x:v>
      </x:c>
      <x:c r="F142" s="82">
        <x:f>IF(C142=MEDIAN($M$1-1,$M$1+1,C142),IF(D142&lt;=AVERAGE($AB$3,AVERAGEIF($B$4:$B$200,"&gt;20",$D$4:$D$200)),D142,0),0)</x:f>
      </x:c>
      <x:c r="H142" s="111">
        <x:f>IF(MATCH(F142,$F$4:$F$200,0)&gt;=MATCH(MAX($F$4:$F$200),$F$4:$F$200,0),$M$4+($M$5-$M$4)*(1-EXP(-B142/$M$6)),0)</x:f>
      </x:c>
      <x:c r="I142" s="111">
        <x:f>IF(H142&gt;0,D142-H142,0)</x:f>
      </x:c>
      <x:c r="J142" s="111">
        <x:f>I142^2</x:f>
      </x:c>
      <x:c r="AB142" s="82">
        <x:f t="array" ref="AB142:AB142">MAX(IF($C$4:$C$200=MEDIAN($M$1-1,$M$1+1,C142),$D$4:$D$200,0))</x:f>
      </x:c>
      <x:c r="AC142" s="82">
        <x:f>ABS(D142-D143)</x:f>
      </x:c>
    </x:row>
    <x:row r="143" spans="1:29" x14ac:dyDescent="0.25">
      <x:c r="B143" s="82" t="n">
        <x:v>33.156</x:v>
      </x:c>
      <x:c r="C143" s="118" t="n">
        <x:v>100</x:v>
      </x:c>
      <x:c r="D143" s="118" t="n">
        <x:v>0.3285</x:v>
      </x:c>
      <x:c r="E143" s="118" t="n">
        <x:v>340.8</x:v>
      </x:c>
      <x:c r="F143" s="82">
        <x:f>IF(C143=MEDIAN($M$1-1,$M$1+1,C143),IF(D143&lt;=AVERAGE($AB$3,AVERAGEIF($B$4:$B$200,"&gt;20",$D$4:$D$200)),D143,0),0)</x:f>
      </x:c>
      <x:c r="H143" s="111">
        <x:f>IF(MATCH(F143,$F$4:$F$200,0)&gt;=MATCH(MAX($F$4:$F$200),$F$4:$F$200,0),$M$4+($M$5-$M$4)*(1-EXP(-B143/$M$6)),0)</x:f>
      </x:c>
      <x:c r="I143" s="111">
        <x:f>IF(H143&gt;0,D143-H143,0)</x:f>
      </x:c>
      <x:c r="J143" s="111">
        <x:f>I143^2</x:f>
      </x:c>
      <x:c r="AB143" s="82">
        <x:f t="array" ref="AB143:AB143">MAX(IF($C$4:$C$200=MEDIAN($M$1-1,$M$1+1,C143),$D$4:$D$200,0))</x:f>
      </x:c>
      <x:c r="AC143" s="82">
        <x:f>ABS(D143-D144)</x:f>
      </x:c>
    </x:row>
    <x:row r="144" spans="1:29" x14ac:dyDescent="0.25">
      <x:c r="B144" s="82" t="n">
        <x:v>33.38</x:v>
      </x:c>
      <x:c r="C144" s="118" t="n">
        <x:v>100</x:v>
      </x:c>
      <x:c r="D144" s="118" t="n">
        <x:v>0.3262</x:v>
      </x:c>
      <x:c r="E144" s="118" t="n">
        <x:v>340.8</x:v>
      </x:c>
      <x:c r="F144" s="82">
        <x:f>IF(C144=MEDIAN($M$1-1,$M$1+1,C144),IF(D144&lt;=AVERAGE($AB$3,AVERAGEIF($B$4:$B$200,"&gt;20",$D$4:$D$200)),D144,0),0)</x:f>
      </x:c>
      <x:c r="H144" s="111">
        <x:f>IF(MATCH(F144,$F$4:$F$200,0)&gt;=MATCH(MAX($F$4:$F$200),$F$4:$F$200,0),$M$4+($M$5-$M$4)*(1-EXP(-B144/$M$6)),0)</x:f>
      </x:c>
      <x:c r="I144" s="111">
        <x:f>IF(H144&gt;0,D144-H144,0)</x:f>
      </x:c>
      <x:c r="J144" s="111">
        <x:f>I144^2</x:f>
      </x:c>
      <x:c r="AB144" s="82">
        <x:f t="array" ref="AB144:AB144">MAX(IF($C$4:$C$200=MEDIAN($M$1-1,$M$1+1,C144),$D$4:$D$200,0))</x:f>
      </x:c>
      <x:c r="AC144" s="82">
        <x:f>ABS(D144-D145)</x:f>
      </x:c>
    </x:row>
    <x:row r="145" spans="1:29" x14ac:dyDescent="0.25">
      <x:c r="B145" s="82" t="n">
        <x:v>33.544</x:v>
      </x:c>
      <x:c r="C145" s="118" t="n">
        <x:v>100</x:v>
      </x:c>
      <x:c r="D145" s="118" t="n">
        <x:v>0.3262</x:v>
      </x:c>
      <x:c r="E145" s="118" t="n">
        <x:v>340.5</x:v>
      </x:c>
      <x:c r="F145" s="82">
        <x:f>IF(C145=MEDIAN($M$1-1,$M$1+1,C145),IF(D145&lt;=AVERAGE($AB$3,AVERAGEIF($B$4:$B$200,"&gt;20",$D$4:$D$200)),D145,0),0)</x:f>
      </x:c>
      <x:c r="H145" s="111">
        <x:f>IF(MATCH(F145,$F$4:$F$200,0)&gt;=MATCH(MAX($F$4:$F$200),$F$4:$F$200,0),$M$4+($M$5-$M$4)*(1-EXP(-B145/$M$6)),0)</x:f>
      </x:c>
      <x:c r="I145" s="111">
        <x:f>IF(H145&gt;0,D145-H145,0)</x:f>
      </x:c>
      <x:c r="J145" s="111">
        <x:f>I145^2</x:f>
      </x:c>
      <x:c r="AB145" s="82">
        <x:f t="array" ref="AB145:AB145">MAX(IF($C$4:$C$200=MEDIAN($M$1-1,$M$1+1,C145),$D$4:$D$200,0))</x:f>
      </x:c>
      <x:c r="AC145" s="82">
        <x:f>ABS(D145-D146)</x:f>
      </x:c>
    </x:row>
    <x:row r="146" spans="1:29" x14ac:dyDescent="0.25">
      <x:c r="B146" s="82" t="n">
        <x:v>33.848</x:v>
      </x:c>
      <x:c r="C146" s="118" t="n">
        <x:v>100</x:v>
      </x:c>
      <x:c r="D146" s="118" t="n">
        <x:v>0.3346</x:v>
      </x:c>
      <x:c r="E146" s="118" t="n">
        <x:v>340.5</x:v>
      </x:c>
      <x:c r="F146" s="82">
        <x:f>IF(C146=MEDIAN($M$1-1,$M$1+1,C146),IF(D146&lt;=AVERAGE($AB$3,AVERAGEIF($B$4:$B$200,"&gt;20",$D$4:$D$200)),D146,0),0)</x:f>
      </x:c>
      <x:c r="H146" s="111">
        <x:f>IF(MATCH(F146,$F$4:$F$200,0)&gt;=MATCH(MAX($F$4:$F$200),$F$4:$F$200,0),$M$4+($M$5-$M$4)*(1-EXP(-B146/$M$6)),0)</x:f>
      </x:c>
      <x:c r="I146" s="111">
        <x:f>IF(H146&gt;0,D146-H146,0)</x:f>
      </x:c>
      <x:c r="J146" s="111">
        <x:f>I146^2</x:f>
      </x:c>
      <x:c r="AB146" s="82">
        <x:f t="array" ref="AB146:AB146">MAX(IF($C$4:$C$200=MEDIAN($M$1-1,$M$1+1,C146),$D$4:$D$200,0))</x:f>
      </x:c>
      <x:c r="AC146" s="82">
        <x:f>ABS(D146-D147)</x:f>
      </x:c>
    </x:row>
    <x:row r="147" spans="1:29" customFormat="1" ht="15.75" customHeight="1" thickBot="1" x14ac:dyDescent="0.3">
      <x:c r="B147" s="82" t="n">
        <x:v>34.116</x:v>
      </x:c>
      <x:c r="C147" s="118" t="n">
        <x:v>100</x:v>
      </x:c>
      <x:c r="D147" s="118" t="n">
        <x:v>0.3374</x:v>
      </x:c>
      <x:c r="E147" s="118" t="n">
        <x:v>341.5</x:v>
      </x:c>
      <x:c r="F147" s="82">
        <x:f>IF(C147=MEDIAN($M$1-1,$M$1+1,C147),IF(D147&lt;=AVERAGE($AB$3,AVERAGEIF($B$4:$B$200,"&gt;20",$D$4:$D$200)),D147,0),0)</x:f>
      </x:c>
      <x:c r="H147" s="111">
        <x:f>IF(MATCH(F147,$F$4:$F$200,0)&gt;=MATCH(MAX($F$4:$F$200),$F$4:$F$200,0),$M$4+($M$5-$M$4)*(1-EXP(-B147/$M$6)),0)</x:f>
      </x:c>
      <x:c r="I147" s="111">
        <x:f>IF(H147&gt;0,D147-H147,0)</x:f>
      </x:c>
      <x:c r="J147" s="111">
        <x:f>I147^2</x:f>
      </x:c>
      <x:c r="AB147" s="106">
        <x:f t="array" ref="AB147:AB147">MAX(IF($C$4:$C$200=MEDIAN($M$1-1,$M$1+1,C147),$D$4:$D$200,0))</x:f>
      </x:c>
      <x:c r="AC147" s="106" t="s"/>
    </x:row>
    <x:row r="148" spans="1:29" x14ac:dyDescent="0.25">
      <x:c r="H148" s="111" t="s"/>
      <x:c r="I148" s="111" t="s"/>
      <x:c r="J148" s="111" t="s"/>
      <x:c r="AB148" s="82">
        <x:f t="array" ref="AB148:AB148">MAX(IF($C$4:$C$200=MEDIAN($M$1-1,$M$1+1,C148),$D$4:$D$200,0))</x:f>
      </x:c>
      <x:c r="AC148" s="82">
        <x:f>AVERAGE(AC4:AC146)</x:f>
      </x:c>
    </x:row>
    <x:row r="149" spans="1:29" x14ac:dyDescent="0.25">
      <x:c r="H149" s="111" t="s"/>
      <x:c r="I149" s="111" t="s"/>
      <x:c r="J149" s="111" t="s"/>
    </x:row>
    <x:row r="150" spans="1:29" x14ac:dyDescent="0.25">
      <x:c r="H150" s="111" t="s"/>
      <x:c r="I150" s="111" t="s"/>
      <x:c r="J150" s="111" t="s"/>
    </x:row>
    <x:row r="151" spans="1:29" x14ac:dyDescent="0.25">
      <x:c r="H151" s="111" t="s"/>
      <x:c r="I151" s="111" t="s"/>
      <x:c r="J151" s="111" t="s"/>
    </x:row>
    <x:row r="152" spans="1:29" x14ac:dyDescent="0.25">
      <x:c r="H152" s="111" t="s"/>
      <x:c r="I152" s="111" t="s"/>
      <x:c r="J152" s="111" t="s"/>
    </x:row>
    <x:row r="153" spans="1:29" x14ac:dyDescent="0.25">
      <x:c r="H153" s="111" t="s"/>
      <x:c r="I153" s="111" t="s"/>
      <x:c r="J153" s="111" t="s"/>
    </x:row>
    <x:row r="154" spans="1:29" x14ac:dyDescent="0.25">
      <x:c r="H154" s="111" t="s"/>
      <x:c r="I154" s="111" t="s"/>
      <x:c r="J154" s="111" t="s"/>
    </x:row>
    <x:row r="155" spans="1:29" x14ac:dyDescent="0.25">
      <x:c r="H155" s="111" t="s"/>
      <x:c r="I155" s="111" t="s"/>
      <x:c r="J155" s="111" t="s"/>
    </x:row>
    <x:row r="156" spans="1:29" x14ac:dyDescent="0.25">
      <x:c r="H156" s="111" t="s"/>
      <x:c r="I156" s="111" t="s"/>
      <x:c r="J156" s="111" t="s"/>
    </x:row>
    <x:row r="157" spans="1:29" x14ac:dyDescent="0.25">
      <x:c r="H157" s="111" t="s"/>
      <x:c r="I157" s="111" t="s"/>
      <x:c r="J157" s="111" t="s"/>
    </x:row>
    <x:row r="158" spans="1:29" x14ac:dyDescent="0.25">
      <x:c r="H158" s="111" t="s"/>
      <x:c r="I158" s="111" t="s"/>
      <x:c r="J158" s="111" t="s"/>
    </x:row>
    <x:row r="159" spans="1:29" x14ac:dyDescent="0.25">
      <x:c r="H159" s="111" t="s"/>
      <x:c r="I159" s="111" t="s"/>
      <x:c r="J159" s="111" t="s"/>
    </x:row>
    <x:row r="160" spans="1:29" x14ac:dyDescent="0.25">
      <x:c r="H160" s="111" t="s"/>
      <x:c r="I160" s="111" t="s"/>
      <x:c r="J160" s="111" t="s"/>
    </x:row>
    <x:row r="161" spans="1:29" x14ac:dyDescent="0.25">
      <x:c r="H161" s="111" t="s"/>
      <x:c r="I161" s="111" t="s"/>
      <x:c r="J161" s="111" t="s"/>
    </x:row>
    <x:row r="162" spans="1:29" x14ac:dyDescent="0.25">
      <x:c r="H162" s="111" t="s"/>
      <x:c r="I162" s="111" t="s"/>
      <x:c r="J162" s="111" t="s"/>
    </x:row>
    <x:row r="163" spans="1:29" x14ac:dyDescent="0.25">
      <x:c r="H163" s="111" t="s"/>
      <x:c r="I163" s="111" t="s"/>
      <x:c r="J163" s="111" t="s"/>
    </x:row>
    <x:row r="164" spans="1:29" x14ac:dyDescent="0.25">
      <x:c r="H164" s="111" t="s"/>
      <x:c r="I164" s="111" t="s"/>
      <x:c r="J164" s="111" t="s"/>
    </x:row>
    <x:row r="165" spans="1:29" x14ac:dyDescent="0.25">
      <x:c r="H165" s="111" t="s"/>
      <x:c r="I165" s="111" t="s"/>
      <x:c r="J165" s="111" t="s"/>
    </x:row>
    <x:row r="166" spans="1:29" x14ac:dyDescent="0.25">
      <x:c r="H166" s="111" t="s"/>
      <x:c r="I166" s="111" t="s"/>
      <x:c r="J166" s="111" t="s"/>
    </x:row>
    <x:row r="167" spans="1:29" x14ac:dyDescent="0.25">
      <x:c r="H167" s="111" t="s"/>
      <x:c r="I167" s="111" t="s"/>
      <x:c r="J167" s="111" t="s"/>
    </x:row>
    <x:row r="168" spans="1:29" x14ac:dyDescent="0.25">
      <x:c r="H168" s="111" t="s"/>
      <x:c r="I168" s="111" t="s"/>
      <x:c r="J168" s="111" t="s"/>
    </x:row>
    <x:row r="169" spans="1:29" x14ac:dyDescent="0.25">
      <x:c r="H169" s="111" t="s"/>
      <x:c r="I169" s="111" t="s"/>
      <x:c r="J169" s="111" t="s"/>
    </x:row>
    <x:row r="170" spans="1:29" x14ac:dyDescent="0.25">
      <x:c r="H170" s="111" t="s"/>
      <x:c r="I170" s="111" t="s"/>
      <x:c r="J170" s="111" t="s"/>
    </x:row>
    <x:row r="171" spans="1:29" x14ac:dyDescent="0.25">
      <x:c r="H171" s="111" t="s"/>
      <x:c r="I171" s="111" t="s"/>
      <x:c r="J171" s="111" t="s"/>
    </x:row>
    <x:row r="172" spans="1:29" x14ac:dyDescent="0.25">
      <x:c r="H172" s="111" t="s"/>
      <x:c r="I172" s="111" t="s"/>
      <x:c r="J172" s="111" t="s"/>
    </x:row>
    <x:row r="173" spans="1:29" x14ac:dyDescent="0.25">
      <x:c r="H173" s="111" t="s"/>
      <x:c r="I173" s="111" t="s"/>
      <x:c r="J173" s="111" t="s"/>
    </x:row>
    <x:row r="174" spans="1:29" x14ac:dyDescent="0.25">
      <x:c r="H174" s="111" t="s"/>
      <x:c r="I174" s="111" t="s"/>
      <x:c r="J174" s="111" t="s"/>
    </x:row>
    <x:row r="175" spans="1:29" x14ac:dyDescent="0.25">
      <x:c r="H175" s="111" t="s"/>
      <x:c r="I175" s="111" t="s"/>
      <x:c r="J175" s="111" t="s"/>
    </x:row>
    <x:row r="176" spans="1:29" x14ac:dyDescent="0.25">
      <x:c r="H176" s="111" t="s"/>
      <x:c r="I176" s="111" t="s"/>
      <x:c r="J176" s="111" t="s"/>
    </x:row>
    <x:row r="177" spans="1:29" x14ac:dyDescent="0.25">
      <x:c r="H177" s="111" t="s"/>
      <x:c r="I177" s="111" t="s"/>
      <x:c r="J177" s="111" t="s"/>
    </x:row>
    <x:row r="178" spans="1:29" x14ac:dyDescent="0.25">
      <x:c r="H178" s="111" t="s"/>
      <x:c r="I178" s="111" t="s"/>
      <x:c r="J178" s="111" t="s"/>
    </x:row>
    <x:row r="179" spans="1:29" x14ac:dyDescent="0.25">
      <x:c r="H179" s="111" t="s"/>
      <x:c r="I179" s="111" t="s"/>
      <x:c r="J179" s="111" t="s"/>
    </x:row>
    <x:row r="180" spans="1:29" x14ac:dyDescent="0.25">
      <x:c r="H180" s="111" t="s"/>
      <x:c r="I180" s="111" t="s"/>
      <x:c r="J180" s="111" t="s"/>
    </x:row>
    <x:row r="181" spans="1:29" x14ac:dyDescent="0.25">
      <x:c r="H181" s="111" t="s"/>
      <x:c r="I181" s="111" t="s"/>
      <x:c r="J181" s="111" t="s"/>
    </x:row>
    <x:row r="182" spans="1:29" x14ac:dyDescent="0.25">
      <x:c r="H182" s="111" t="s"/>
      <x:c r="I182" s="111" t="s"/>
      <x:c r="J182" s="111" t="s"/>
    </x:row>
    <x:row r="183" spans="1:29" x14ac:dyDescent="0.25">
      <x:c r="H183" s="111" t="s"/>
      <x:c r="I183" s="111" t="s"/>
      <x:c r="J183" s="111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3075" r:id="rId4" name="Button 3">
              <x:controlPr defaultSize="0" print="0" autoFill="0" autoPict="0" macro="[0]!Calculate">
                <x:anchor moveWithCells="1" sizeWithCells="1">
                  <x:from>
                    <xdr:col>11</xdr:col>
                    <xdr:colOff>95250</xdr:colOff>
                    <xdr:row>7</xdr:row>
                    <xdr:rowOff>104775</xdr:rowOff>
                  </x:from>
                  <x:to>
                    <xdr:col>12</xdr:col>
                    <xdr:colOff>590550</xdr:colOff>
                    <xdr:row>9</xdr:row>
                    <xdr:rowOff>133350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3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3">
    <x:outlinePr summaryBelow="1" summaryRight="1"/>
  </x:sheetPr>
  <x:dimension ref="A1:M422"/>
  <x:sheetViews>
    <x:sheetView workbookViewId="0">
      <x:selection activeCell="H19" sqref="H19 H19:H26"/>
    </x:sheetView>
  </x:sheetViews>
  <x:sheetFormatPr defaultColWidth="9.140625" defaultRowHeight="15" x14ac:dyDescent="0.25"/>
  <x:cols>
    <x:col min="1" max="4" width="9.140625" style="82" customWidth="1"/>
    <x:col min="5" max="5" width="9.5703125" style="82" bestFit="1" customWidth="1"/>
    <x:col min="6" max="6" width="9.140625" style="82" customWidth="1"/>
    <x:col min="7" max="7" width="12.140625" style="82" bestFit="1" customWidth="1"/>
    <x:col min="8" max="8" width="12" style="82" bestFit="1" customWidth="1"/>
    <x:col min="9" max="16384" width="9.140625" style="82" customWidth="1"/>
  </x:cols>
  <x:sheetData>
    <x:row r="1" spans="1:13" x14ac:dyDescent="0.25">
      <x:c r="B1" s="112" t="s">
        <x:v>69</x:v>
      </x:c>
      <x:c r="C1" s="82" t="s">
        <x:v>70</x:v>
      </x:c>
      <x:c r="D1" s="82" t="s">
        <x:v>71</x:v>
      </x:c>
      <x:c r="E1" s="82" t="s">
        <x:v>72</x:v>
      </x:c>
    </x:row>
    <x:row r="2" spans="1:13" x14ac:dyDescent="0.25">
      <x:c r="B2" s="113" t="s">
        <x:v>64</x:v>
      </x:c>
      <x:c r="D2" s="82" t="s">
        <x:v>64</x:v>
      </x:c>
      <x:c r="E2" s="82" t="s">
        <x:v>64</x:v>
      </x:c>
      <x:c r="K2" s="102" t="s">
        <x:v>73</x:v>
      </x:c>
      <x:c r="L2" s="82" t="s">
        <x:v>74</x:v>
      </x:c>
      <x:c r="M2" s="82" t="s">
        <x:v>75</x:v>
      </x:c>
    </x:row>
    <x:row r="3" spans="1:13" x14ac:dyDescent="0.25">
      <x:c r="A3" s="102" t="s"/>
      <x:c r="B3" s="117" t="n">
        <x:v>0.1726</x:v>
      </x:c>
      <x:c r="C3" s="102" t="n">
        <x:v>0.00030087</x:v>
      </x:c>
      <x:c r="D3" s="102" t="n">
        <x:v>569.9</x:v>
      </x:c>
      <x:c r="E3" s="102" t="n">
        <x:v>69.97</x:v>
      </x:c>
      <x:c r="K3" s="102">
        <x:f>$H$5*C3+$H$7</x:f>
      </x:c>
      <x:c r="L3" s="82">
        <x:f>$H$6*C3+$H$8</x:f>
      </x:c>
      <x:c r="M3" s="82">
        <x:f>IF(D3&lt;E3,1,0)</x:f>
      </x:c>
    </x:row>
    <x:row r="4" spans="1:13" x14ac:dyDescent="0.25">
      <x:c r="A4" s="102" t="s"/>
      <x:c r="B4" s="113" t="n">
        <x:v>0.9417</x:v>
      </x:c>
      <x:c r="C4" s="102" t="n">
        <x:v>0.0012731</x:v>
      </x:c>
      <x:c r="D4" s="102" t="n">
        <x:v>736.2</x:v>
      </x:c>
      <x:c r="E4" s="102" t="n">
        <x:v>78.99</x:v>
      </x:c>
      <x:c r="K4" s="102">
        <x:f>$H$5*C4+$H$7</x:f>
      </x:c>
      <x:c r="L4" s="82">
        <x:f>$H$6*C4+$H$8</x:f>
      </x:c>
      <x:c r="M4" s="82">
        <x:f>IF(D4&lt;E4,1,0)</x:f>
      </x:c>
    </x:row>
    <x:row r="5" spans="1:13" x14ac:dyDescent="0.25">
      <x:c r="A5" s="102" t="s"/>
      <x:c r="B5" s="118" t="n">
        <x:v>1.171</x:v>
      </x:c>
      <x:c r="C5" s="102" t="n">
        <x:v>0.0015873</x:v>
      </x:c>
      <x:c r="D5" s="102" t="n">
        <x:v>733.4</x:v>
      </x:c>
      <x:c r="E5" s="102" t="n">
        <x:v>84.57</x:v>
      </x:c>
      <x:c r="G5" s="82" t="s">
        <x:v>76</x:v>
      </x:c>
      <x:c r="H5" s="102">
        <x:f>SLOPE(B7:B11,C7:C11)</x:f>
      </x:c>
      <x:c r="K5" s="102">
        <x:f>$H$5*C5+$H$7</x:f>
      </x:c>
      <x:c r="L5" s="82">
        <x:f>$H$6*C5+$H$8</x:f>
      </x:c>
      <x:c r="M5" s="82">
        <x:f>IF(D5&lt;E5,1,0)</x:f>
      </x:c>
    </x:row>
    <x:row r="6" spans="1:13" x14ac:dyDescent="0.25">
      <x:c r="A6" s="102" t="s"/>
      <x:c r="B6" s="118" t="n">
        <x:v>1.477</x:v>
      </x:c>
      <x:c r="C6" s="102" t="n">
        <x:v>0.001989</x:v>
      </x:c>
      <x:c r="D6" s="102" t="n">
        <x:v>738.4</x:v>
      </x:c>
      <x:c r="E6" s="102" t="n">
        <x:v>87.53</x:v>
      </x:c>
      <x:c r="G6" s="82" t="s">
        <x:v>77</x:v>
      </x:c>
      <x:c r="H6" s="102">
        <x:f>SLOPE(B35:B37,C35:C37)</x:f>
      </x:c>
      <x:c r="K6" s="102">
        <x:f>$H$5*C6+$H$7</x:f>
      </x:c>
      <x:c r="L6" s="82">
        <x:f>$H$6*C6+$H$8</x:f>
      </x:c>
      <x:c r="M6" s="82">
        <x:f>IF(D6&lt;E6,1,0)</x:f>
      </x:c>
    </x:row>
    <x:row r="7" spans="1:13" x14ac:dyDescent="0.25">
      <x:c r="A7" s="102" t="s"/>
      <x:c r="B7" s="102" t="n">
        <x:v>1.857</x:v>
      </x:c>
      <x:c r="C7" s="102" t="n">
        <x:v>0.0025205</x:v>
      </x:c>
      <x:c r="D7" s="102" t="n">
        <x:v>731.9</x:v>
      </x:c>
      <x:c r="E7" s="102" t="n">
        <x:v>89.3</x:v>
      </x:c>
      <x:c r="G7" s="82" t="s">
        <x:v>78</x:v>
      </x:c>
      <x:c r="H7" s="102">
        <x:f>INTERCEPT(C7:C11,B7:B11)</x:f>
      </x:c>
      <x:c r="K7" s="102">
        <x:f>$H$5*C7+$H$7</x:f>
      </x:c>
      <x:c r="L7" s="82">
        <x:f>$H$6*C7+$H$8</x:f>
      </x:c>
      <x:c r="M7" s="82">
        <x:f>IF(D7&lt;E7,1,0)</x:f>
      </x:c>
    </x:row>
    <x:row r="8" spans="1:13" x14ac:dyDescent="0.25">
      <x:c r="A8" s="102" t="s"/>
      <x:c r="B8" s="102" t="n">
        <x:v>2.33</x:v>
      </x:c>
      <x:c r="C8" s="102" t="n">
        <x:v>0.0031429</x:v>
      </x:c>
      <x:c r="D8" s="102" t="n">
        <x:v>737</x:v>
      </x:c>
      <x:c r="E8" s="102" t="n">
        <x:v>87.74</x:v>
      </x:c>
      <x:c r="G8" s="82" t="s">
        <x:v>79</x:v>
      </x:c>
      <x:c r="H8" s="102">
        <x:f>INTERCEPT(B35:B37,C35:C37)</x:f>
      </x:c>
      <x:c r="K8" s="102">
        <x:f>$H$5*C8+$H$7</x:f>
      </x:c>
      <x:c r="L8" s="82">
        <x:f>$H$6*C8+$H$8</x:f>
      </x:c>
      <x:c r="M8" s="82">
        <x:f>IF(D8&lt;E8,1,0)</x:f>
      </x:c>
    </x:row>
    <x:row r="9" spans="1:13" x14ac:dyDescent="0.25">
      <x:c r="A9" s="102" t="s"/>
      <x:c r="B9" s="102" t="n">
        <x:v>2.95</x:v>
      </x:c>
      <x:c r="C9" s="102" t="n">
        <x:v>0.0040057</x:v>
      </x:c>
      <x:c r="D9" s="102" t="n">
        <x:v>731.5</x:v>
      </x:c>
      <x:c r="E9" s="102" t="n">
        <x:v>90.96</x:v>
      </x:c>
      <x:c r="G9" s="82" t="s">
        <x:v>80</x:v>
      </x:c>
      <x:c r="H9" s="102">
        <x:f>B7</x:f>
      </x:c>
      <x:c r="K9" s="102">
        <x:f>$H$5*C9+$H$7</x:f>
      </x:c>
      <x:c r="L9" s="82">
        <x:f>$H$6*C9+$H$8</x:f>
      </x:c>
      <x:c r="M9" s="82">
        <x:f>IF(D9&lt;E9,1,0)</x:f>
      </x:c>
    </x:row>
    <x:row r="10" spans="1:13" x14ac:dyDescent="0.25">
      <x:c r="A10" s="102" t="s"/>
      <x:c r="B10" s="102" t="n">
        <x:v>3.689</x:v>
      </x:c>
      <x:c r="C10" s="102" t="n">
        <x:v>0.0049975</x:v>
      </x:c>
      <x:c r="D10" s="102" t="n">
        <x:v>733.4</x:v>
      </x:c>
      <x:c r="E10" s="102" t="n">
        <x:v>89.92</x:v>
      </x:c>
      <x:c r="G10" s="82" t="s">
        <x:v>81</x:v>
      </x:c>
      <x:c r="H10" s="102">
        <x:f>B37</x:f>
      </x:c>
      <x:c r="K10" s="102">
        <x:f>$H$5*C10+$H$7</x:f>
      </x:c>
      <x:c r="L10" s="82">
        <x:f>$H$6*C10+$H$8</x:f>
      </x:c>
      <x:c r="M10" s="82">
        <x:f>IF(D10&lt;E10,1,0)</x:f>
      </x:c>
    </x:row>
    <x:row r="11" spans="1:13" x14ac:dyDescent="0.25">
      <x:c r="A11" s="102" t="s"/>
      <x:c r="B11" s="102" t="n">
        <x:v>4.656</x:v>
      </x:c>
      <x:c r="C11" s="102" t="n">
        <x:v>0.0063051</x:v>
      </x:c>
      <x:c r="D11" s="102" t="n">
        <x:v>733.2</x:v>
      </x:c>
      <x:c r="E11" s="102" t="n">
        <x:v>94.58</x:v>
      </x:c>
      <x:c r="G11" s="82" t="s">
        <x:v>82</x:v>
      </x:c>
      <x:c r="H11" s="102">
        <x:f>C7</x:f>
      </x:c>
      <x:c r="K11" s="102">
        <x:f>$H$5*C11+$H$7</x:f>
      </x:c>
      <x:c r="L11" s="82">
        <x:f>$H$6*C11+$H$8</x:f>
      </x:c>
      <x:c r="M11" s="82">
        <x:f>IF(D11&lt;E11,1,0)</x:f>
      </x:c>
    </x:row>
    <x:row r="12" spans="1:13" x14ac:dyDescent="0.25">
      <x:c r="A12" s="102" t="s"/>
      <x:c r="B12" s="102" t="n">
        <x:v>5.867</x:v>
      </x:c>
      <x:c r="C12" s="102" t="n">
        <x:v>0.0079633</x:v>
      </x:c>
      <x:c r="D12" s="102" t="n">
        <x:v>731.6</x:v>
      </x:c>
      <x:c r="E12" s="102" t="n">
        <x:v>93.06</x:v>
      </x:c>
      <x:c r="G12" s="82" t="s">
        <x:v>83</x:v>
      </x:c>
      <x:c r="H12" s="102">
        <x:f>C37</x:f>
      </x:c>
      <x:c r="K12" s="102">
        <x:f>$H$5*C12+$H$7</x:f>
      </x:c>
      <x:c r="L12" s="82">
        <x:f>$H$6*C12+$H$8</x:f>
      </x:c>
      <x:c r="M12" s="82">
        <x:f>IF(D12&lt;E12,1,0)</x:f>
      </x:c>
    </x:row>
    <x:row r="13" spans="1:13" x14ac:dyDescent="0.25">
      <x:c r="A13" s="102" t="s"/>
      <x:c r="B13" s="102" t="n">
        <x:v>7.37</x:v>
      </x:c>
      <x:c r="C13" s="102" t="n">
        <x:v>0.010014</x:v>
      </x:c>
      <x:c r="D13" s="102" t="n">
        <x:v>730.5</x:v>
      </x:c>
      <x:c r="E13" s="102" t="n">
        <x:v>95.9</x:v>
      </x:c>
      <x:c r="G13" s="82" t="s">
        <x:v>84</x:v>
      </x:c>
      <x:c r="H13" s="82">
        <x:f>(H7-H8)/(H6-H5)</x:f>
      </x:c>
      <x:c r="K13" s="102">
        <x:f>$H$5*C13+$H$7</x:f>
      </x:c>
      <x:c r="L13" s="82">
        <x:f>$H$6*C13+$H$8</x:f>
      </x:c>
      <x:c r="M13" s="82">
        <x:f>IF(D13&lt;E13,1,0)</x:f>
      </x:c>
    </x:row>
    <x:row r="14" spans="1:13" x14ac:dyDescent="0.25">
      <x:c r="A14" s="102" t="s"/>
      <x:c r="B14" s="102" t="n">
        <x:v>9.239</x:v>
      </x:c>
      <x:c r="C14" s="102" t="n">
        <x:v>0.012611</x:v>
      </x:c>
      <x:c r="D14" s="102" t="n">
        <x:v>726.9</x:v>
      </x:c>
      <x:c r="E14" s="102" t="n">
        <x:v>97.2</x:v>
      </x:c>
      <x:c r="K14" s="102">
        <x:f>$H$5*C14+$H$7</x:f>
      </x:c>
      <x:c r="L14" s="82">
        <x:f>$H$6*C14+$H$8</x:f>
      </x:c>
      <x:c r="M14" s="82">
        <x:f>IF(D14&lt;E14,1,0)</x:f>
      </x:c>
    </x:row>
    <x:row r="15" spans="1:13" x14ac:dyDescent="0.25">
      <x:c r="A15" s="102" t="s"/>
      <x:c r="B15" s="102" t="n">
        <x:v>11.58</x:v>
      </x:c>
      <x:c r="C15" s="102" t="n">
        <x:v>0.015896</x:v>
      </x:c>
      <x:c r="D15" s="102" t="n">
        <x:v>722.3</x:v>
      </x:c>
      <x:c r="E15" s="102" t="n">
        <x:v>98.64</x:v>
      </x:c>
      <x:c r="K15" s="102">
        <x:f>$H$5*C15+$H$7</x:f>
      </x:c>
      <x:c r="L15" s="82">
        <x:f>$H$6*C15+$H$8</x:f>
      </x:c>
      <x:c r="M15" s="82">
        <x:f>IF(D15&lt;E15,1,0)</x:f>
      </x:c>
    </x:row>
    <x:row r="16" spans="1:13" x14ac:dyDescent="0.25">
      <x:c r="A16" s="102" t="s"/>
      <x:c r="B16" s="102" t="n">
        <x:v>14.47</x:v>
      </x:c>
      <x:c r="C16" s="102" t="n">
        <x:v>0.020048</x:v>
      </x:c>
      <x:c r="D16" s="102" t="n">
        <x:v>714.9</x:v>
      </x:c>
      <x:c r="E16" s="102" t="n">
        <x:v>103.8</x:v>
      </x:c>
      <x:c r="G16" s="82" t="s">
        <x:v>85</x:v>
      </x:c>
      <x:c r="H16" s="82">
        <x:f>SLOPE((INDIRECT("B"&amp;MATCH(H13,C1:C40,1)-1):INDIRECT("B"&amp;MATCH(H13,C1:C40,1)+1)),(INDIRECT("C"&amp;MATCH(H13,C1:C40,1)-1):INDIRECT("C"&amp;MATCH(H13,C1:C40,1)+1)))</x:f>
      </x:c>
      <x:c r="K16" s="102">
        <x:f>$H$5*C16+$H$7</x:f>
      </x:c>
      <x:c r="L16" s="82">
        <x:f>$H$6*C16+$H$8</x:f>
      </x:c>
      <x:c r="M16" s="82">
        <x:f>IF(D16&lt;E16,1,0)</x:f>
      </x:c>
    </x:row>
    <x:row r="17" spans="1:13" x14ac:dyDescent="0.25">
      <x:c r="A17" s="102" t="s"/>
      <x:c r="B17" s="102" t="n">
        <x:v>17.97</x:v>
      </x:c>
      <x:c r="C17" s="102" t="n">
        <x:v>0.025312</x:v>
      </x:c>
      <x:c r="D17" s="102" t="n">
        <x:v>701.6</x:v>
      </x:c>
      <x:c r="E17" s="102" t="n">
        <x:v>112.2</x:v>
      </x:c>
      <x:c r="G17" s="82" t="s">
        <x:v>86</x:v>
      </x:c>
      <x:c r="H17" s="82">
        <x:f>INTERCEPT((INDIRECT("B"&amp;MATCH(H13,C1:C40,1)-1):INDIRECT("B"&amp;MATCH(H13,C1:C40,1)+1)),(INDIRECT("C"&amp;MATCH(H13,C1:C40,1)-1):INDIRECT("C"&amp;MATCH(H13,C1:C40,1)+1)))</x:f>
      </x:c>
      <x:c r="K17" s="102">
        <x:f>$H$5*C17+$H$7</x:f>
      </x:c>
      <x:c r="L17" s="82">
        <x:f>$H$6*C17+$H$8</x:f>
      </x:c>
      <x:c r="M17" s="82">
        <x:f>IF(D17&lt;E17,1,0)</x:f>
      </x:c>
    </x:row>
    <x:row r="18" spans="1:13" x14ac:dyDescent="0.25">
      <x:c r="A18" s="102" t="s"/>
      <x:c r="B18" s="102" t="n">
        <x:v>22.15</x:v>
      </x:c>
      <x:c r="C18" s="102" t="n">
        <x:v>0.031851</x:v>
      </x:c>
      <x:c r="D18" s="102" t="n">
        <x:v>684.3</x:v>
      </x:c>
      <x:c r="E18" s="102" t="n">
        <x:v>128.2</x:v>
      </x:c>
      <x:c r="K18" s="102">
        <x:f>$H$5*C18+$H$7</x:f>
      </x:c>
      <x:c r="L18" s="82">
        <x:f>$H$6*C18+$H$8</x:f>
      </x:c>
      <x:c r="M18" s="82">
        <x:f>IF(D18&lt;E18,1,0)</x:f>
      </x:c>
    </x:row>
    <x:row r="19" spans="1:13" x14ac:dyDescent="0.25">
      <x:c r="A19" s="102" t="s"/>
      <x:c r="B19" s="102" t="n">
        <x:v>27.34</x:v>
      </x:c>
      <x:c r="C19" s="102" t="n">
        <x:v>0.040568</x:v>
      </x:c>
      <x:c r="D19" s="102" t="n">
        <x:v>656.4</x:v>
      </x:c>
      <x:c r="E19" s="102" t="n">
        <x:v>156.2</x:v>
      </x:c>
      <x:c r="G19" s="124" t="s">
        <x:v>87</x:v>
      </x:c>
      <x:c r="H19" s="82">
        <x:f>((INDIRECT("B"&amp;MATCH(H20,C1:C40,1)+1))-INDIRECT("B"&amp;MATCH(H20,C1:C40,1)))/((INDIRECT("C"&amp;MATCH(H20,C1:C40,1)+1))-INDIRECT("C"&amp;MATCH(H20,C1:C40,1)))*(H20-INDIRECT("C"&amp;MATCH(H20,C1:C40,1)))+INDIRECT("B"&amp;MATCH(H20,C1:C40,1))</x:f>
      </x:c>
      <x:c r="K19" s="102">
        <x:f>$H$5*C19+$H$7</x:f>
      </x:c>
      <x:c r="L19" s="82">
        <x:f>$H$6*C19+$H$8</x:f>
      </x:c>
      <x:c r="M19" s="82">
        <x:f>IF(D19&lt;E19,1,0)</x:f>
      </x:c>
    </x:row>
    <x:row r="20" spans="1:13" x14ac:dyDescent="0.25">
      <x:c r="A20" s="102" t="s"/>
      <x:c r="B20" s="102" t="n">
        <x:v>33.01</x:v>
      </x:c>
      <x:c r="C20" s="102" t="n">
        <x:v>0.051195</x:v>
      </x:c>
      <x:c r="D20" s="102" t="n">
        <x:v>618</x:v>
      </x:c>
      <x:c r="E20" s="102" t="n">
        <x:v>185.8</x:v>
      </x:c>
      <x:c r="G20" s="124" t="s">
        <x:v>88</x:v>
      </x:c>
      <x:c r="H20" s="125">
        <x:f>(H7-H17)/(H16-H5)</x:f>
      </x:c>
      <x:c r="K20" s="102">
        <x:f>$H$5*C20+$H$7</x:f>
      </x:c>
      <x:c r="L20" s="82">
        <x:f>$H$6*C20+$H$8</x:f>
      </x:c>
      <x:c r="M20" s="82">
        <x:f>IF(D20&lt;E20,1,0)</x:f>
      </x:c>
    </x:row>
    <x:row r="21" spans="1:13" x14ac:dyDescent="0.25">
      <x:c r="A21" s="102" t="s"/>
      <x:c r="B21" s="102" t="n">
        <x:v>39.51</x:v>
      </x:c>
      <x:c r="C21" s="102" t="n">
        <x:v>0.06495</x:v>
      </x:c>
      <x:c r="D21" s="102" t="n">
        <x:v>570.1</x:v>
      </x:c>
      <x:c r="E21" s="102" t="n">
        <x:v>214</x:v>
      </x:c>
      <x:c r="G21" s="124" t="s">
        <x:v>89</x:v>
      </x:c>
      <x:c r="H21" s="82">
        <x:f>((INDIRECT("B"&amp;MATCH(H22,C1:C40,1)+1))-INDIRECT("B"&amp;MATCH(H22,C1:C40,1)))/((INDIRECT("C"&amp;MATCH(H22,C1:C40,1)+1))-INDIRECT("C"&amp;MATCH(H22,C1:C40,1)))*(H22-INDIRECT("C"&amp;MATCH(H22,C1:C40,1)))+INDIRECT("B"&amp;MATCH(H22,C1:C40,1))</x:f>
      </x:c>
      <x:c r="K21" s="102">
        <x:f>$H$5*C21+$H$7</x:f>
      </x:c>
      <x:c r="L21" s="82">
        <x:f>$H$6*C21+$H$8</x:f>
      </x:c>
      <x:c r="M21" s="82">
        <x:f>IF(D21&lt;E21,1,0)</x:f>
      </x:c>
    </x:row>
    <x:row r="22" spans="1:13" x14ac:dyDescent="0.25">
      <x:c r="A22" s="102" t="s"/>
      <x:c r="B22" s="102" t="n">
        <x:v>46.58</x:v>
      </x:c>
      <x:c r="C22" s="102" t="n">
        <x:v>0.082508</x:v>
      </x:c>
      <x:c r="D22" s="102" t="n">
        <x:v>514.3</x:v>
      </x:c>
      <x:c r="E22" s="102" t="n">
        <x:v>234.1</x:v>
      </x:c>
      <x:c r="G22" s="124" t="s">
        <x:v>90</x:v>
      </x:c>
      <x:c r="H22" s="125">
        <x:f>(H8-H17)/(H16-H6)</x:f>
      </x:c>
      <x:c r="K22" s="102">
        <x:f>$H$5*C22+$H$7</x:f>
      </x:c>
      <x:c r="L22" s="82">
        <x:f>$H$6*C22+$H$8</x:f>
      </x:c>
      <x:c r="M22" s="82">
        <x:f>IF(D22&lt;E22,1,0)</x:f>
      </x:c>
    </x:row>
    <x:row r="23" spans="1:13" x14ac:dyDescent="0.25">
      <x:c r="A23" s="102" t="s"/>
      <x:c r="B23" s="102" t="n">
        <x:v>53.75</x:v>
      </x:c>
      <x:c r="C23" s="102" t="n">
        <x:v>0.10442</x:v>
      </x:c>
      <x:c r="D23" s="102" t="n">
        <x:v>454.2</x:v>
      </x:c>
      <x:c r="E23" s="102" t="n">
        <x:v>243.4</x:v>
      </x:c>
      <x:c r="G23" s="124" t="s">
        <x:v>91</x:v>
      </x:c>
      <x:c r="H23" s="82">
        <x:f>((INDIRECT("D"&amp;MATCH(1,M4:M40,0))-INDIRECT("D"&amp;MATCH(1,M4:M40,0)-1))/(INDIRECT("C"&amp;MATCH(1,M4:M40,0))-INDIRECT("C"&amp;MATCH(1,M4:M40,0)-1)))*(H24-INDIRECT("C"&amp;MATCH(1,M4:M40,0)))+INDIRECT("D"&amp;MATCH(1,M4:M40,0))</x:f>
      </x:c>
      <x:c r="K23" s="102">
        <x:f>$H$5*C23+$H$7</x:f>
      </x:c>
      <x:c r="L23" s="82">
        <x:f>$H$6*C23+$H$8</x:f>
      </x:c>
      <x:c r="M23" s="82">
        <x:f>IF(D23&lt;E23,1,0)</x:f>
      </x:c>
    </x:row>
    <x:row r="24" spans="1:13" x14ac:dyDescent="0.25">
      <x:c r="A24" s="102" t="s"/>
      <x:c r="B24" s="102" t="n">
        <x:v>61.06</x:v>
      </x:c>
      <x:c r="C24" s="102" t="n">
        <x:v>0.13153</x:v>
      </x:c>
      <x:c r="D24" s="102" t="n">
        <x:v>395.8</x:v>
      </x:c>
      <x:c r="E24" s="102" t="n">
        <x:v>243.5</x:v>
      </x:c>
      <x:c r="G24" s="124" t="s">
        <x:v>92</x:v>
      </x:c>
      <x:c r="H24" s="82">
        <x:f>(INTERCEPT((INDIRECT("D"&amp;MATCH(1,M4:M40,0)-1):INDIRECT("D"&amp;MATCH(1,M4:M40,0))),(INDIRECT("C"&amp;MATCH(1,M4:M40,0)-1):INDIRECT("C"&amp;MATCH(1,M4:M40,0))))-INTERCEPT((INDIRECT("E"&amp;MATCH(1,M4:M40,0)-1):INDIRECT("E"&amp;MATCH(1,M4:M40,0))),(INDIRECT("C"&amp;MATCH(1,M4:M40,0)-1):INDIRECT("C"&amp;MATCH(1,M4:M40,0)))))/((INDIRECT("E"&amp;MATCH(1,M4:M40,0))-INDIRECT("E"&amp;MATCH(1,M4:M40,0)-1))/(INDIRECT("C"&amp;MATCH(1,M4:M40,0))-INDIRECT("C"&amp;MATCH(1,M4:M40,0)-1))-(INDIRECT("D"&amp;MATCH(1,M4:M40,0))-INDIRECT("D"&amp;MATCH(1,M4:M40,0)-1))/(INDIRECT("C"&amp;MATCH(1,M4:M40,0))-INDIRECT("C"&amp;MATCH(1,M4:M40,0)-1)))</x:f>
      </x:c>
      <x:c r="K24" s="102">
        <x:f>$H$5*C24+$H$7</x:f>
      </x:c>
      <x:c r="L24" s="82">
        <x:f>$H$6*C24+$H$8</x:f>
      </x:c>
      <x:c r="M24" s="82">
        <x:f>IF(D24&lt;E24,1,0)</x:f>
      </x:c>
    </x:row>
    <x:row r="25" spans="1:13" x14ac:dyDescent="0.25">
      <x:c r="A25" s="102" t="s"/>
      <x:c r="B25" s="102" t="n">
        <x:v>68.94</x:v>
      </x:c>
      <x:c r="C25" s="102" t="n">
        <x:v>0.16552</x:v>
      </x:c>
      <x:c r="D25" s="102" t="n">
        <x:v>342.6</x:v>
      </x:c>
      <x:c r="E25" s="102" t="n">
        <x:v>237.7</x:v>
      </x:c>
      <x:c r="G25" s="124" t="s">
        <x:v>93</x:v>
      </x:c>
      <x:c r="H25" s="102">
        <x:f>AVERAGE(D7:D11)</x:f>
      </x:c>
      <x:c r="K25" s="102">
        <x:f>$H$5*C25+$H$7</x:f>
      </x:c>
      <x:c r="L25" s="82">
        <x:f>$H$6*C25+$H$8</x:f>
      </x:c>
      <x:c r="M25" s="82">
        <x:f>IF(D25&lt;E25,1,0)</x:f>
      </x:c>
    </x:row>
    <x:row r="26" spans="1:13" x14ac:dyDescent="0.25">
      <x:c r="A26" s="102" t="s"/>
      <x:c r="B26" s="102" t="n">
        <x:v>77.52</x:v>
      </x:c>
      <x:c r="C26" s="102" t="n">
        <x:v>0.20767</x:v>
      </x:c>
      <x:c r="D26" s="102" t="n">
        <x:v>297.1</x:v>
      </x:c>
      <x:c r="E26" s="102" t="n">
        <x:v>226.7</x:v>
      </x:c>
      <x:c r="G26" s="124" t="s">
        <x:v>94</x:v>
      </x:c>
      <x:c r="H26" s="102">
        <x:f>AVERAGE(E7:E11)</x:f>
      </x:c>
      <x:c r="K26" s="102">
        <x:f>$H$5*C26+$H$7</x:f>
      </x:c>
      <x:c r="L26" s="82">
        <x:f>$H$6*C26+$H$8</x:f>
      </x:c>
      <x:c r="M26" s="82">
        <x:f>IF(D26&lt;E26,1,0)</x:f>
      </x:c>
    </x:row>
    <x:row r="27" spans="1:13" x14ac:dyDescent="0.25">
      <x:c r="A27" s="102" t="s"/>
      <x:c r="B27" s="102" t="n">
        <x:v>87.61</x:v>
      </x:c>
      <x:c r="C27" s="102" t="n">
        <x:v>0.26169</x:v>
      </x:c>
      <x:c r="D27" s="102" t="n">
        <x:v>258.8</x:v>
      </x:c>
      <x:c r="E27" s="102" t="n">
        <x:v>213</x:v>
      </x:c>
      <x:c r="K27" s="102">
        <x:f>$H$5*C27+$H$7</x:f>
      </x:c>
      <x:c r="L27" s="82">
        <x:f>$H$6*C27+$H$8</x:f>
      </x:c>
      <x:c r="M27" s="82">
        <x:f>IF(D27&lt;E27,1,0)</x:f>
      </x:c>
    </x:row>
    <x:row r="28" spans="1:13" x14ac:dyDescent="0.25">
      <x:c r="A28" s="102" t="s"/>
      <x:c r="B28" s="102" t="n">
        <x:v>98.58</x:v>
      </x:c>
      <x:c r="C28" s="102" t="n">
        <x:v>0.32678</x:v>
      </x:c>
      <x:c r="D28" s="102" t="n">
        <x:v>227.7</x:v>
      </x:c>
      <x:c r="E28" s="102" t="n">
        <x:v>198.5</x:v>
      </x:c>
      <x:c r="G28" s="102" t="s"/>
      <x:c r="K28" s="102">
        <x:f>$H$5*C28+$H$7</x:f>
      </x:c>
      <x:c r="L28" s="82">
        <x:f>$H$6*C28+$H$8</x:f>
      </x:c>
      <x:c r="M28" s="82">
        <x:f>IF(D28&lt;E28,1,0)</x:f>
      </x:c>
    </x:row>
    <x:row r="29" spans="1:13" x14ac:dyDescent="0.25">
      <x:c r="A29" s="102" t="s"/>
      <x:c r="B29" s="102" t="n">
        <x:v>111.4</x:v>
      </x:c>
      <x:c r="C29" s="102" t="n">
        <x:v>0.4139</x:v>
      </x:c>
      <x:c r="D29" s="102" t="n">
        <x:v>197.6</x:v>
      </x:c>
      <x:c r="E29" s="102" t="n">
        <x:v>183.4</x:v>
      </x:c>
      <x:c r="G29" s="102" t="s"/>
      <x:c r="K29" s="102">
        <x:f>$H$5*C29+$H$7</x:f>
      </x:c>
      <x:c r="L29" s="82">
        <x:f>$H$6*C29+$H$8</x:f>
      </x:c>
      <x:c r="M29" s="82">
        <x:f>IF(D29&lt;E29,1,0)</x:f>
      </x:c>
    </x:row>
    <x:row r="30" spans="1:13" x14ac:dyDescent="0.25">
      <x:c r="A30" s="102" t="s"/>
      <x:c r="B30" s="102" t="n">
        <x:v>123.9</x:v>
      </x:c>
      <x:c r="C30" s="102" t="n">
        <x:v>0.51868</x:v>
      </x:c>
      <x:c r="D30" s="102" t="n">
        <x:v>168.6</x:v>
      </x:c>
      <x:c r="E30" s="102" t="n">
        <x:v>169.7</x:v>
      </x:c>
      <x:c r="G30" s="102" t="s"/>
      <x:c r="K30" s="102">
        <x:f>$H$5*C30+$H$7</x:f>
      </x:c>
      <x:c r="L30" s="82">
        <x:f>$H$6*C30+$H$8</x:f>
      </x:c>
      <x:c r="M30" s="82">
        <x:f>IF(D30&lt;E30,1,0)</x:f>
      </x:c>
    </x:row>
    <x:row r="31" spans="1:13" x14ac:dyDescent="0.25">
      <x:c r="A31" s="102" t="s"/>
      <x:c r="B31" s="102" t="n">
        <x:v>136.3</x:v>
      </x:c>
      <x:c r="C31" s="102" t="n">
        <x:v>0.66381</x:v>
      </x:c>
      <x:c r="D31" s="102" t="n">
        <x:v>134.5</x:v>
      </x:c>
      <x:c r="E31" s="102" t="n">
        <x:v>155.5</x:v>
      </x:c>
      <x:c r="G31" s="102" t="s"/>
      <x:c r="K31" s="102">
        <x:f>$H$5*C31+$H$7</x:f>
      </x:c>
      <x:c r="L31" s="82">
        <x:f>$H$6*C31+$H$8</x:f>
      </x:c>
      <x:c r="M31" s="82">
        <x:f>IF(D31&lt;E31,1,0)</x:f>
      </x:c>
    </x:row>
    <x:row r="32" spans="1:13" x14ac:dyDescent="0.25">
      <x:c r="A32" s="102" t="s"/>
      <x:c r="B32" s="102" t="n">
        <x:v>146.1</x:v>
      </x:c>
      <x:c r="C32" s="102" t="n">
        <x:v>0.83838</x:v>
      </x:c>
      <x:c r="D32" s="102" t="n">
        <x:v>101.4</x:v>
      </x:c>
      <x:c r="E32" s="102" t="n">
        <x:v>142.1</x:v>
      </x:c>
      <x:c r="G32" s="102" t="s"/>
      <x:c r="K32" s="102">
        <x:f>$H$5*C32+$H$7</x:f>
      </x:c>
      <x:c r="L32" s="82">
        <x:f>$H$6*C32+$H$8</x:f>
      </x:c>
      <x:c r="M32" s="82">
        <x:f>IF(D32&lt;E32,1,0)</x:f>
      </x:c>
    </x:row>
    <x:row r="33" spans="1:13" x14ac:dyDescent="0.25">
      <x:c r="A33" s="102" t="s"/>
      <x:c r="B33" s="102" t="n">
        <x:v>155.3</x:v>
      </x:c>
      <x:c r="C33" s="102" t="n">
        <x:v>1.046</x:v>
      </x:c>
      <x:c r="D33" s="102" t="n">
        <x:v>75.68</x:v>
      </x:c>
      <x:c r="E33" s="102" t="n">
        <x:v>128</x:v>
      </x:c>
      <x:c r="G33" s="102" t="s"/>
      <x:c r="K33" s="102">
        <x:f>$H$5*C33+$H$7</x:f>
      </x:c>
      <x:c r="L33" s="82">
        <x:f>$H$6*C33+$H$8</x:f>
      </x:c>
      <x:c r="M33" s="82">
        <x:f>IF(D33&lt;E33,1,0)</x:f>
      </x:c>
    </x:row>
    <x:row r="34" spans="1:13" x14ac:dyDescent="0.25">
      <x:c r="A34" s="102" t="s"/>
      <x:c r="B34" s="102" t="n">
        <x:v>165.3</x:v>
      </x:c>
      <x:c r="C34" s="102" t="n">
        <x:v>1.3216</x:v>
      </x:c>
      <x:c r="D34" s="102" t="n">
        <x:v>54.17</x:v>
      </x:c>
      <x:c r="E34" s="102" t="n">
        <x:v>112.9</x:v>
      </x:c>
      <x:c r="G34" s="102" t="s"/>
      <x:c r="K34" s="102">
        <x:f>$H$5*C34+$H$7</x:f>
      </x:c>
      <x:c r="L34" s="82">
        <x:f>$H$6*C34+$H$8</x:f>
      </x:c>
      <x:c r="M34" s="82">
        <x:f>IF(D34&lt;E34,1,0)</x:f>
      </x:c>
    </x:row>
    <x:row r="35" spans="1:13" x14ac:dyDescent="0.25">
      <x:c r="A35" s="102" t="s"/>
      <x:c r="B35" s="102" t="n">
        <x:v>175.5</x:v>
      </x:c>
      <x:c r="C35" s="102" t="n">
        <x:v>1.6437</x:v>
      </x:c>
      <x:c r="D35" s="102" t="n">
        <x:v>39.7</x:v>
      </x:c>
      <x:c r="E35" s="102" t="n">
        <x:v>99.34</x:v>
      </x:c>
      <x:c r="G35" s="102" t="s"/>
      <x:c r="K35" s="102">
        <x:f>$H$5*C35+$H$7</x:f>
      </x:c>
      <x:c r="L35" s="82">
        <x:f>$H$6*C35+$H$8</x:f>
      </x:c>
      <x:c r="M35" s="82">
        <x:f>IF(D35&lt;E35,1,0)</x:f>
      </x:c>
    </x:row>
    <x:row r="36" spans="1:13" x14ac:dyDescent="0.25">
      <x:c r="A36" s="102" t="s"/>
      <x:c r="B36" s="102" t="n">
        <x:v>187.1</x:v>
      </x:c>
      <x:c r="C36" s="102" t="n">
        <x:v>2.054</x:v>
      </x:c>
      <x:c r="D36" s="102" t="n">
        <x:v>29.08</x:v>
      </x:c>
      <x:c r="E36" s="102" t="n">
        <x:v>86.49</x:v>
      </x:c>
      <x:c r="G36" s="102" t="s"/>
      <x:c r="K36" s="102">
        <x:f>$H$5*C36+$H$7</x:f>
      </x:c>
      <x:c r="L36" s="82">
        <x:f>$H$6*C36+$H$8</x:f>
      </x:c>
      <x:c r="M36" s="82">
        <x:f>IF(D36&lt;E36,1,0)</x:f>
      </x:c>
    </x:row>
    <x:row r="37" spans="1:13" x14ac:dyDescent="0.25">
      <x:c r="A37" s="102" t="s"/>
      <x:c r="B37" s="102" t="n">
        <x:v>199.4</x:v>
      </x:c>
      <x:c r="C37" s="102" t="n">
        <x:v>2.5881</x:v>
      </x:c>
      <x:c r="D37" s="102" t="n">
        <x:v>20.97</x:v>
      </x:c>
      <x:c r="E37" s="102" t="n">
        <x:v>74.27</x:v>
      </x:c>
      <x:c r="G37" s="102" t="s"/>
      <x:c r="K37" s="102">
        <x:f>$H$5*C37+$H$7</x:f>
      </x:c>
      <x:c r="L37" s="82">
        <x:f>$H$6*C37+$H$8</x:f>
      </x:c>
      <x:c r="M37" s="82">
        <x:f>IF(D37&lt;E37,1,0)</x:f>
      </x:c>
    </x:row>
    <x:row r="38" spans="1:13" x14ac:dyDescent="0.25">
      <x:c r="A38" s="102" t="s"/>
      <x:c r="B38" s="102" t="n">
        <x:v>212.7</x:v>
      </x:c>
      <x:c r="C38" s="102" t="n">
        <x:v>3.2327</x:v>
      </x:c>
      <x:c r="D38" s="102" t="n">
        <x:v>15.4</x:v>
      </x:c>
      <x:c r="E38" s="102" t="n">
        <x:v>64.06</x:v>
      </x:c>
      <x:c r="G38" s="102" t="s"/>
      <x:c r="K38" s="102">
        <x:f>$H$5*C38+$H$7</x:f>
      </x:c>
      <x:c r="L38" s="82">
        <x:f>$H$6*C38+$H$8</x:f>
      </x:c>
      <x:c r="M38" s="82">
        <x:f>IF(D38&lt;E38,1,0)</x:f>
      </x:c>
    </x:row>
    <x:row r="39" spans="1:13" x14ac:dyDescent="0.25">
      <x:c r="A39" s="102" t="s"/>
      <x:c r="B39" s="102" t="n">
        <x:v>227.5</x:v>
      </x:c>
      <x:c r="C39" s="102" t="n">
        <x:v>4.0496</x:v>
      </x:c>
      <x:c r="D39" s="102" t="n">
        <x:v>11.29</x:v>
      </x:c>
      <x:c r="E39" s="102" t="n">
        <x:v>55.13</x:v>
      </x:c>
      <x:c r="G39" s="102" t="s"/>
      <x:c r="K39" s="102">
        <x:f>$H$5*C39+$H$7</x:f>
      </x:c>
      <x:c r="L39" s="82">
        <x:f>$H$6*C39+$H$8</x:f>
      </x:c>
      <x:c r="M39" s="82">
        <x:f>IF(D39&lt;E39,1,0)</x:f>
      </x:c>
    </x:row>
    <x:row r="40" spans="1:13" x14ac:dyDescent="0.25">
      <x:c r="A40" s="102" t="s"/>
      <x:c r="B40" s="102" t="n">
        <x:v>242.8</x:v>
      </x:c>
      <x:c r="C40" s="102" t="n">
        <x:v>5.0957</x:v>
      </x:c>
      <x:c r="D40" s="102" t="n">
        <x:v>8.072</x:v>
      </x:c>
      <x:c r="E40" s="102" t="n">
        <x:v>47.04</x:v>
      </x:c>
      <x:c r="G40" s="102" t="s"/>
      <x:c r="K40" s="102">
        <x:f>$H$5*C40+$H$7</x:f>
      </x:c>
      <x:c r="L40" s="82">
        <x:f>$H$6*C40+$H$8</x:f>
      </x:c>
      <x:c r="M40" s="82">
        <x:f>IF(D40&lt;E40,1,0)</x:f>
      </x:c>
    </x:row>
    <x:row r="41" spans="1:13" x14ac:dyDescent="0.25">
      <x:c r="B41" s="82" t="n">
        <x:v>0.039</x:v>
      </x:c>
      <x:c r="C41" s="82" t="n">
        <x:v>0.9578</x:v>
      </x:c>
      <x:c r="D41" s="82" t="n">
        <x:v>0.7694</x:v>
      </x:c>
      <x:c r="E41" s="82" t="n">
        <x:v>15.59</x:v>
      </x:c>
      <x:c r="F41" s="82" t="s"/>
      <x:c r="G41" s="102" t="s"/>
    </x:row>
    <x:row r="42" spans="1:13" x14ac:dyDescent="0.25">
      <x:c r="B42" s="82" t="n">
        <x:v>0.04</x:v>
      </x:c>
      <x:c r="C42" s="82" t="n">
        <x:v>0.942</x:v>
      </x:c>
      <x:c r="D42" s="82" t="n">
        <x:v>0.7694</x:v>
      </x:c>
      <x:c r="E42" s="82" t="n">
        <x:v>16.08</x:v>
      </x:c>
      <x:c r="F42" s="82" t="s"/>
      <x:c r="G42" s="102" t="s"/>
    </x:row>
    <x:row r="43" spans="1:13" x14ac:dyDescent="0.25">
      <x:c r="B43" s="82" t="n">
        <x:v>0.0415</x:v>
      </x:c>
      <x:c r="C43" s="82" t="n">
        <x:v>0.9251</x:v>
      </x:c>
      <x:c r="D43" s="82" t="n">
        <x:v>0.7694</x:v>
      </x:c>
      <x:c r="E43" s="82" t="n">
        <x:v>17.1</x:v>
      </x:c>
      <x:c r="F43" s="82" t="s"/>
      <x:c r="G43" s="102" t="s"/>
    </x:row>
    <x:row r="44" spans="1:13" x14ac:dyDescent="0.25">
      <x:c r="B44" s="82" t="n">
        <x:v>0.0435</x:v>
      </x:c>
      <x:c r="C44" s="82" t="n">
        <x:v>0.9339</x:v>
      </x:c>
      <x:c r="D44" s="82" t="n">
        <x:v>0.7694</x:v>
      </x:c>
      <x:c r="E44" s="82" t="n">
        <x:v>18.21</x:v>
      </x:c>
      <x:c r="F44" s="82" t="s"/>
      <x:c r="G44" s="102" t="s"/>
    </x:row>
    <x:row r="45" spans="1:13" x14ac:dyDescent="0.25">
      <x:c r="B45" s="82" t="n">
        <x:v>0.0455</x:v>
      </x:c>
      <x:c r="C45" s="82" t="n">
        <x:v>0.9641</x:v>
      </x:c>
      <x:c r="D45" s="82" t="n">
        <x:v>0.7694</x:v>
      </x:c>
      <x:c r="E45" s="82" t="n">
        <x:v>18.35</x:v>
      </x:c>
      <x:c r="F45" s="82" t="s"/>
      <x:c r="G45" s="102" t="s"/>
    </x:row>
    <x:row r="46" spans="1:13" x14ac:dyDescent="0.25">
      <x:c r="B46" s="82" t="n">
        <x:v>0.0475</x:v>
      </x:c>
      <x:c r="C46" s="82" t="n">
        <x:v>0.9663</x:v>
      </x:c>
      <x:c r="D46" s="82" t="n">
        <x:v>0.7694</x:v>
      </x:c>
      <x:c r="E46" s="82" t="n">
        <x:v>18.49</x:v>
      </x:c>
      <x:c r="F46" s="82" t="s"/>
      <x:c r="G46" s="102" t="s"/>
    </x:row>
    <x:row r="47" spans="1:13" x14ac:dyDescent="0.25">
      <x:c r="B47" s="82" t="n">
        <x:v>0.0495</x:v>
      </x:c>
      <x:c r="C47" s="82" t="n">
        <x:v>0.9406</x:v>
      </x:c>
      <x:c r="D47" s="82" t="n">
        <x:v>0.7694</x:v>
      </x:c>
      <x:c r="E47" s="82" t="n">
        <x:v>19.3</x:v>
      </x:c>
      <x:c r="F47" s="82" t="s"/>
      <x:c r="G47" s="102" t="s"/>
    </x:row>
    <x:row r="48" spans="1:13" x14ac:dyDescent="0.25">
      <x:c r="B48" s="82" t="n">
        <x:v>0.0515</x:v>
      </x:c>
      <x:c r="C48" s="82" t="n">
        <x:v>0.9252</x:v>
      </x:c>
      <x:c r="D48" s="82" t="n">
        <x:v>0.7694</x:v>
      </x:c>
      <x:c r="E48" s="82" t="n">
        <x:v>20.64</x:v>
      </x:c>
      <x:c r="F48" s="82" t="s"/>
      <x:c r="G48" s="102" t="s"/>
    </x:row>
    <x:row r="49" spans="1:13" x14ac:dyDescent="0.25">
      <x:c r="B49" s="82" t="n">
        <x:v>0.0535</x:v>
      </x:c>
      <x:c r="C49" s="82" t="n">
        <x:v>0.9402</x:v>
      </x:c>
      <x:c r="D49" s="82" t="n">
        <x:v>0.7694</x:v>
      </x:c>
      <x:c r="E49" s="82" t="n">
        <x:v>21.42</x:v>
      </x:c>
      <x:c r="F49" s="82" t="s"/>
      <x:c r="G49" s="102" t="s"/>
    </x:row>
    <x:row r="50" spans="1:13" x14ac:dyDescent="0.25">
      <x:c r="B50" s="82" t="n">
        <x:v>0.0555</x:v>
      </x:c>
      <x:c r="C50" s="82" t="n">
        <x:v>0.9659</x:v>
      </x:c>
      <x:c r="D50" s="82" t="n">
        <x:v>0.7694</x:v>
      </x:c>
      <x:c r="E50" s="82" t="n">
        <x:v>21.58</x:v>
      </x:c>
      <x:c r="F50" s="82" t="s"/>
      <x:c r="G50" s="102" t="s"/>
    </x:row>
    <x:row r="51" spans="1:13" x14ac:dyDescent="0.25">
      <x:c r="B51" s="82" t="n">
        <x:v>0.0575</x:v>
      </x:c>
      <x:c r="C51" s="82" t="n">
        <x:v>0.9674</x:v>
      </x:c>
      <x:c r="D51" s="82" t="n">
        <x:v>0.7694</x:v>
      </x:c>
      <x:c r="E51" s="82" t="n">
        <x:v>21.77</x:v>
      </x:c>
      <x:c r="F51" s="82" t="s"/>
      <x:c r="G51" s="102" t="s"/>
    </x:row>
    <x:row r="52" spans="1:13" x14ac:dyDescent="0.25">
      <x:c r="B52" s="82" t="n">
        <x:v>0.0595</x:v>
      </x:c>
      <x:c r="C52" s="82" t="n">
        <x:v>0.9522</x:v>
      </x:c>
      <x:c r="D52" s="82" t="n">
        <x:v>0.7694</x:v>
      </x:c>
      <x:c r="E52" s="82" t="n">
        <x:v>22.42</x:v>
      </x:c>
      <x:c r="F52" s="82" t="s"/>
      <x:c r="G52" s="102" t="s"/>
    </x:row>
    <x:row r="53" spans="1:13" x14ac:dyDescent="0.25">
      <x:c r="B53" s="82" t="n">
        <x:v>0.0615</x:v>
      </x:c>
      <x:c r="C53" s="82" t="n">
        <x:v>0.9353</x:v>
      </x:c>
      <x:c r="D53" s="82" t="n">
        <x:v>0.7694</x:v>
      </x:c>
      <x:c r="E53" s="82" t="n">
        <x:v>23.46</x:v>
      </x:c>
      <x:c r="F53" s="82" t="s"/>
      <x:c r="G53" s="102" t="s"/>
    </x:row>
    <x:row r="54" spans="1:13" x14ac:dyDescent="0.25">
      <x:c r="B54" s="82" t="n">
        <x:v>0.0635</x:v>
      </x:c>
      <x:c r="C54" s="82" t="n">
        <x:v>0.9331</x:v>
      </x:c>
      <x:c r="D54" s="82" t="n">
        <x:v>0.7694</x:v>
      </x:c>
      <x:c r="E54" s="82" t="n">
        <x:v>24.42</x:v>
      </x:c>
      <x:c r="F54" s="82" t="s"/>
      <x:c r="G54" s="102" t="s"/>
    </x:row>
    <x:row r="55" spans="1:13" x14ac:dyDescent="0.25">
      <x:c r="B55" s="82" t="n">
        <x:v>0.0655</x:v>
      </x:c>
      <x:c r="C55" s="82" t="n">
        <x:v>0.9519</x:v>
      </x:c>
      <x:c r="D55" s="82" t="n">
        <x:v>0.7694</x:v>
      </x:c>
      <x:c r="E55" s="82" t="n">
        <x:v>25.02</x:v>
      </x:c>
      <x:c r="F55" s="82" t="s"/>
      <x:c r="G55" s="102" t="s"/>
    </x:row>
    <x:row r="56" spans="1:13" x14ac:dyDescent="0.25">
      <x:c r="B56" s="82" t="n">
        <x:v>0.0675</x:v>
      </x:c>
      <x:c r="C56" s="82" t="n">
        <x:v>0.9628</x:v>
      </x:c>
      <x:c r="D56" s="82" t="n">
        <x:v>0.7694</x:v>
      </x:c>
      <x:c r="E56" s="82" t="n">
        <x:v>25.22</x:v>
      </x:c>
      <x:c r="F56" s="82" t="s"/>
      <x:c r="G56" s="102" t="s"/>
    </x:row>
    <x:row r="57" spans="1:13" x14ac:dyDescent="0.25">
      <x:c r="B57" s="82" t="n">
        <x:v>0.0695</x:v>
      </x:c>
      <x:c r="C57" s="82" t="n">
        <x:v>0.9609</x:v>
      </x:c>
      <x:c r="D57" s="82" t="n">
        <x:v>0.7694</x:v>
      </x:c>
      <x:c r="E57" s="82" t="n">
        <x:v>25.62</x:v>
      </x:c>
      <x:c r="F57" s="82" t="s"/>
      <x:c r="G57" s="102" t="s"/>
    </x:row>
    <x:row r="58" spans="1:13" x14ac:dyDescent="0.25">
      <x:c r="B58" s="82" t="n">
        <x:v>0.0715</x:v>
      </x:c>
      <x:c r="C58" s="82" t="n">
        <x:v>0.942</x:v>
      </x:c>
      <x:c r="D58" s="82" t="n">
        <x:v>0.7787</x:v>
      </x:c>
      <x:c r="E58" s="82" t="n">
        <x:v>26.47</x:v>
      </x:c>
      <x:c r="F58" s="82" t="s"/>
      <x:c r="G58" s="102" t="s"/>
    </x:row>
    <x:row r="59" spans="1:13" x14ac:dyDescent="0.25">
      <x:c r="B59" s="82" t="n">
        <x:v>0.0735</x:v>
      </x:c>
      <x:c r="C59" s="82" t="n">
        <x:v>0.9397</x:v>
      </x:c>
      <x:c r="D59" s="82" t="n">
        <x:v>0.7787</x:v>
      </x:c>
      <x:c r="E59" s="82" t="n">
        <x:v>27.44</x:v>
      </x:c>
      <x:c r="F59" s="82" t="s"/>
      <x:c r="G59" s="102" t="s"/>
    </x:row>
    <x:row r="60" spans="1:13" x14ac:dyDescent="0.25">
      <x:c r="B60" s="82" t="n">
        <x:v>0.0755</x:v>
      </x:c>
      <x:c r="C60" s="82" t="n">
        <x:v>0.9715</x:v>
      </x:c>
      <x:c r="D60" s="82" t="n">
        <x:v>0.7787</x:v>
      </x:c>
      <x:c r="E60" s="82" t="n">
        <x:v>27.8</x:v>
      </x:c>
      <x:c r="F60" s="82" t="s"/>
      <x:c r="G60" s="102" t="s"/>
    </x:row>
    <x:row r="61" spans="1:13" x14ac:dyDescent="0.25">
      <x:c r="B61" s="82" t="n">
        <x:v>0.0775</x:v>
      </x:c>
      <x:c r="C61" s="82" t="n">
        <x:v>0.9745</x:v>
      </x:c>
      <x:c r="D61" s="82" t="n">
        <x:v>0.7787</x:v>
      </x:c>
      <x:c r="E61" s="82" t="n">
        <x:v>27.57</x:v>
      </x:c>
      <x:c r="F61" s="82" t="s"/>
      <x:c r="G61" s="102" t="s"/>
    </x:row>
    <x:row r="62" spans="1:13" x14ac:dyDescent="0.25">
      <x:c r="B62" s="82" t="n">
        <x:v>0.0795</x:v>
      </x:c>
      <x:c r="C62" s="82" t="n">
        <x:v>0.959</x:v>
      </x:c>
      <x:c r="D62" s="82" t="n">
        <x:v>0.7787</x:v>
      </x:c>
      <x:c r="E62" s="82" t="n">
        <x:v>28.24</x:v>
      </x:c>
      <x:c r="F62" s="82" t="s"/>
      <x:c r="G62" s="102" t="s"/>
    </x:row>
    <x:row r="63" spans="1:13" x14ac:dyDescent="0.25">
      <x:c r="B63" s="82" t="n">
        <x:v>0.0815</x:v>
      </x:c>
      <x:c r="C63" s="82" t="n">
        <x:v>0.9328</x:v>
      </x:c>
      <x:c r="D63" s="82" t="n">
        <x:v>0.7787</x:v>
      </x:c>
      <x:c r="E63" s="82" t="n">
        <x:v>29.3</x:v>
      </x:c>
      <x:c r="F63" s="82" t="s"/>
      <x:c r="G63" s="102" t="s"/>
    </x:row>
    <x:row r="64" spans="1:13" x14ac:dyDescent="0.25">
      <x:c r="B64" s="82" t="n">
        <x:v>0.0835</x:v>
      </x:c>
      <x:c r="C64" s="82" t="n">
        <x:v>0.9377</x:v>
      </x:c>
      <x:c r="D64" s="82" t="n">
        <x:v>0.7787</x:v>
      </x:c>
      <x:c r="E64" s="82" t="n">
        <x:v>30.35</x:v>
      </x:c>
      <x:c r="F64" s="82" t="s"/>
      <x:c r="G64" s="102" t="s"/>
    </x:row>
    <x:row r="65" spans="1:13" x14ac:dyDescent="0.25">
      <x:c r="B65" s="82" t="n">
        <x:v>0.0855</x:v>
      </x:c>
      <x:c r="C65" s="82" t="n">
        <x:v>0.9677</x:v>
      </x:c>
      <x:c r="D65" s="82" t="n">
        <x:v>0.7787</x:v>
      </x:c>
      <x:c r="E65" s="82" t="n">
        <x:v>30.64</x:v>
      </x:c>
      <x:c r="F65" s="82" t="s"/>
    </x:row>
    <x:row r="66" spans="1:13" x14ac:dyDescent="0.25">
      <x:c r="B66" s="82" t="n">
        <x:v>0.0875</x:v>
      </x:c>
      <x:c r="C66" s="82" t="n">
        <x:v>0.9916</x:v>
      </x:c>
      <x:c r="D66" s="82" t="n">
        <x:v>0.7787</x:v>
      </x:c>
      <x:c r="E66" s="82" t="n">
        <x:v>30.3</x:v>
      </x:c>
      <x:c r="F66" s="82" t="s"/>
    </x:row>
    <x:row r="67" spans="1:13" x14ac:dyDescent="0.25">
      <x:c r="B67" s="82" t="n">
        <x:v>0.0895</x:v>
      </x:c>
      <x:c r="C67" s="82" t="n">
        <x:v>0.975</x:v>
      </x:c>
      <x:c r="D67" s="82" t="n">
        <x:v>0.7787</x:v>
      </x:c>
      <x:c r="E67" s="82" t="n">
        <x:v>30.48</x:v>
      </x:c>
      <x:c r="F67" s="82" t="s"/>
    </x:row>
    <x:row r="68" spans="1:13" x14ac:dyDescent="0.25">
      <x:c r="B68" s="82" t="n">
        <x:v>0.0915</x:v>
      </x:c>
      <x:c r="C68" s="82" t="n">
        <x:v>0.9481</x:v>
      </x:c>
      <x:c r="D68" s="82" t="n">
        <x:v>0.7787</x:v>
      </x:c>
      <x:c r="E68" s="82" t="n">
        <x:v>31.4</x:v>
      </x:c>
      <x:c r="F68" s="82" t="s"/>
    </x:row>
    <x:row r="69" spans="1:13" x14ac:dyDescent="0.25">
      <x:c r="B69" s="82" t="n">
        <x:v>0.0935</x:v>
      </x:c>
      <x:c r="C69" s="82" t="n">
        <x:v>0.947</x:v>
      </x:c>
      <x:c r="D69" s="82" t="n">
        <x:v>0.7787</x:v>
      </x:c>
      <x:c r="E69" s="82" t="n">
        <x:v>32.38</x:v>
      </x:c>
      <x:c r="F69" s="82" t="s"/>
    </x:row>
    <x:row r="70" spans="1:13" x14ac:dyDescent="0.25">
      <x:c r="B70" s="82" t="n">
        <x:v>0.0955</x:v>
      </x:c>
      <x:c r="C70" s="82" t="n">
        <x:v>0.9674</x:v>
      </x:c>
      <x:c r="D70" s="82" t="n">
        <x:v>0.7787</x:v>
      </x:c>
      <x:c r="E70" s="82" t="n">
        <x:v>32.65</x:v>
      </x:c>
      <x:c r="F70" s="82" t="s"/>
    </x:row>
    <x:row r="71" spans="1:13" x14ac:dyDescent="0.25">
      <x:c r="B71" s="82" t="n">
        <x:v>0.0975</x:v>
      </x:c>
      <x:c r="C71" s="82" t="n">
        <x:v>0.9718</x:v>
      </x:c>
      <x:c r="D71" s="82" t="n">
        <x:v>0.7787</x:v>
      </x:c>
      <x:c r="E71" s="82" t="n">
        <x:v>32.73</x:v>
      </x:c>
      <x:c r="F71" s="82" t="s"/>
    </x:row>
    <x:row r="72" spans="1:13" x14ac:dyDescent="0.25">
      <x:c r="B72" s="82" t="n">
        <x:v>0.0995</x:v>
      </x:c>
      <x:c r="C72" s="82" t="n">
        <x:v>0.9614</x:v>
      </x:c>
      <x:c r="D72" s="82" t="n">
        <x:v>0.7787</x:v>
      </x:c>
      <x:c r="E72" s="82" t="n">
        <x:v>33.31</x:v>
      </x:c>
      <x:c r="F72" s="82" t="s"/>
    </x:row>
    <x:row r="73" spans="1:13" x14ac:dyDescent="0.25">
      <x:c r="B73" s="82" t="n">
        <x:v>0.1015</x:v>
      </x:c>
      <x:c r="C73" s="82" t="n">
        <x:v>0.9511</x:v>
      </x:c>
      <x:c r="D73" s="82" t="n">
        <x:v>0.7787</x:v>
      </x:c>
      <x:c r="E73" s="82" t="n">
        <x:v>33.99</x:v>
      </x:c>
      <x:c r="F73" s="82" t="s"/>
    </x:row>
    <x:row r="74" spans="1:13" x14ac:dyDescent="0.25">
      <x:c r="B74" s="82" t="n">
        <x:v>0.1035</x:v>
      </x:c>
      <x:c r="C74" s="82" t="n">
        <x:v>0.95</x:v>
      </x:c>
      <x:c r="D74" s="82" t="n">
        <x:v>0.7787</x:v>
      </x:c>
      <x:c r="E74" s="82" t="n">
        <x:v>34.76</x:v>
      </x:c>
      <x:c r="F74" s="82" t="s"/>
    </x:row>
    <x:row r="75" spans="1:13" x14ac:dyDescent="0.25">
      <x:c r="B75" s="82" t="n">
        <x:v>0.1055</x:v>
      </x:c>
      <x:c r="C75" s="82" t="n">
        <x:v>0.9557</x:v>
      </x:c>
      <x:c r="D75" s="82" t="n">
        <x:v>0.7787</x:v>
      </x:c>
      <x:c r="E75" s="82" t="n">
        <x:v>35.28</x:v>
      </x:c>
      <x:c r="F75" s="82" t="s"/>
    </x:row>
    <x:row r="76" spans="1:13" x14ac:dyDescent="0.25">
      <x:c r="B76" s="82" t="n">
        <x:v>0.1075</x:v>
      </x:c>
      <x:c r="C76" s="82" t="n">
        <x:v>0.9755</x:v>
      </x:c>
      <x:c r="D76" s="82" t="n">
        <x:v>0.7787</x:v>
      </x:c>
      <x:c r="E76" s="82" t="n">
        <x:v>35.52</x:v>
      </x:c>
      <x:c r="F76" s="82" t="s"/>
    </x:row>
    <x:row r="77" spans="1:13" x14ac:dyDescent="0.25">
      <x:c r="B77" s="82" t="n">
        <x:v>0.1095</x:v>
      </x:c>
      <x:c r="C77" s="82" t="n">
        <x:v>0.9826</x:v>
      </x:c>
      <x:c r="D77" s="82" t="n">
        <x:v>0.7787</x:v>
      </x:c>
      <x:c r="E77" s="82" t="n">
        <x:v>35.44</x:v>
      </x:c>
      <x:c r="F77" s="82" t="s"/>
    </x:row>
    <x:row r="78" spans="1:13" x14ac:dyDescent="0.25">
      <x:c r="B78" s="82" t="n">
        <x:v>0.1115</x:v>
      </x:c>
      <x:c r="C78" s="82" t="n">
        <x:v>0.9603</x:v>
      </x:c>
      <x:c r="D78" s="82" t="n">
        <x:v>0.7787</x:v>
      </x:c>
      <x:c r="E78" s="82" t="n">
        <x:v>35.99</x:v>
      </x:c>
      <x:c r="F78" s="82" t="s"/>
    </x:row>
    <x:row r="79" spans="1:13" x14ac:dyDescent="0.25">
      <x:c r="B79" s="82" t="n">
        <x:v>0.1135</x:v>
      </x:c>
      <x:c r="C79" s="82" t="n">
        <x:v>0.9455</x:v>
      </x:c>
      <x:c r="D79" s="82" t="n">
        <x:v>0.7787</x:v>
      </x:c>
      <x:c r="E79" s="82" t="n">
        <x:v>36.99</x:v>
      </x:c>
      <x:c r="F79" s="82" t="s"/>
    </x:row>
    <x:row r="80" spans="1:13" x14ac:dyDescent="0.25">
      <x:c r="B80" s="82" t="n">
        <x:v>0.1155</x:v>
      </x:c>
      <x:c r="C80" s="82" t="n">
        <x:v>0.9659</x:v>
      </x:c>
      <x:c r="D80" s="82" t="n">
        <x:v>0.7787</x:v>
      </x:c>
      <x:c r="E80" s="82" t="n">
        <x:v>37.5</x:v>
      </x:c>
      <x:c r="F80" s="82" t="s"/>
    </x:row>
    <x:row r="81" spans="1:13" x14ac:dyDescent="0.25">
      <x:c r="B81" s="82" t="n">
        <x:v>0.1175</x:v>
      </x:c>
      <x:c r="C81" s="82" t="n">
        <x:v>0.9895</x:v>
      </x:c>
      <x:c r="D81" s="82" t="n">
        <x:v>0.7787</x:v>
      </x:c>
      <x:c r="E81" s="82" t="n">
        <x:v>37.29</x:v>
      </x:c>
      <x:c r="F81" s="82" t="s"/>
    </x:row>
    <x:row r="82" spans="1:13" x14ac:dyDescent="0.25">
      <x:c r="B82" s="82" t="n">
        <x:v>0.1195</x:v>
      </x:c>
      <x:c r="C82" s="82" t="n">
        <x:v>0.9848</x:v>
      </x:c>
      <x:c r="D82" s="82" t="n">
        <x:v>0.7787</x:v>
      </x:c>
      <x:c r="E82" s="82" t="n">
        <x:v>37.26</x:v>
      </x:c>
      <x:c r="F82" s="82" t="s"/>
    </x:row>
    <x:row r="83" spans="1:13" x14ac:dyDescent="0.25">
      <x:c r="B83" s="82" t="n">
        <x:v>0.1225</x:v>
      </x:c>
      <x:c r="C83" s="82" t="n">
        <x:v>0.9531</x:v>
      </x:c>
      <x:c r="D83" s="82" t="n">
        <x:v>0.7787</x:v>
      </x:c>
      <x:c r="E83" s="82" t="n">
        <x:v>38.46</x:v>
      </x:c>
      <x:c r="F83" s="82" t="s"/>
    </x:row>
    <x:row r="84" spans="1:13" x14ac:dyDescent="0.25">
      <x:c r="B84" s="82" t="n">
        <x:v>0.1265</x:v>
      </x:c>
      <x:c r="C84" s="82" t="n">
        <x:v>0.9834</x:v>
      </x:c>
      <x:c r="D84" s="82" t="n">
        <x:v>0.7787</x:v>
      </x:c>
      <x:c r="E84" s="82" t="n">
        <x:v>39.17</x:v>
      </x:c>
      <x:c r="F84" s="82" t="s"/>
    </x:row>
    <x:row r="85" spans="1:13" x14ac:dyDescent="0.25">
      <x:c r="B85" s="82" t="n">
        <x:v>0.1305</x:v>
      </x:c>
      <x:c r="C85" s="82" t="n">
        <x:v>0.9695</x:v>
      </x:c>
      <x:c r="D85" s="82" t="n">
        <x:v>0.7787</x:v>
      </x:c>
      <x:c r="E85" s="82" t="n">
        <x:v>39.38</x:v>
      </x:c>
      <x:c r="F85" s="82" t="s"/>
    </x:row>
    <x:row r="86" spans="1:13" x14ac:dyDescent="0.25">
      <x:c r="B86" s="82" t="n">
        <x:v>0.1345</x:v>
      </x:c>
      <x:c r="C86" s="82" t="n">
        <x:v>0.9564</x:v>
      </x:c>
      <x:c r="D86" s="82" t="n">
        <x:v>0.7787</x:v>
      </x:c>
      <x:c r="E86" s="82" t="n">
        <x:v>41.05</x:v>
      </x:c>
      <x:c r="F86" s="82" t="s"/>
    </x:row>
    <x:row r="87" spans="1:13" x14ac:dyDescent="0.25">
      <x:c r="B87" s="82" t="n">
        <x:v>0.1385</x:v>
      </x:c>
      <x:c r="C87" s="82" t="n">
        <x:v>0.9888</x:v>
      </x:c>
      <x:c r="D87" s="82" t="n">
        <x:v>0.7787</x:v>
      </x:c>
      <x:c r="E87" s="82" t="n">
        <x:v>41.09</x:v>
      </x:c>
      <x:c r="F87" s="82" t="s"/>
    </x:row>
    <x:row r="88" spans="1:13" x14ac:dyDescent="0.25">
      <x:c r="B88" s="82" t="n">
        <x:v>0.1425</x:v>
      </x:c>
      <x:c r="C88" s="82" t="n">
        <x:v>0.9618</x:v>
      </x:c>
      <x:c r="D88" s="82" t="n">
        <x:v>0.7787</x:v>
      </x:c>
      <x:c r="E88" s="82" t="n">
        <x:v>41.93</x:v>
      </x:c>
      <x:c r="F88" s="82" t="s"/>
    </x:row>
    <x:row r="89" spans="1:13" x14ac:dyDescent="0.25">
      <x:c r="B89" s="82" t="n">
        <x:v>0.1465</x:v>
      </x:c>
      <x:c r="C89" s="82" t="n">
        <x:v>0.9742</x:v>
      </x:c>
      <x:c r="D89" s="82" t="n">
        <x:v>0.7787</x:v>
      </x:c>
      <x:c r="E89" s="82" t="n">
        <x:v>42.87</x:v>
      </x:c>
      <x:c r="F89" s="82" t="s"/>
    </x:row>
    <x:row r="90" spans="1:13" x14ac:dyDescent="0.25">
      <x:c r="B90" s="82" t="n">
        <x:v>0.1505</x:v>
      </x:c>
      <x:c r="C90" s="82" t="n">
        <x:v>0.9766</x:v>
      </x:c>
      <x:c r="D90" s="82" t="n">
        <x:v>0.7787</x:v>
      </x:c>
      <x:c r="E90" s="82" t="n">
        <x:v>43.08</x:v>
      </x:c>
      <x:c r="F90" s="82" t="s"/>
    </x:row>
    <x:row r="91" spans="1:13" x14ac:dyDescent="0.25">
      <x:c r="B91" s="82" t="n">
        <x:v>0.1545</x:v>
      </x:c>
      <x:c r="C91" s="82" t="n">
        <x:v>0.9566</x:v>
      </x:c>
      <x:c r="D91" s="82" t="n">
        <x:v>0.7787</x:v>
      </x:c>
      <x:c r="E91" s="82" t="n">
        <x:v>44.58</x:v>
      </x:c>
      <x:c r="F91" s="82" t="s"/>
    </x:row>
    <x:row r="92" spans="1:13" x14ac:dyDescent="0.25">
      <x:c r="B92" s="82" t="n">
        <x:v>0.1585</x:v>
      </x:c>
      <x:c r="C92" s="82" t="n">
        <x:v>0.9955</x:v>
      </x:c>
      <x:c r="D92" s="82" t="n">
        <x:v>0.7787</x:v>
      </x:c>
      <x:c r="E92" s="82" t="n">
        <x:v>44.47</x:v>
      </x:c>
      <x:c r="F92" s="82" t="s"/>
    </x:row>
    <x:row r="93" spans="1:13" x14ac:dyDescent="0.25">
      <x:c r="B93" s="82" t="n">
        <x:v>0.1625</x:v>
      </x:c>
      <x:c r="C93" s="82" t="n">
        <x:v>0.968</x:v>
      </x:c>
      <x:c r="D93" s="82" t="n">
        <x:v>0.7787</x:v>
      </x:c>
      <x:c r="E93" s="82" t="n">
        <x:v>45.1</x:v>
      </x:c>
      <x:c r="F93" s="82" t="s"/>
    </x:row>
    <x:row r="94" spans="1:13" x14ac:dyDescent="0.25">
      <x:c r="B94" s="82" t="n">
        <x:v>0.1665</x:v>
      </x:c>
      <x:c r="C94" s="82" t="n">
        <x:v>0.9784</x:v>
      </x:c>
      <x:c r="D94" s="82" t="n">
        <x:v>0.7787</x:v>
      </x:c>
      <x:c r="E94" s="82" t="n">
        <x:v>46.02</x:v>
      </x:c>
      <x:c r="F94" s="82" t="s"/>
    </x:row>
    <x:row r="95" spans="1:13" x14ac:dyDescent="0.25">
      <x:c r="B95" s="82" t="n">
        <x:v>0.1705</x:v>
      </x:c>
      <x:c r="C95" s="82" t="n">
        <x:v>0.9818</x:v>
      </x:c>
      <x:c r="D95" s="82" t="n">
        <x:v>0.7787</x:v>
      </x:c>
      <x:c r="E95" s="82" t="n">
        <x:v>46.07</x:v>
      </x:c>
      <x:c r="F95" s="82" t="s"/>
    </x:row>
    <x:row r="96" spans="1:13" x14ac:dyDescent="0.25">
      <x:c r="B96" s="82" t="n">
        <x:v>0.1745</x:v>
      </x:c>
      <x:c r="C96" s="82" t="n">
        <x:v>0.9662</x:v>
      </x:c>
      <x:c r="D96" s="82" t="n">
        <x:v>0.7787</x:v>
      </x:c>
      <x:c r="E96" s="82" t="n">
        <x:v>47.28</x:v>
      </x:c>
      <x:c r="F96" s="82" t="s"/>
    </x:row>
    <x:row r="97" spans="1:13" x14ac:dyDescent="0.25">
      <x:c r="B97" s="82" t="n">
        <x:v>0.1785</x:v>
      </x:c>
      <x:c r="C97" s="82" t="n">
        <x:v>0.9912</x:v>
      </x:c>
      <x:c r="D97" s="82" t="n">
        <x:v>0.7787</x:v>
      </x:c>
      <x:c r="E97" s="82" t="n">
        <x:v>47.3</x:v>
      </x:c>
      <x:c r="F97" s="82" t="s"/>
    </x:row>
    <x:row r="98" spans="1:13" x14ac:dyDescent="0.25">
      <x:c r="B98" s="82" t="n">
        <x:v>0.1825</x:v>
      </x:c>
      <x:c r="C98" s="82" t="n">
        <x:v>0.9573</x:v>
      </x:c>
      <x:c r="D98" s="82" t="n">
        <x:v>0.7787</x:v>
      </x:c>
      <x:c r="E98" s="82" t="n">
        <x:v>48.26</x:v>
      </x:c>
      <x:c r="F98" s="82" t="s"/>
    </x:row>
    <x:row r="99" spans="1:13" x14ac:dyDescent="0.25">
      <x:c r="B99" s="82" t="n">
        <x:v>0.1865</x:v>
      </x:c>
      <x:c r="C99" s="82" t="n">
        <x:v>0.9816</x:v>
      </x:c>
      <x:c r="D99" s="82" t="n">
        <x:v>0.7787</x:v>
      </x:c>
      <x:c r="E99" s="82" t="n">
        <x:v>49.23</x:v>
      </x:c>
      <x:c r="F99" s="82" t="s"/>
    </x:row>
    <x:row r="100" spans="1:13" x14ac:dyDescent="0.25">
      <x:c r="B100" s="82" t="n">
        <x:v>0.1905</x:v>
      </x:c>
      <x:c r="C100" s="82" t="n">
        <x:v>0.9948</x:v>
      </x:c>
      <x:c r="D100" s="82" t="n">
        <x:v>0.7787</x:v>
      </x:c>
      <x:c r="E100" s="82" t="n">
        <x:v>48.73</x:v>
      </x:c>
      <x:c r="F100" s="82" t="s"/>
    </x:row>
    <x:row r="101" spans="1:13" x14ac:dyDescent="0.25">
      <x:c r="B101" s="82" t="n">
        <x:v>0.1945</x:v>
      </x:c>
      <x:c r="C101" s="82" t="n">
        <x:v>0.9705</x:v>
      </x:c>
      <x:c r="D101" s="82" t="n">
        <x:v>0.7787</x:v>
      </x:c>
      <x:c r="E101" s="82" t="n">
        <x:v>49.81</x:v>
      </x:c>
      <x:c r="F101" s="82" t="s"/>
    </x:row>
    <x:row r="102" spans="1:13" x14ac:dyDescent="0.25">
      <x:c r="B102" s="82" t="n">
        <x:v>0.1985</x:v>
      </x:c>
      <x:c r="C102" s="82" t="n">
        <x:v>0.9886</x:v>
      </x:c>
      <x:c r="D102" s="82" t="n">
        <x:v>0.7787</x:v>
      </x:c>
      <x:c r="E102" s="82" t="n">
        <x:v>50.03</x:v>
      </x:c>
      <x:c r="F102" s="82" t="s"/>
    </x:row>
    <x:row r="103" spans="1:13" x14ac:dyDescent="0.25">
      <x:c r="B103" s="82" t="n">
        <x:v>0.2025</x:v>
      </x:c>
      <x:c r="C103" s="82" t="n">
        <x:v>0.969</x:v>
      </x:c>
      <x:c r="D103" s="82" t="n">
        <x:v>0.7787</x:v>
      </x:c>
      <x:c r="E103" s="82" t="n">
        <x:v>50.74</x:v>
      </x:c>
      <x:c r="F103" s="82" t="s"/>
    </x:row>
    <x:row r="104" spans="1:13" x14ac:dyDescent="0.25">
      <x:c r="B104" s="82" t="n">
        <x:v>0.2065</x:v>
      </x:c>
      <x:c r="C104" s="82" t="n">
        <x:v>0.9855</x:v>
      </x:c>
      <x:c r="D104" s="82" t="n">
        <x:v>0.7787</x:v>
      </x:c>
      <x:c r="E104" s="82" t="n">
        <x:v>51.36</x:v>
      </x:c>
      <x:c r="F104" s="82" t="s"/>
    </x:row>
    <x:row r="105" spans="1:13" x14ac:dyDescent="0.25">
      <x:c r="B105" s="82" t="n">
        <x:v>0.2105</x:v>
      </x:c>
      <x:c r="C105" s="82" t="n">
        <x:v>0.9985</x:v>
      </x:c>
      <x:c r="D105" s="82" t="n">
        <x:v>0.7787</x:v>
      </x:c>
      <x:c r="E105" s="82" t="n">
        <x:v>51.01</x:v>
      </x:c>
      <x:c r="F105" s="82" t="s"/>
    </x:row>
    <x:row r="106" spans="1:13" x14ac:dyDescent="0.25">
      <x:c r="B106" s="82" t="n">
        <x:v>0.2145</x:v>
      </x:c>
      <x:c r="C106" s="82" t="n">
        <x:v>0.9559</x:v>
      </x:c>
      <x:c r="D106" s="82" t="n">
        <x:v>0.7787</x:v>
      </x:c>
      <x:c r="E106" s="82" t="n">
        <x:v>52.29</x:v>
      </x:c>
      <x:c r="F106" s="82" t="s"/>
    </x:row>
    <x:row r="107" spans="1:13" x14ac:dyDescent="0.25">
      <x:c r="B107" s="82" t="n">
        <x:v>0.2185</x:v>
      </x:c>
      <x:c r="C107" s="82" t="n">
        <x:v>0.9909</x:v>
      </x:c>
      <x:c r="D107" s="82" t="n">
        <x:v>0.7787</x:v>
      </x:c>
      <x:c r="E107" s="82" t="n">
        <x:v>52.76</x:v>
      </x:c>
      <x:c r="F107" s="82" t="s"/>
    </x:row>
    <x:row r="108" spans="1:13" x14ac:dyDescent="0.25">
      <x:c r="B108" s="82" t="n">
        <x:v>0.2225</x:v>
      </x:c>
      <x:c r="C108" s="82" t="n">
        <x:v>0.9756</x:v>
      </x:c>
      <x:c r="D108" s="82" t="n">
        <x:v>0.7787</x:v>
      </x:c>
      <x:c r="E108" s="82" t="n">
        <x:v>52.89</x:v>
      </x:c>
      <x:c r="F108" s="82" t="s"/>
    </x:row>
    <x:row r="109" spans="1:13" x14ac:dyDescent="0.25">
      <x:c r="B109" s="82" t="n">
        <x:v>0.2265</x:v>
      </x:c>
      <x:c r="C109" s="82" t="n">
        <x:v>0.9845</x:v>
      </x:c>
      <x:c r="D109" s="82" t="n">
        <x:v>0.7787</x:v>
      </x:c>
      <x:c r="E109" s="82" t="n">
        <x:v>53.68</x:v>
      </x:c>
      <x:c r="F109" s="82" t="s"/>
    </x:row>
    <x:row r="110" spans="1:13" x14ac:dyDescent="0.25">
      <x:c r="B110" s="82" t="n">
        <x:v>0.2305</x:v>
      </x:c>
      <x:c r="C110" s="82" t="n">
        <x:v>0.9848</x:v>
      </x:c>
      <x:c r="D110" s="82" t="n">
        <x:v>0.7787</x:v>
      </x:c>
      <x:c r="E110" s="82" t="n">
        <x:v>53.66</x:v>
      </x:c>
      <x:c r="F110" s="82" t="s"/>
    </x:row>
    <x:row r="111" spans="1:13" x14ac:dyDescent="0.25">
      <x:c r="B111" s="82" t="n">
        <x:v>0.2345</x:v>
      </x:c>
      <x:c r="C111" s="82" t="n">
        <x:v>0.9646</x:v>
      </x:c>
      <x:c r="D111" s="82" t="n">
        <x:v>0.7787</x:v>
      </x:c>
      <x:c r="E111" s="82" t="n">
        <x:v>54.74</x:v>
      </x:c>
      <x:c r="F111" s="82" t="s"/>
    </x:row>
    <x:row r="112" spans="1:13" x14ac:dyDescent="0.25">
      <x:c r="B112" s="82" t="n">
        <x:v>0.2385</x:v>
      </x:c>
      <x:c r="C112" s="82" t="n">
        <x:v>0.9989</x:v>
      </x:c>
      <x:c r="D112" s="82" t="n">
        <x:v>0.7787</x:v>
      </x:c>
      <x:c r="E112" s="82" t="n">
        <x:v>54.61</x:v>
      </x:c>
      <x:c r="F112" s="82" t="s"/>
    </x:row>
    <x:row r="113" spans="1:13" x14ac:dyDescent="0.25">
      <x:c r="B113" s="82" t="n">
        <x:v>0.2425</x:v>
      </x:c>
      <x:c r="C113" s="82" t="n">
        <x:v>0.9775</x:v>
      </x:c>
      <x:c r="D113" s="82" t="n">
        <x:v>0.7787</x:v>
      </x:c>
      <x:c r="E113" s="82" t="n">
        <x:v>54.71</x:v>
      </x:c>
      <x:c r="F113" s="82" t="s"/>
    </x:row>
    <x:row r="114" spans="1:13" x14ac:dyDescent="0.25">
      <x:c r="B114" s="82" t="n">
        <x:v>0.2465</x:v>
      </x:c>
      <x:c r="C114" s="82" t="n">
        <x:v>0.9682</x:v>
      </x:c>
      <x:c r="D114" s="82" t="n">
        <x:v>0.7787</x:v>
      </x:c>
      <x:c r="E114" s="82" t="n">
        <x:v>55.85</x:v>
      </x:c>
      <x:c r="F114" s="82" t="s"/>
    </x:row>
    <x:row r="115" spans="1:13" x14ac:dyDescent="0.25">
      <x:c r="B115" s="82" t="n">
        <x:v>0.2505</x:v>
      </x:c>
      <x:c r="C115" s="82" t="n">
        <x:v>0.9865</x:v>
      </x:c>
      <x:c r="D115" s="82" t="n">
        <x:v>0.7787</x:v>
      </x:c>
      <x:c r="E115" s="82" t="n">
        <x:v>55.74</x:v>
      </x:c>
      <x:c r="F115" s="82" t="s"/>
    </x:row>
    <x:row r="116" spans="1:13" x14ac:dyDescent="0.25">
      <x:c r="B116" s="82" t="n">
        <x:v>0.2545</x:v>
      </x:c>
      <x:c r="C116" s="82" t="n">
        <x:v>0.959</x:v>
      </x:c>
      <x:c r="D116" s="82" t="n">
        <x:v>0.7787</x:v>
      </x:c>
      <x:c r="E116" s="82" t="n">
        <x:v>56.76</x:v>
      </x:c>
      <x:c r="F116" s="82" t="s"/>
    </x:row>
    <x:row r="117" spans="1:13" x14ac:dyDescent="0.25">
      <x:c r="B117" s="82" t="n">
        <x:v>0.2585</x:v>
      </x:c>
      <x:c r="C117" s="82" t="n">
        <x:v>0.9957</x:v>
      </x:c>
      <x:c r="D117" s="82" t="n">
        <x:v>0.7787</x:v>
      </x:c>
      <x:c r="E117" s="82" t="n">
        <x:v>56.94</x:v>
      </x:c>
      <x:c r="F117" s="82" t="s"/>
    </x:row>
    <x:row r="118" spans="1:13" x14ac:dyDescent="0.25">
      <x:c r="B118" s="82" t="n">
        <x:v>0.2625</x:v>
      </x:c>
      <x:c r="C118" s="82" t="n">
        <x:v>0.9884</x:v>
      </x:c>
      <x:c r="D118" s="82" t="n">
        <x:v>0.7787</x:v>
      </x:c>
      <x:c r="E118" s="82" t="n">
        <x:v>56.53</x:v>
      </x:c>
      <x:c r="F118" s="82" t="s"/>
    </x:row>
    <x:row r="119" spans="1:13" x14ac:dyDescent="0.25">
      <x:c r="B119" s="82" t="n">
        <x:v>0.2665</x:v>
      </x:c>
      <x:c r="C119" s="82" t="n">
        <x:v>0.9637</x:v>
      </x:c>
      <x:c r="D119" s="82" t="n">
        <x:v>0.7787</x:v>
      </x:c>
      <x:c r="E119" s="82" t="n">
        <x:v>57.86</x:v>
      </x:c>
      <x:c r="F119" s="82" t="s"/>
    </x:row>
    <x:row r="120" spans="1:13" x14ac:dyDescent="0.25">
      <x:c r="B120" s="82" t="n">
        <x:v>0.2705</x:v>
      </x:c>
      <x:c r="C120" s="82" t="n">
        <x:v>0.9961</x:v>
      </x:c>
      <x:c r="D120" s="82" t="n">
        <x:v>0.7787</x:v>
      </x:c>
      <x:c r="E120" s="82" t="n">
        <x:v>57.54</x:v>
      </x:c>
      <x:c r="F120" s="82" t="s"/>
    </x:row>
    <x:row r="121" spans="1:13" x14ac:dyDescent="0.25">
      <x:c r="B121" s="82" t="n">
        <x:v>0.2745</x:v>
      </x:c>
      <x:c r="C121" s="82" t="n">
        <x:v>0.9697</x:v>
      </x:c>
      <x:c r="D121" s="82" t="n">
        <x:v>0.7787</x:v>
      </x:c>
      <x:c r="E121" s="82" t="n">
        <x:v>58.18</x:v>
      </x:c>
      <x:c r="F121" s="82" t="s"/>
    </x:row>
    <x:row r="122" spans="1:13" x14ac:dyDescent="0.25">
      <x:c r="B122" s="82" t="n">
        <x:v>0.2785</x:v>
      </x:c>
      <x:c r="C122" s="82" t="n">
        <x:v>0.9922</x:v>
      </x:c>
      <x:c r="D122" s="82" t="n">
        <x:v>0.7787</x:v>
      </x:c>
      <x:c r="E122" s="82" t="n">
        <x:v>58.38</x:v>
      </x:c>
      <x:c r="F122" s="82" t="s"/>
    </x:row>
    <x:row r="123" spans="1:13" x14ac:dyDescent="0.25">
      <x:c r="B123" s="82" t="n">
        <x:v>0.2845</x:v>
      </x:c>
      <x:c r="C123" s="82" t="n">
        <x:v>0.9731</x:v>
      </x:c>
      <x:c r="D123" s="82" t="n">
        <x:v>0.7787</x:v>
      </x:c>
      <x:c r="E123" s="82" t="n">
        <x:v>58.98</x:v>
      </x:c>
      <x:c r="F123" s="82" t="s"/>
    </x:row>
    <x:row r="124" spans="1:13" x14ac:dyDescent="0.25">
      <x:c r="B124" s="82" t="n">
        <x:v>0.2925</x:v>
      </x:c>
      <x:c r="C124" s="82" t="n">
        <x:v>0.984</x:v>
      </x:c>
      <x:c r="D124" s="82" t="n">
        <x:v>0.7787</x:v>
      </x:c>
      <x:c r="E124" s="82" t="n">
        <x:v>59.35</x:v>
      </x:c>
      <x:c r="F124" s="82" t="s"/>
    </x:row>
    <x:row r="125" spans="1:13" x14ac:dyDescent="0.25">
      <x:c r="B125" s="82" t="n">
        <x:v>0.3005</x:v>
      </x:c>
      <x:c r="C125" s="82" t="n">
        <x:v>0.9818</x:v>
      </x:c>
      <x:c r="D125" s="82" t="n">
        <x:v>0.7787</x:v>
      </x:c>
      <x:c r="E125" s="82" t="n">
        <x:v>60.27</x:v>
      </x:c>
      <x:c r="F125" s="82" t="s"/>
    </x:row>
    <x:row r="126" spans="1:13" x14ac:dyDescent="0.25">
      <x:c r="B126" s="82" t="n">
        <x:v>0.3085</x:v>
      </x:c>
      <x:c r="C126" s="82" t="n">
        <x:v>0.9929</x:v>
      </x:c>
      <x:c r="D126" s="82" t="n">
        <x:v>0.7787</x:v>
      </x:c>
      <x:c r="E126" s="82" t="n">
        <x:v>60.74</x:v>
      </x:c>
      <x:c r="F126" s="82" t="s"/>
    </x:row>
    <x:row r="127" spans="1:13" x14ac:dyDescent="0.25">
      <x:c r="B127" s="82" t="n">
        <x:v>0.3165</x:v>
      </x:c>
      <x:c r="C127" s="82" t="n">
        <x:v>0.9714</x:v>
      </x:c>
      <x:c r="D127" s="82" t="n">
        <x:v>0.7787</x:v>
      </x:c>
      <x:c r="E127" s="82" t="n">
        <x:v>61.46</x:v>
      </x:c>
      <x:c r="F127" s="82" t="s"/>
    </x:row>
    <x:row r="128" spans="1:13" x14ac:dyDescent="0.25">
      <x:c r="B128" s="82" t="n">
        <x:v>0.3245</x:v>
      </x:c>
      <x:c r="C128" s="82" t="n">
        <x:v>0.9777</x:v>
      </x:c>
      <x:c r="D128" s="82" t="n">
        <x:v>0.7795</x:v>
      </x:c>
      <x:c r="E128" s="82" t="n">
        <x:v>62</x:v>
      </x:c>
      <x:c r="F128" s="82" t="s"/>
    </x:row>
    <x:row r="129" spans="1:13" x14ac:dyDescent="0.25">
      <x:c r="B129" s="82" t="n">
        <x:v>0.3325</x:v>
      </x:c>
      <x:c r="C129" s="82" t="n">
        <x:v>0.9884</x:v>
      </x:c>
      <x:c r="D129" s="82" t="n">
        <x:v>0.7795</x:v>
      </x:c>
      <x:c r="E129" s="82" t="n">
        <x:v>62.43</x:v>
      </x:c>
      <x:c r="F129" s="82" t="s"/>
    </x:row>
    <x:row r="130" spans="1:13" x14ac:dyDescent="0.25">
      <x:c r="B130" s="82" t="n">
        <x:v>0.3405</x:v>
      </x:c>
      <x:c r="C130" s="82" t="n">
        <x:v>0.9971</x:v>
      </x:c>
      <x:c r="D130" s="82" t="n">
        <x:v>0.7795</x:v>
      </x:c>
      <x:c r="E130" s="82" t="n">
        <x:v>63</x:v>
      </x:c>
      <x:c r="F130" s="82" t="s"/>
    </x:row>
    <x:row r="131" spans="1:13" x14ac:dyDescent="0.25">
      <x:c r="B131" s="82" t="n">
        <x:v>0.3485</x:v>
      </x:c>
      <x:c r="C131" s="82" t="n">
        <x:v>0.9878</x:v>
      </x:c>
      <x:c r="D131" s="82" t="n">
        <x:v>0.7795</x:v>
      </x:c>
      <x:c r="E131" s="82" t="n">
        <x:v>63.66</x:v>
      </x:c>
      <x:c r="F131" s="82" t="s"/>
    </x:row>
    <x:row r="132" spans="1:13" x14ac:dyDescent="0.25">
      <x:c r="B132" s="82" t="n">
        <x:v>0.3565</x:v>
      </x:c>
      <x:c r="C132" s="82" t="n">
        <x:v>0.988</x:v>
      </x:c>
      <x:c r="D132" s="82" t="n">
        <x:v>0.7795</x:v>
      </x:c>
      <x:c r="E132" s="82" t="n">
        <x:v>64.06</x:v>
      </x:c>
      <x:c r="F132" s="82" t="s"/>
    </x:row>
    <x:row r="133" spans="1:13" x14ac:dyDescent="0.25">
      <x:c r="B133" s="82" t="n">
        <x:v>0.3645</x:v>
      </x:c>
      <x:c r="C133" s="82" t="n">
        <x:v>0.9793</x:v>
      </x:c>
      <x:c r="D133" s="82" t="n">
        <x:v>0.7795</x:v>
      </x:c>
      <x:c r="E133" s="82" t="n">
        <x:v>64.52</x:v>
      </x:c>
      <x:c r="F133" s="82" t="s"/>
    </x:row>
    <x:row r="134" spans="1:13" x14ac:dyDescent="0.25">
      <x:c r="B134" s="82" t="n">
        <x:v>0.3725</x:v>
      </x:c>
      <x:c r="C134" s="82" t="n">
        <x:v>0.999</x:v>
      </x:c>
      <x:c r="D134" s="82" t="n">
        <x:v>0.7795</x:v>
      </x:c>
      <x:c r="E134" s="82" t="n">
        <x:v>65.02</x:v>
      </x:c>
      <x:c r="F134" s="82" t="s"/>
    </x:row>
    <x:row r="135" spans="1:13" x14ac:dyDescent="0.25">
      <x:c r="B135" s="82" t="n">
        <x:v>0.3805</x:v>
      </x:c>
      <x:c r="C135" s="82" t="n">
        <x:v>0.9954</x:v>
      </x:c>
      <x:c r="D135" s="82" t="n">
        <x:v>0.7795</x:v>
      </x:c>
      <x:c r="E135" s="82" t="n">
        <x:v>65.42</x:v>
      </x:c>
      <x:c r="F135" s="82" t="s"/>
    </x:row>
    <x:row r="136" spans="1:13" x14ac:dyDescent="0.25">
      <x:c r="B136" s="82" t="n">
        <x:v>0.3885</x:v>
      </x:c>
      <x:c r="C136" s="82" t="n">
        <x:v>0.9899</x:v>
      </x:c>
      <x:c r="D136" s="82" t="n">
        <x:v>0.7795</x:v>
      </x:c>
      <x:c r="E136" s="82" t="n">
        <x:v>66</x:v>
      </x:c>
      <x:c r="F136" s="82" t="s"/>
    </x:row>
    <x:row r="137" spans="1:13" x14ac:dyDescent="0.25">
      <x:c r="B137" s="82" t="n">
        <x:v>0.3965</x:v>
      </x:c>
      <x:c r="C137" s="82" t="n">
        <x:v>0.9791</x:v>
      </x:c>
      <x:c r="D137" s="82" t="n">
        <x:v>0.7795</x:v>
      </x:c>
      <x:c r="E137" s="82" t="n">
        <x:v>66.48</x:v>
      </x:c>
      <x:c r="F137" s="82" t="s"/>
    </x:row>
    <x:row r="138" spans="1:13" x14ac:dyDescent="0.25">
      <x:c r="B138" s="82" t="n">
        <x:v>0.4045</x:v>
      </x:c>
      <x:c r="C138" s="82" t="n">
        <x:v>0.993</x:v>
      </x:c>
      <x:c r="D138" s="82" t="n">
        <x:v>0.7795</x:v>
      </x:c>
      <x:c r="E138" s="82" t="n">
        <x:v>66.83</x:v>
      </x:c>
      <x:c r="F138" s="82" t="s"/>
    </x:row>
    <x:row r="139" spans="1:13" x14ac:dyDescent="0.25">
      <x:c r="B139" s="82" t="n">
        <x:v>0.4125</x:v>
      </x:c>
      <x:c r="C139" s="82" t="n">
        <x:v>0.9943</x:v>
      </x:c>
      <x:c r="D139" s="82" t="n">
        <x:v>0.7795</x:v>
      </x:c>
      <x:c r="E139" s="82" t="n">
        <x:v>67.19</x:v>
      </x:c>
      <x:c r="F139" s="82" t="s"/>
    </x:row>
    <x:row r="140" spans="1:13" x14ac:dyDescent="0.25">
      <x:c r="B140" s="82" t="n">
        <x:v>0.4205</x:v>
      </x:c>
      <x:c r="C140" s="82" t="n">
        <x:v>0.9982</x:v>
      </x:c>
      <x:c r="D140" s="82" t="n">
        <x:v>0.7795</x:v>
      </x:c>
      <x:c r="E140" s="82" t="n">
        <x:v>67.78</x:v>
      </x:c>
      <x:c r="F140" s="82" t="s"/>
    </x:row>
    <x:row r="141" spans="1:13" x14ac:dyDescent="0.25">
      <x:c r="B141" s="82" t="n">
        <x:v>0.4285</x:v>
      </x:c>
      <x:c r="C141" s="82" t="n">
        <x:v>0.9893</x:v>
      </x:c>
      <x:c r="D141" s="82" t="n">
        <x:v>0.7795</x:v>
      </x:c>
      <x:c r="E141" s="82" t="n">
        <x:v>68.03</x:v>
      </x:c>
      <x:c r="F141" s="82" t="s"/>
    </x:row>
    <x:row r="142" spans="1:13" x14ac:dyDescent="0.25">
      <x:c r="B142" s="82" t="n">
        <x:v>0.4365</x:v>
      </x:c>
      <x:c r="C142" s="82" t="n">
        <x:v>0.9817</x:v>
      </x:c>
      <x:c r="D142" s="82" t="n">
        <x:v>0.7795</x:v>
      </x:c>
      <x:c r="E142" s="82" t="n">
        <x:v>68.55</x:v>
      </x:c>
      <x:c r="F142" s="82" t="s"/>
    </x:row>
    <x:row r="143" spans="1:13" x14ac:dyDescent="0.25">
      <x:c r="B143" s="82" t="n">
        <x:v>0.4445</x:v>
      </x:c>
      <x:c r="C143" s="82" t="n">
        <x:v>1.003</x:v>
      </x:c>
      <x:c r="D143" s="82" t="n">
        <x:v>0.7795</x:v>
      </x:c>
      <x:c r="E143" s="82" t="n">
        <x:v>68.72</x:v>
      </x:c>
      <x:c r="F143" s="82" t="s"/>
    </x:row>
    <x:row r="144" spans="1:13" x14ac:dyDescent="0.25">
      <x:c r="B144" s="82" t="n">
        <x:v>0.4525</x:v>
      </x:c>
      <x:c r="C144" s="82" t="n">
        <x:v>1.002</x:v>
      </x:c>
      <x:c r="D144" s="82" t="n">
        <x:v>0.7795</x:v>
      </x:c>
      <x:c r="E144" s="82" t="n">
        <x:v>69.26</x:v>
      </x:c>
      <x:c r="F144" s="82" t="s"/>
    </x:row>
    <x:row r="145" spans="1:13" x14ac:dyDescent="0.25">
      <x:c r="B145" s="82" t="n">
        <x:v>0.4605</x:v>
      </x:c>
      <x:c r="C145" s="82" t="n">
        <x:v>1.005</x:v>
      </x:c>
      <x:c r="D145" s="82" t="n">
        <x:v>0.7795</x:v>
      </x:c>
      <x:c r="E145" s="82" t="n">
        <x:v>69.45</x:v>
      </x:c>
      <x:c r="F145" s="82" t="s"/>
    </x:row>
    <x:row r="146" spans="1:13" x14ac:dyDescent="0.25">
      <x:c r="B146" s="82" t="n">
        <x:v>0.4685</x:v>
      </x:c>
      <x:c r="C146" s="82" t="n">
        <x:v>0.9891</x:v>
      </x:c>
      <x:c r="D146" s="82" t="n">
        <x:v>0.7795</x:v>
      </x:c>
      <x:c r="E146" s="82" t="n">
        <x:v>70.08</x:v>
      </x:c>
      <x:c r="F146" s="82" t="s"/>
    </x:row>
    <x:row r="147" spans="1:13" x14ac:dyDescent="0.25">
      <x:c r="B147" s="82" t="n">
        <x:v>0.4765</x:v>
      </x:c>
      <x:c r="C147" s="82" t="n">
        <x:v>0.9982</x:v>
      </x:c>
      <x:c r="D147" s="82" t="n">
        <x:v>0.7795</x:v>
      </x:c>
      <x:c r="E147" s="82" t="n">
        <x:v>70.3</x:v>
      </x:c>
      <x:c r="F147" s="82" t="s"/>
    </x:row>
    <x:row r="148" spans="1:13" x14ac:dyDescent="0.25">
      <x:c r="B148" s="82" t="n">
        <x:v>0.4845</x:v>
      </x:c>
      <x:c r="C148" s="82" t="n">
        <x:v>1.001</x:v>
      </x:c>
      <x:c r="D148" s="82" t="n">
        <x:v>0.7795</x:v>
      </x:c>
      <x:c r="E148" s="82" t="n">
        <x:v>70.45</x:v>
      </x:c>
      <x:c r="F148" s="82" t="s"/>
    </x:row>
    <x:row r="149" spans="1:13" x14ac:dyDescent="0.25">
      <x:c r="B149" s="82" t="n">
        <x:v>0.4925</x:v>
      </x:c>
      <x:c r="C149" s="82" t="n">
        <x:v>1.011</x:v>
      </x:c>
      <x:c r="D149" s="82" t="n">
        <x:v>0.7795</x:v>
      </x:c>
      <x:c r="E149" s="82" t="n">
        <x:v>70.71</x:v>
      </x:c>
      <x:c r="F149" s="82" t="s"/>
    </x:row>
    <x:row r="150" spans="1:13" x14ac:dyDescent="0.25">
      <x:c r="B150" s="82" t="n">
        <x:v>0.5005</x:v>
      </x:c>
      <x:c r="C150" s="82" t="n">
        <x:v>0.9969</x:v>
      </x:c>
      <x:c r="D150" s="82" t="n">
        <x:v>0.7795</x:v>
      </x:c>
      <x:c r="E150" s="82" t="n">
        <x:v>71.25</x:v>
      </x:c>
      <x:c r="F150" s="82" t="s"/>
    </x:row>
    <x:row r="151" spans="1:13" x14ac:dyDescent="0.25">
      <x:c r="B151" s="82" t="n">
        <x:v>0.5085</x:v>
      </x:c>
      <x:c r="C151" s="82" t="n">
        <x:v>0.9958</x:v>
      </x:c>
      <x:c r="D151" s="82" t="n">
        <x:v>0.7795</x:v>
      </x:c>
      <x:c r="E151" s="82" t="n">
        <x:v>71.52</x:v>
      </x:c>
      <x:c r="F151" s="82" t="s"/>
    </x:row>
    <x:row r="152" spans="1:13" x14ac:dyDescent="0.25">
      <x:c r="B152" s="82" t="n">
        <x:v>0.5165</x:v>
      </x:c>
      <x:c r="C152" s="82" t="n">
        <x:v>0.9956</x:v>
      </x:c>
      <x:c r="D152" s="82" t="n">
        <x:v>0.7795</x:v>
      </x:c>
      <x:c r="E152" s="82" t="n">
        <x:v>71.84</x:v>
      </x:c>
      <x:c r="F152" s="82" t="s"/>
    </x:row>
    <x:row r="153" spans="1:13" x14ac:dyDescent="0.25">
      <x:c r="B153" s="82" t="n">
        <x:v>0.5245</x:v>
      </x:c>
      <x:c r="C153" s="82" t="n">
        <x:v>1.007</x:v>
      </x:c>
      <x:c r="D153" s="82" t="n">
        <x:v>0.7795</x:v>
      </x:c>
      <x:c r="E153" s="82" t="n">
        <x:v>71.92</x:v>
      </x:c>
      <x:c r="F153" s="82" t="s"/>
    </x:row>
    <x:row r="154" spans="1:13" x14ac:dyDescent="0.25">
      <x:c r="B154" s="82" t="n">
        <x:v>0.5325</x:v>
      </x:c>
      <x:c r="C154" s="82" t="n">
        <x:v>1.006</x:v>
      </x:c>
      <x:c r="D154" s="82" t="n">
        <x:v>0.7795</x:v>
      </x:c>
      <x:c r="E154" s="82" t="n">
        <x:v>72.22</x:v>
      </x:c>
      <x:c r="F154" s="82" t="s"/>
    </x:row>
    <x:row r="155" spans="1:13" x14ac:dyDescent="0.25">
      <x:c r="B155" s="82" t="n">
        <x:v>0.5405</x:v>
      </x:c>
      <x:c r="C155" s="82" t="n">
        <x:v>0.9981</x:v>
      </x:c>
      <x:c r="D155" s="82" t="n">
        <x:v>0.7795</x:v>
      </x:c>
      <x:c r="E155" s="82" t="n">
        <x:v>72.64</x:v>
      </x:c>
      <x:c r="F155" s="82" t="s"/>
    </x:row>
    <x:row r="156" spans="1:13" x14ac:dyDescent="0.25">
      <x:c r="B156" s="82" t="n">
        <x:v>0.5485</x:v>
      </x:c>
      <x:c r="C156" s="82" t="n">
        <x:v>0.985</x:v>
      </x:c>
      <x:c r="D156" s="82" t="n">
        <x:v>0.7795</x:v>
      </x:c>
      <x:c r="E156" s="82" t="n">
        <x:v>73.01</x:v>
      </x:c>
      <x:c r="F156" s="82" t="s"/>
    </x:row>
    <x:row r="157" spans="1:13" x14ac:dyDescent="0.25">
      <x:c r="B157" s="82" t="n">
        <x:v>0.5565</x:v>
      </x:c>
      <x:c r="C157" s="82" t="n">
        <x:v>0.9987</x:v>
      </x:c>
      <x:c r="D157" s="82" t="n">
        <x:v>0.7627</x:v>
      </x:c>
      <x:c r="E157" s="82" t="n">
        <x:v>72.9</x:v>
      </x:c>
      <x:c r="F157" s="82" t="s"/>
    </x:row>
    <x:row r="158" spans="1:13" x14ac:dyDescent="0.25">
      <x:c r="B158" s="82" t="n">
        <x:v>0.5645</x:v>
      </x:c>
      <x:c r="C158" s="82" t="n">
        <x:v>0.9988</x:v>
      </x:c>
      <x:c r="D158" s="82" t="n">
        <x:v>0.7627</x:v>
      </x:c>
      <x:c r="E158" s="82" t="n">
        <x:v>73.12</x:v>
      </x:c>
      <x:c r="F158" s="82" t="s"/>
    </x:row>
    <x:row r="159" spans="1:13" x14ac:dyDescent="0.25">
      <x:c r="B159" s="82" t="n">
        <x:v>0.5725</x:v>
      </x:c>
      <x:c r="C159" s="82" t="n">
        <x:v>1.003</x:v>
      </x:c>
      <x:c r="D159" s="82" t="n">
        <x:v>0.7627</x:v>
      </x:c>
      <x:c r="E159" s="82" t="n">
        <x:v>73.46</x:v>
      </x:c>
      <x:c r="F159" s="82" t="s"/>
    </x:row>
    <x:row r="160" spans="1:13" x14ac:dyDescent="0.25">
      <x:c r="B160" s="82" t="n">
        <x:v>0.5805</x:v>
      </x:c>
      <x:c r="C160" s="82" t="n">
        <x:v>0.9894</x:v>
      </x:c>
      <x:c r="D160" s="82" t="n">
        <x:v>0.7627</x:v>
      </x:c>
      <x:c r="E160" s="82" t="n">
        <x:v>73.79</x:v>
      </x:c>
      <x:c r="F160" s="82" t="s"/>
    </x:row>
    <x:row r="161" spans="1:13" x14ac:dyDescent="0.25">
      <x:c r="B161" s="82" t="n">
        <x:v>0.5885</x:v>
      </x:c>
      <x:c r="C161" s="82" t="n">
        <x:v>0.9913</x:v>
      </x:c>
      <x:c r="D161" s="82" t="n">
        <x:v>0.7627</x:v>
      </x:c>
      <x:c r="E161" s="82" t="n">
        <x:v>74.08</x:v>
      </x:c>
      <x:c r="F161" s="82" t="s"/>
    </x:row>
    <x:row r="162" spans="1:13" x14ac:dyDescent="0.25">
      <x:c r="B162" s="82" t="n">
        <x:v>0.5965</x:v>
      </x:c>
      <x:c r="C162" s="82" t="n">
        <x:v>0.9936</x:v>
      </x:c>
      <x:c r="D162" s="82" t="n">
        <x:v>0.7627</x:v>
      </x:c>
      <x:c r="E162" s="82" t="n">
        <x:v>73.94</x:v>
      </x:c>
      <x:c r="F162" s="82" t="s"/>
    </x:row>
    <x:row r="163" spans="1:13" x14ac:dyDescent="0.25">
      <x:c r="B163" s="82" t="n">
        <x:v>0.6085</x:v>
      </x:c>
      <x:c r="C163" s="82" t="n">
        <x:v>1.001</x:v>
      </x:c>
      <x:c r="D163" s="82" t="n">
        <x:v>0.7627</x:v>
      </x:c>
      <x:c r="E163" s="82" t="n">
        <x:v>74.35</x:v>
      </x:c>
      <x:c r="F163" s="82" t="s"/>
    </x:row>
    <x:row r="164" spans="1:13" x14ac:dyDescent="0.25">
      <x:c r="B164" s="82" t="n">
        <x:v>0.6245</x:v>
      </x:c>
      <x:c r="C164" s="82" t="n">
        <x:v>0.9908</x:v>
      </x:c>
      <x:c r="D164" s="82" t="n">
        <x:v>0.7627</x:v>
      </x:c>
      <x:c r="E164" s="82" t="n">
        <x:v>74.91</x:v>
      </x:c>
      <x:c r="F164" s="82" t="s"/>
    </x:row>
    <x:row r="165" spans="1:13" x14ac:dyDescent="0.25">
      <x:c r="B165" s="82" t="n">
        <x:v>0.6405</x:v>
      </x:c>
      <x:c r="C165" s="82" t="n">
        <x:v>1.002</x:v>
      </x:c>
      <x:c r="D165" s="82" t="n">
        <x:v>0.7627</x:v>
      </x:c>
      <x:c r="E165" s="82" t="n">
        <x:v>74.99</x:v>
      </x:c>
      <x:c r="F165" s="82" t="s"/>
    </x:row>
    <x:row r="166" spans="1:13" x14ac:dyDescent="0.25">
      <x:c r="B166" s="82" t="n">
        <x:v>0.6565</x:v>
      </x:c>
      <x:c r="C166" s="82" t="n">
        <x:v>0.9918</x:v>
      </x:c>
      <x:c r="D166" s="82" t="n">
        <x:v>0.7627</x:v>
      </x:c>
      <x:c r="E166" s="82" t="n">
        <x:v>75.65</x:v>
      </x:c>
      <x:c r="F166" s="82" t="s"/>
    </x:row>
    <x:row r="167" spans="1:13" x14ac:dyDescent="0.25">
      <x:c r="B167" s="82" t="n">
        <x:v>0.6725</x:v>
      </x:c>
      <x:c r="C167" s="82" t="n">
        <x:v>1</x:v>
      </x:c>
      <x:c r="D167" s="82" t="n">
        <x:v>0.7627</x:v>
      </x:c>
      <x:c r="E167" s="82" t="n">
        <x:v>75.66</x:v>
      </x:c>
      <x:c r="F167" s="82" t="s"/>
    </x:row>
    <x:row r="168" spans="1:13" x14ac:dyDescent="0.25">
      <x:c r="B168" s="82" t="n">
        <x:v>0.6885</x:v>
      </x:c>
      <x:c r="C168" s="82" t="n">
        <x:v>0.9963</x:v>
      </x:c>
      <x:c r="D168" s="82" t="n">
        <x:v>0.7627</x:v>
      </x:c>
      <x:c r="E168" s="82" t="n">
        <x:v>76.31</x:v>
      </x:c>
      <x:c r="F168" s="82" t="s"/>
    </x:row>
    <x:row r="169" spans="1:13" x14ac:dyDescent="0.25">
      <x:c r="B169" s="82" t="n">
        <x:v>0.7045</x:v>
      </x:c>
      <x:c r="C169" s="82" t="n">
        <x:v>0.9959</x:v>
      </x:c>
      <x:c r="D169" s="82" t="n">
        <x:v>0.7627</x:v>
      </x:c>
      <x:c r="E169" s="82" t="n">
        <x:v>76.46</x:v>
      </x:c>
      <x:c r="F169" s="82" t="s"/>
    </x:row>
    <x:row r="170" spans="1:13" x14ac:dyDescent="0.25">
      <x:c r="B170" s="82" t="n">
        <x:v>0.7205</x:v>
      </x:c>
      <x:c r="C170" s="82" t="n">
        <x:v>1.003</x:v>
      </x:c>
      <x:c r="D170" s="82" t="n">
        <x:v>0.7627</x:v>
      </x:c>
      <x:c r="E170" s="82" t="n">
        <x:v>76.6</x:v>
      </x:c>
      <x:c r="F170" s="82" t="s"/>
    </x:row>
    <x:row r="171" spans="1:13" x14ac:dyDescent="0.25">
      <x:c r="B171" s="82" t="n">
        <x:v>0.7365</x:v>
      </x:c>
      <x:c r="C171" s="82" t="n">
        <x:v>0.9904</x:v>
      </x:c>
      <x:c r="D171" s="82" t="n">
        <x:v>0.7627</x:v>
      </x:c>
      <x:c r="E171" s="82" t="n">
        <x:v>77.19</x:v>
      </x:c>
      <x:c r="F171" s="82" t="s"/>
    </x:row>
    <x:row r="172" spans="1:13" x14ac:dyDescent="0.25">
      <x:c r="B172" s="82" t="n">
        <x:v>0.7525</x:v>
      </x:c>
      <x:c r="C172" s="82" t="n">
        <x:v>1.002</x:v>
      </x:c>
      <x:c r="D172" s="82" t="n">
        <x:v>0.7627</x:v>
      </x:c>
      <x:c r="E172" s="82" t="n">
        <x:v>77.09</x:v>
      </x:c>
      <x:c r="F172" s="82" t="s"/>
    </x:row>
    <x:row r="173" spans="1:13" x14ac:dyDescent="0.25">
      <x:c r="B173" s="82" t="n">
        <x:v>0.7685</x:v>
      </x:c>
      <x:c r="C173" s="82" t="n">
        <x:v>0.994</x:v>
      </x:c>
      <x:c r="D173" s="82" t="n">
        <x:v>0.7627</x:v>
      </x:c>
      <x:c r="E173" s="82" t="n">
        <x:v>77.72</x:v>
      </x:c>
      <x:c r="F173" s="82" t="s"/>
    </x:row>
    <x:row r="174" spans="1:13" x14ac:dyDescent="0.25">
      <x:c r="B174" s="82" t="n">
        <x:v>0.7845</x:v>
      </x:c>
      <x:c r="C174" s="82" t="n">
        <x:v>0.9978</x:v>
      </x:c>
      <x:c r="D174" s="82" t="n">
        <x:v>0.7627</x:v>
      </x:c>
      <x:c r="E174" s="82" t="n">
        <x:v>77.63</x:v>
      </x:c>
      <x:c r="F174" s="82" t="s"/>
    </x:row>
    <x:row r="175" spans="1:13" x14ac:dyDescent="0.25">
      <x:c r="B175" s="82" t="n">
        <x:v>0.8005</x:v>
      </x:c>
      <x:c r="C175" s="82" t="n">
        <x:v>0.9991</x:v>
      </x:c>
      <x:c r="D175" s="82" t="n">
        <x:v>0.7627</x:v>
      </x:c>
      <x:c r="E175" s="82" t="n">
        <x:v>78.04</x:v>
      </x:c>
      <x:c r="F175" s="82" t="s"/>
    </x:row>
    <x:row r="176" spans="1:13" x14ac:dyDescent="0.25">
      <x:c r="B176" s="82" t="n">
        <x:v>0.8165</x:v>
      </x:c>
      <x:c r="C176" s="82" t="n">
        <x:v>0.9953</x:v>
      </x:c>
      <x:c r="D176" s="82" t="n">
        <x:v>0.7409</x:v>
      </x:c>
      <x:c r="E176" s="82" t="n">
        <x:v>78.18</x:v>
      </x:c>
      <x:c r="F176" s="82" t="s"/>
    </x:row>
    <x:row r="177" spans="1:13" x14ac:dyDescent="0.25">
      <x:c r="B177" s="82" t="n">
        <x:v>0.8325</x:v>
      </x:c>
      <x:c r="C177" s="82" t="n">
        <x:v>1.002</x:v>
      </x:c>
      <x:c r="D177" s="82" t="n">
        <x:v>0.7409</x:v>
      </x:c>
      <x:c r="E177" s="82" t="n">
        <x:v>78.23</x:v>
      </x:c>
      <x:c r="F177" s="82" t="s"/>
    </x:row>
    <x:row r="178" spans="1:13" x14ac:dyDescent="0.25">
      <x:c r="B178" s="82" t="n">
        <x:v>0.8485</x:v>
      </x:c>
      <x:c r="C178" s="82" t="n">
        <x:v>0.9943</x:v>
      </x:c>
      <x:c r="D178" s="82" t="n">
        <x:v>0.7409</x:v>
      </x:c>
      <x:c r="E178" s="82" t="n">
        <x:v>78.72</x:v>
      </x:c>
      <x:c r="F178" s="82" t="s"/>
    </x:row>
    <x:row r="179" spans="1:13" x14ac:dyDescent="0.25">
      <x:c r="B179" s="82" t="n">
        <x:v>0.8645</x:v>
      </x:c>
      <x:c r="C179" s="82" t="n">
        <x:v>1.001</x:v>
      </x:c>
      <x:c r="D179" s="82" t="n">
        <x:v>0.7409</x:v>
      </x:c>
      <x:c r="E179" s="82" t="n">
        <x:v>78.55</x:v>
      </x:c>
      <x:c r="F179" s="82" t="s"/>
    </x:row>
    <x:row r="180" spans="1:13" x14ac:dyDescent="0.25">
      <x:c r="B180" s="82" t="n">
        <x:v>0.8805</x:v>
      </x:c>
      <x:c r="C180" s="82" t="n">
        <x:v>0.9975</x:v>
      </x:c>
      <x:c r="D180" s="82" t="n">
        <x:v>0.7409</x:v>
      </x:c>
      <x:c r="E180" s="82" t="n">
        <x:v>79</x:v>
      </x:c>
      <x:c r="F180" s="82" t="s"/>
    </x:row>
    <x:row r="181" spans="1:13" x14ac:dyDescent="0.25">
      <x:c r="B181" s="82" t="n">
        <x:v>0.8965</x:v>
      </x:c>
      <x:c r="C181" s="82" t="n">
        <x:v>0.9982</x:v>
      </x:c>
      <x:c r="D181" s="82" t="n">
        <x:v>0.7409</x:v>
      </x:c>
      <x:c r="E181" s="82" t="n">
        <x:v>78.9</x:v>
      </x:c>
      <x:c r="F181" s="82" t="s"/>
    </x:row>
    <x:row r="182" spans="1:13" x14ac:dyDescent="0.25">
      <x:c r="B182" s="82" t="n">
        <x:v>0.9125</x:v>
      </x:c>
      <x:c r="C182" s="82" t="n">
        <x:v>0.9997</x:v>
      </x:c>
      <x:c r="D182" s="82" t="n">
        <x:v>0.7409</x:v>
      </x:c>
      <x:c r="E182" s="82" t="n">
        <x:v>79.33</x:v>
      </x:c>
      <x:c r="F182" s="82" t="s"/>
    </x:row>
    <x:row r="183" spans="1:13" x14ac:dyDescent="0.25">
      <x:c r="B183" s="82" t="n">
        <x:v>0.9285</x:v>
      </x:c>
      <x:c r="C183" s="82" t="n">
        <x:v>0.995</x:v>
      </x:c>
      <x:c r="D183" s="82" t="n">
        <x:v>0.7409</x:v>
      </x:c>
      <x:c r="E183" s="82" t="n">
        <x:v>79.32</x:v>
      </x:c>
      <x:c r="F183" s="82" t="s"/>
    </x:row>
    <x:row r="184" spans="1:13" x14ac:dyDescent="0.25">
      <x:c r="B184" s="82" t="n">
        <x:v>0.9445</x:v>
      </x:c>
      <x:c r="C184" s="82" t="n">
        <x:v>1.003</x:v>
      </x:c>
      <x:c r="D184" s="82" t="n">
        <x:v>0.7409</x:v>
      </x:c>
      <x:c r="E184" s="82" t="n">
        <x:v>79.36</x:v>
      </x:c>
      <x:c r="F184" s="82" t="s"/>
    </x:row>
    <x:row r="185" spans="1:13" x14ac:dyDescent="0.25">
      <x:c r="B185" s="82" t="n">
        <x:v>0.9605</x:v>
      </x:c>
      <x:c r="C185" s="82" t="n">
        <x:v>0.9962</x:v>
      </x:c>
      <x:c r="D185" s="82" t="n">
        <x:v>0.7409</x:v>
      </x:c>
      <x:c r="E185" s="82" t="n">
        <x:v>79.75</x:v>
      </x:c>
      <x:c r="F185" s="82" t="s"/>
    </x:row>
    <x:row r="186" spans="1:13" x14ac:dyDescent="0.25">
      <x:c r="B186" s="82" t="n">
        <x:v>0.9765</x:v>
      </x:c>
      <x:c r="C186" s="82" t="n">
        <x:v>0.9981</x:v>
      </x:c>
      <x:c r="D186" s="82" t="n">
        <x:v>0.7409</x:v>
      </x:c>
      <x:c r="E186" s="82" t="n">
        <x:v>79.55</x:v>
      </x:c>
      <x:c r="F186" s="82" t="s"/>
    </x:row>
    <x:row r="187" spans="1:13" x14ac:dyDescent="0.25">
      <x:c r="B187" s="82" t="n">
        <x:v>0.9925</x:v>
      </x:c>
      <x:c r="C187" s="82" t="n">
        <x:v>1.002</x:v>
      </x:c>
      <x:c r="D187" s="82" t="n">
        <x:v>0.7409</x:v>
      </x:c>
      <x:c r="E187" s="82" t="n">
        <x:v>79.96</x:v>
      </x:c>
      <x:c r="F187" s="82" t="s"/>
    </x:row>
    <x:row r="188" spans="1:13" x14ac:dyDescent="0.25">
      <x:c r="B188" s="82" t="n">
        <x:v>1.0085</x:v>
      </x:c>
      <x:c r="C188" s="82" t="n">
        <x:v>0.9962</x:v>
      </x:c>
      <x:c r="D188" s="82" t="n">
        <x:v>0.7409</x:v>
      </x:c>
      <x:c r="E188" s="82" t="n">
        <x:v>79.81</x:v>
      </x:c>
      <x:c r="F188" s="82" t="s"/>
    </x:row>
    <x:row r="189" spans="1:13" x14ac:dyDescent="0.25">
      <x:c r="B189" s="82" t="n">
        <x:v>1.0245</x:v>
      </x:c>
      <x:c r="C189" s="82" t="n">
        <x:v>1.003</x:v>
      </x:c>
      <x:c r="D189" s="82" t="n">
        <x:v>0.7409</x:v>
      </x:c>
      <x:c r="E189" s="82" t="n">
        <x:v>79.94</x:v>
      </x:c>
      <x:c r="F189" s="82" t="s"/>
    </x:row>
    <x:row r="190" spans="1:13" x14ac:dyDescent="0.25">
      <x:c r="B190" s="82" t="n">
        <x:v>1.0405</x:v>
      </x:c>
      <x:c r="C190" s="82" t="n">
        <x:v>0.9965</x:v>
      </x:c>
      <x:c r="D190" s="82" t="n">
        <x:v>0.7214</x:v>
      </x:c>
      <x:c r="E190" s="82" t="n">
        <x:v>80.12</x:v>
      </x:c>
      <x:c r="F190" s="82" t="s"/>
    </x:row>
    <x:row r="191" spans="1:13" x14ac:dyDescent="0.25">
      <x:c r="B191" s="82" t="n">
        <x:v>1.0565</x:v>
      </x:c>
      <x:c r="C191" s="82" t="n">
        <x:v>1.001</x:v>
      </x:c>
      <x:c r="D191" s="82" t="n">
        <x:v>0.7214</x:v>
      </x:c>
      <x:c r="E191" s="82" t="n">
        <x:v>80.18</x:v>
      </x:c>
      <x:c r="F191" s="82" t="s"/>
    </x:row>
    <x:row r="192" spans="1:13" x14ac:dyDescent="0.25">
      <x:c r="B192" s="82" t="n">
        <x:v>1.0725</x:v>
      </x:c>
      <x:c r="C192" s="82" t="n">
        <x:v>0.9987</x:v>
      </x:c>
      <x:c r="D192" s="82" t="n">
        <x:v>0.7214</x:v>
      </x:c>
      <x:c r="E192" s="82" t="n">
        <x:v>80.36</x:v>
      </x:c>
      <x:c r="F192" s="82" t="s"/>
    </x:row>
    <x:row r="193" spans="1:13" x14ac:dyDescent="0.25">
      <x:c r="B193" s="82" t="n">
        <x:v>1.0885</x:v>
      </x:c>
      <x:c r="C193" s="82" t="n">
        <x:v>0.9988</x:v>
      </x:c>
      <x:c r="D193" s="82" t="n">
        <x:v>0.7214</x:v>
      </x:c>
      <x:c r="E193" s="82" t="n">
        <x:v>80.19</x:v>
      </x:c>
      <x:c r="F193" s="82" t="s"/>
    </x:row>
    <x:row r="194" spans="1:13" x14ac:dyDescent="0.25">
      <x:c r="B194" s="82" t="n">
        <x:v>1.1045</x:v>
      </x:c>
      <x:c r="C194" s="82" t="n">
        <x:v>1.003</x:v>
      </x:c>
      <x:c r="D194" s="82" t="n">
        <x:v>0.7214</x:v>
      </x:c>
      <x:c r="E194" s="82" t="n">
        <x:v>80.54</x:v>
      </x:c>
      <x:c r="F194" s="82" t="s"/>
    </x:row>
    <x:row r="195" spans="1:13" x14ac:dyDescent="0.25">
      <x:c r="B195" s="82" t="n">
        <x:v>1.1205</x:v>
      </x:c>
      <x:c r="C195" s="82" t="n">
        <x:v>0.9935</x:v>
      </x:c>
      <x:c r="D195" s="82" t="n">
        <x:v>0.7214</x:v>
      </x:c>
      <x:c r="E195" s="82" t="n">
        <x:v>80.41</x:v>
      </x:c>
      <x:c r="F195" s="82" t="s"/>
    </x:row>
    <x:row r="196" spans="1:13" x14ac:dyDescent="0.25">
      <x:c r="B196" s="82" t="n">
        <x:v>1.1365</x:v>
      </x:c>
      <x:c r="C196" s="82" t="n">
        <x:v>1.006</x:v>
      </x:c>
      <x:c r="D196" s="82" t="n">
        <x:v>0.7214</x:v>
      </x:c>
      <x:c r="E196" s="82" t="n">
        <x:v>80.55</x:v>
      </x:c>
      <x:c r="F196" s="82" t="s"/>
    </x:row>
    <x:row r="197" spans="1:13" x14ac:dyDescent="0.25">
      <x:c r="B197" s="82" t="n">
        <x:v>1.1525</x:v>
      </x:c>
      <x:c r="C197" s="82" t="n">
        <x:v>0.9944</x:v>
      </x:c>
      <x:c r="D197" s="82" t="n">
        <x:v>0.7214</x:v>
      </x:c>
      <x:c r="E197" s="82" t="n">
        <x:v>80.65</x:v>
      </x:c>
      <x:c r="F197" s="82" t="s"/>
    </x:row>
    <x:row r="198" spans="1:13" x14ac:dyDescent="0.25">
      <x:c r="B198" s="82" t="n">
        <x:v>1.1685</x:v>
      </x:c>
      <x:c r="C198" s="82" t="n">
        <x:v>1.001</x:v>
      </x:c>
      <x:c r="D198" s="82" t="n">
        <x:v>0.7214</x:v>
      </x:c>
      <x:c r="E198" s="82" t="n">
        <x:v>80.55</x:v>
      </x:c>
      <x:c r="F198" s="82" t="s"/>
    </x:row>
    <x:row r="199" spans="1:13" x14ac:dyDescent="0.25">
      <x:c r="B199" s="82" t="n">
        <x:v>1.1845</x:v>
      </x:c>
      <x:c r="C199" s="82" t="n">
        <x:v>1</x:v>
      </x:c>
      <x:c r="D199" s="82" t="n">
        <x:v>0.7214</x:v>
      </x:c>
      <x:c r="E199" s="82" t="n">
        <x:v>80.75</x:v>
      </x:c>
      <x:c r="F199" s="82" t="s"/>
    </x:row>
    <x:row r="200" spans="1:13" x14ac:dyDescent="0.25">
      <x:c r="B200" s="82" t="n">
        <x:v>1.2005</x:v>
      </x:c>
      <x:c r="C200" s="82" t="n">
        <x:v>0.9944</x:v>
      </x:c>
      <x:c r="D200" s="82" t="n">
        <x:v>0.7214</x:v>
      </x:c>
      <x:c r="E200" s="82" t="n">
        <x:v>80.76</x:v>
      </x:c>
      <x:c r="F200" s="82" t="s"/>
    </x:row>
    <x:row r="201" spans="1:13" x14ac:dyDescent="0.25">
      <x:c r="B201" s="82" t="n">
        <x:v>1.2165</x:v>
      </x:c>
      <x:c r="C201" s="82" t="n">
        <x:v>1.006</x:v>
      </x:c>
      <x:c r="D201" s="82" t="n">
        <x:v>0.7214</x:v>
      </x:c>
      <x:c r="E201" s="82" t="n">
        <x:v>80.82</x:v>
      </x:c>
      <x:c r="F201" s="82" t="s"/>
    </x:row>
    <x:row r="202" spans="1:13" x14ac:dyDescent="0.25">
      <x:c r="B202" s="82" t="n">
        <x:v>1.2325</x:v>
      </x:c>
      <x:c r="C202" s="82" t="n">
        <x:v>0.9936</x:v>
      </x:c>
      <x:c r="D202" s="82" t="n">
        <x:v>0.7214</x:v>
      </x:c>
      <x:c r="E202" s="82" t="n">
        <x:v>80.81</x:v>
      </x:c>
      <x:c r="F202" s="82" t="s"/>
    </x:row>
    <x:row r="203" spans="1:13" x14ac:dyDescent="0.25">
      <x:c r="B203" s="82" t="n">
        <x:v>1.2565</x:v>
      </x:c>
      <x:c r="C203" s="82" t="n">
        <x:v>1</x:v>
      </x:c>
      <x:c r="D203" s="82" t="n">
        <x:v>0.7214</x:v>
      </x:c>
      <x:c r="E203" s="82" t="n">
        <x:v>80.92</x:v>
      </x:c>
      <x:c r="F203" s="82" t="s"/>
    </x:row>
    <x:row r="204" spans="1:13" x14ac:dyDescent="0.25">
      <x:c r="B204" s="82" t="n">
        <x:v>1.2885</x:v>
      </x:c>
      <x:c r="C204" s="82" t="n">
        <x:v>1.002</x:v>
      </x:c>
      <x:c r="D204" s="82" t="n">
        <x:v>0.7214</x:v>
      </x:c>
      <x:c r="E204" s="82" t="n">
        <x:v>80.98</x:v>
      </x:c>
      <x:c r="F204" s="82" t="s"/>
    </x:row>
    <x:row r="205" spans="1:13" x14ac:dyDescent="0.25">
      <x:c r="B205" s="82" t="n">
        <x:v>1.3205</x:v>
      </x:c>
      <x:c r="C205" s="82" t="n">
        <x:v>1</x:v>
      </x:c>
      <x:c r="D205" s="82" t="n">
        <x:v>0.7103</x:v>
      </x:c>
      <x:c r="E205" s="82" t="n">
        <x:v>80.98</x:v>
      </x:c>
      <x:c r="F205" s="82" t="s"/>
    </x:row>
    <x:row r="206" spans="1:13" x14ac:dyDescent="0.25">
      <x:c r="B206" s="82" t="n">
        <x:v>1.3525</x:v>
      </x:c>
      <x:c r="C206" s="82" t="n">
        <x:v>0.9985</x:v>
      </x:c>
      <x:c r="D206" s="82" t="n">
        <x:v>0.7103</x:v>
      </x:c>
      <x:c r="E206" s="82" t="n">
        <x:v>81.11</x:v>
      </x:c>
      <x:c r="F206" s="82" t="s"/>
    </x:row>
    <x:row r="207" spans="1:13" x14ac:dyDescent="0.25">
      <x:c r="B207" s="82" t="n">
        <x:v>1.3845</x:v>
      </x:c>
      <x:c r="C207" s="82" t="n">
        <x:v>0.9986</x:v>
      </x:c>
      <x:c r="D207" s="82" t="n">
        <x:v>0.7103</x:v>
      </x:c>
      <x:c r="E207" s="82" t="n">
        <x:v>81.14</x:v>
      </x:c>
      <x:c r="F207" s="82" t="s"/>
    </x:row>
    <x:row r="208" spans="1:13" x14ac:dyDescent="0.25">
      <x:c r="B208" s="82" t="n">
        <x:v>1.4165</x:v>
      </x:c>
      <x:c r="C208" s="82" t="n">
        <x:v>0.9983</x:v>
      </x:c>
      <x:c r="D208" s="82" t="n">
        <x:v>0.7103</x:v>
      </x:c>
      <x:c r="E208" s="82" t="n">
        <x:v>81.21</x:v>
      </x:c>
      <x:c r="F208" s="82" t="s"/>
    </x:row>
    <x:row r="209" spans="1:13" x14ac:dyDescent="0.25">
      <x:c r="B209" s="82" t="n">
        <x:v>1.4485</x:v>
      </x:c>
      <x:c r="C209" s="82" t="n">
        <x:v>1.001</x:v>
      </x:c>
      <x:c r="D209" s="82" t="n">
        <x:v>0.7103</x:v>
      </x:c>
      <x:c r="E209" s="82" t="n">
        <x:v>81.21</x:v>
      </x:c>
      <x:c r="F209" s="82" t="s"/>
    </x:row>
    <x:row r="210" spans="1:13" x14ac:dyDescent="0.25">
      <x:c r="B210" s="82" t="n">
        <x:v>1.4805</x:v>
      </x:c>
      <x:c r="C210" s="82" t="n">
        <x:v>1.001</x:v>
      </x:c>
      <x:c r="D210" s="82" t="n">
        <x:v>0.7103</x:v>
      </x:c>
      <x:c r="E210" s="82" t="n">
        <x:v>81.22</x:v>
      </x:c>
      <x:c r="F210" s="82" t="s"/>
    </x:row>
    <x:row r="211" spans="1:13" x14ac:dyDescent="0.25">
      <x:c r="B211" s="82" t="n">
        <x:v>1.5125</x:v>
      </x:c>
      <x:c r="C211" s="82" t="n">
        <x:v>1.002</x:v>
      </x:c>
      <x:c r="D211" s="82" t="n">
        <x:v>0.7103</x:v>
      </x:c>
      <x:c r="E211" s="82" t="n">
        <x:v>81.2</x:v>
      </x:c>
      <x:c r="F211" s="82" t="s"/>
    </x:row>
    <x:row r="212" spans="1:13" x14ac:dyDescent="0.25">
      <x:c r="B212" s="82" t="n">
        <x:v>1.5445</x:v>
      </x:c>
      <x:c r="C212" s="82" t="n">
        <x:v>1</x:v>
      </x:c>
      <x:c r="D212" s="82" t="n">
        <x:v>0.6914</x:v>
      </x:c>
      <x:c r="E212" s="82" t="n">
        <x:v>81.22</x:v>
      </x:c>
      <x:c r="F212" s="82" t="s"/>
    </x:row>
    <x:row r="213" spans="1:13" x14ac:dyDescent="0.25">
      <x:c r="B213" s="82" t="n">
        <x:v>1.5765</x:v>
      </x:c>
      <x:c r="C213" s="82" t="n">
        <x:v>0.9987</x:v>
      </x:c>
      <x:c r="D213" s="82" t="n">
        <x:v>0.6914</x:v>
      </x:c>
      <x:c r="E213" s="82" t="n">
        <x:v>81.26</x:v>
      </x:c>
      <x:c r="F213" s="82" t="s"/>
    </x:row>
    <x:row r="214" spans="1:13" x14ac:dyDescent="0.25">
      <x:c r="B214" s="82" t="n">
        <x:v>1.6085</x:v>
      </x:c>
      <x:c r="C214" s="82" t="n">
        <x:v>0.9985</x:v>
      </x:c>
      <x:c r="D214" s="82" t="n">
        <x:v>0.6914</x:v>
      </x:c>
      <x:c r="E214" s="82" t="n">
        <x:v>81.28</x:v>
      </x:c>
      <x:c r="F214" s="82" t="s"/>
    </x:row>
    <x:row r="215" spans="1:13" x14ac:dyDescent="0.25">
      <x:c r="B215" s="82" t="n">
        <x:v>1.6405</x:v>
      </x:c>
      <x:c r="C215" s="82" t="n">
        <x:v>0.9998</x:v>
      </x:c>
      <x:c r="D215" s="82" t="n">
        <x:v>0.6914</x:v>
      </x:c>
      <x:c r="E215" s="82" t="n">
        <x:v>81.28</x:v>
      </x:c>
      <x:c r="F215" s="82" t="s"/>
    </x:row>
    <x:row r="216" spans="1:13" x14ac:dyDescent="0.25">
      <x:c r="B216" s="82" t="n">
        <x:v>1.6725</x:v>
      </x:c>
      <x:c r="C216" s="82" t="n">
        <x:v>0.9997</x:v>
      </x:c>
      <x:c r="D216" s="82" t="n">
        <x:v>0.6914</x:v>
      </x:c>
      <x:c r="E216" s="82" t="n">
        <x:v>81.23</x:v>
      </x:c>
      <x:c r="F216" s="82" t="s"/>
    </x:row>
    <x:row r="217" spans="1:13" x14ac:dyDescent="0.25">
      <x:c r="B217" s="82" t="n">
        <x:v>1.7045</x:v>
      </x:c>
      <x:c r="C217" s="82" t="n">
        <x:v>1.001</x:v>
      </x:c>
      <x:c r="D217" s="82" t="n">
        <x:v>0.6914</x:v>
      </x:c>
      <x:c r="E217" s="82" t="n">
        <x:v>81.22</x:v>
      </x:c>
      <x:c r="F217" s="82" t="s"/>
    </x:row>
    <x:row r="218" spans="1:13" x14ac:dyDescent="0.25">
      <x:c r="B218" s="82" t="n">
        <x:v>1.7365</x:v>
      </x:c>
      <x:c r="C218" s="82" t="n">
        <x:v>1.002</x:v>
      </x:c>
      <x:c r="D218" s="82" t="n">
        <x:v>0.6914</x:v>
      </x:c>
      <x:c r="E218" s="82" t="n">
        <x:v>81.11</x:v>
      </x:c>
      <x:c r="F218" s="82" t="s"/>
    </x:row>
    <x:row r="219" spans="1:13" x14ac:dyDescent="0.25">
      <x:c r="B219" s="82" t="n">
        <x:v>1.7685</x:v>
      </x:c>
      <x:c r="C219" s="82" t="n">
        <x:v>1</x:v>
      </x:c>
      <x:c r="D219" s="82" t="n">
        <x:v>0.6914</x:v>
      </x:c>
      <x:c r="E219" s="82" t="n">
        <x:v>81.1</x:v>
      </x:c>
      <x:c r="F219" s="82" t="s"/>
    </x:row>
    <x:row r="220" spans="1:13" x14ac:dyDescent="0.25">
      <x:c r="B220" s="82" t="n">
        <x:v>1.8005</x:v>
      </x:c>
      <x:c r="C220" s="82" t="n">
        <x:v>0.999</x:v>
      </x:c>
      <x:c r="D220" s="82" t="n">
        <x:v>0.6768</x:v>
      </x:c>
      <x:c r="E220" s="82" t="n">
        <x:v>81.14</x:v>
      </x:c>
      <x:c r="F220" s="82" t="s"/>
    </x:row>
    <x:row r="221" spans="1:13" x14ac:dyDescent="0.25">
      <x:c r="B221" s="82" t="n">
        <x:v>1.8325</x:v>
      </x:c>
      <x:c r="C221" s="82" t="n">
        <x:v>0.9999</x:v>
      </x:c>
      <x:c r="D221" s="82" t="n">
        <x:v>0.6768</x:v>
      </x:c>
      <x:c r="E221" s="82" t="n">
        <x:v>81.14</x:v>
      </x:c>
      <x:c r="F221" s="82" t="s"/>
    </x:row>
    <x:row r="222" spans="1:13" x14ac:dyDescent="0.25">
      <x:c r="B222" s="82" t="n">
        <x:v>1.8645</x:v>
      </x:c>
      <x:c r="C222" s="82" t="n">
        <x:v>1</x:v>
      </x:c>
      <x:c r="D222" s="82" t="n">
        <x:v>0.6768</x:v>
      </x:c>
      <x:c r="E222" s="82" t="n">
        <x:v>81.17</x:v>
      </x:c>
      <x:c r="F222" s="82" t="s"/>
    </x:row>
    <x:row r="223" spans="1:13" x14ac:dyDescent="0.25">
      <x:c r="B223" s="82" t="n">
        <x:v>1.8965</x:v>
      </x:c>
      <x:c r="C223" s="82" t="n">
        <x:v>1.001</x:v>
      </x:c>
      <x:c r="D223" s="82" t="n">
        <x:v>0.6768</x:v>
      </x:c>
      <x:c r="E223" s="82" t="n">
        <x:v>81.07</x:v>
      </x:c>
      <x:c r="F223" s="82" t="s"/>
    </x:row>
    <x:row r="224" spans="1:13" x14ac:dyDescent="0.25">
      <x:c r="B224" s="82" t="n">
        <x:v>1.9285</x:v>
      </x:c>
      <x:c r="C224" s="82" t="n">
        <x:v>1.001</x:v>
      </x:c>
      <x:c r="D224" s="82" t="n">
        <x:v>0.6768</x:v>
      </x:c>
      <x:c r="E224" s="82" t="n">
        <x:v>81.02</x:v>
      </x:c>
      <x:c r="F224" s="82" t="s"/>
    </x:row>
    <x:row r="225" spans="1:13" x14ac:dyDescent="0.25">
      <x:c r="B225" s="82" t="n">
        <x:v>1.9605</x:v>
      </x:c>
      <x:c r="C225" s="82" t="n">
        <x:v>1.001</x:v>
      </x:c>
      <x:c r="D225" s="82" t="n">
        <x:v>0.6768</x:v>
      </x:c>
      <x:c r="E225" s="82" t="n">
        <x:v>80.96</x:v>
      </x:c>
      <x:c r="F225" s="82" t="s"/>
    </x:row>
    <x:row r="226" spans="1:13" x14ac:dyDescent="0.25">
      <x:c r="B226" s="82" t="n">
        <x:v>1.9925</x:v>
      </x:c>
      <x:c r="C226" s="82" t="n">
        <x:v>0.9977</x:v>
      </x:c>
      <x:c r="D226" s="82" t="n">
        <x:v>0.6768</x:v>
      </x:c>
      <x:c r="E226" s="82" t="n">
        <x:v>80.99</x:v>
      </x:c>
      <x:c r="F226" s="82" t="s"/>
    </x:row>
    <x:row r="227" spans="1:13" x14ac:dyDescent="0.25">
      <x:c r="B227" s="82" t="n">
        <x:v>2.0245</x:v>
      </x:c>
      <x:c r="C227" s="82" t="n">
        <x:v>0.9992</x:v>
      </x:c>
      <x:c r="D227" s="82" t="n">
        <x:v>0.6768</x:v>
      </x:c>
      <x:c r="E227" s="82" t="n">
        <x:v>80.99</x:v>
      </x:c>
      <x:c r="F227" s="82" t="s"/>
    </x:row>
    <x:row r="228" spans="1:13" x14ac:dyDescent="0.25">
      <x:c r="B228" s="82" t="n">
        <x:v>2.0565</x:v>
      </x:c>
      <x:c r="C228" s="82" t="n">
        <x:v>1</x:v>
      </x:c>
      <x:c r="D228" s="82" t="n">
        <x:v>0.6683</x:v>
      </x:c>
      <x:c r="E228" s="82" t="n">
        <x:v>80.93</x:v>
      </x:c>
      <x:c r="F228" s="82" t="s"/>
    </x:row>
    <x:row r="229" spans="1:13" x14ac:dyDescent="0.25">
      <x:c r="B229" s="82" t="n">
        <x:v>2.0885</x:v>
      </x:c>
      <x:c r="C229" s="82" t="n">
        <x:v>1.001</x:v>
      </x:c>
      <x:c r="D229" s="82" t="n">
        <x:v>0.6683</x:v>
      </x:c>
      <x:c r="E229" s="82" t="n">
        <x:v>80.94</x:v>
      </x:c>
      <x:c r="F229" s="82" t="s"/>
    </x:row>
    <x:row r="230" spans="1:13" x14ac:dyDescent="0.25">
      <x:c r="B230" s="82" t="n">
        <x:v>2.1205</x:v>
      </x:c>
      <x:c r="C230" s="82" t="n">
        <x:v>1.001</x:v>
      </x:c>
      <x:c r="D230" s="82" t="n">
        <x:v>0.6683</x:v>
      </x:c>
      <x:c r="E230" s="82" t="n">
        <x:v>80.84</x:v>
      </x:c>
      <x:c r="F230" s="82" t="s"/>
    </x:row>
    <x:row r="231" spans="1:13" x14ac:dyDescent="0.25">
      <x:c r="B231" s="82" t="n">
        <x:v>2.1525</x:v>
      </x:c>
      <x:c r="C231" s="82" t="n">
        <x:v>1</x:v>
      </x:c>
      <x:c r="D231" s="82" t="n">
        <x:v>0.6683</x:v>
      </x:c>
      <x:c r="E231" s="82" t="n">
        <x:v>80.86</x:v>
      </x:c>
      <x:c r="F231" s="82" t="s"/>
    </x:row>
    <x:row r="232" spans="1:13" x14ac:dyDescent="0.25">
      <x:c r="B232" s="82" t="n">
        <x:v>2.1845</x:v>
      </x:c>
      <x:c r="C232" s="82" t="n">
        <x:v>0.9999</x:v>
      </x:c>
      <x:c r="D232" s="82" t="n">
        <x:v>0.6683</x:v>
      </x:c>
      <x:c r="E232" s="82" t="n">
        <x:v>80.77</x:v>
      </x:c>
      <x:c r="F232" s="82" t="s"/>
    </x:row>
    <x:row r="233" spans="1:13" x14ac:dyDescent="0.25">
      <x:c r="B233" s="82" t="n">
        <x:v>2.2165</x:v>
      </x:c>
      <x:c r="C233" s="82" t="n">
        <x:v>0.9983</x:v>
      </x:c>
      <x:c r="D233" s="82" t="n">
        <x:v>0.6683</x:v>
      </x:c>
      <x:c r="E233" s="82" t="n">
        <x:v>80.8</x:v>
      </x:c>
      <x:c r="F233" s="82" t="s"/>
    </x:row>
    <x:row r="234" spans="1:13" x14ac:dyDescent="0.25">
      <x:c r="B234" s="82" t="n">
        <x:v>2.2485</x:v>
      </x:c>
      <x:c r="C234" s="82" t="n">
        <x:v>0.9998</x:v>
      </x:c>
      <x:c r="D234" s="82" t="n">
        <x:v>0.6683</x:v>
      </x:c>
      <x:c r="E234" s="82" t="n">
        <x:v>80.74</x:v>
      </x:c>
      <x:c r="F234" s="82" t="s"/>
    </x:row>
    <x:row r="235" spans="1:13" x14ac:dyDescent="0.25">
      <x:c r="B235" s="82" t="n">
        <x:v>2.2805</x:v>
      </x:c>
      <x:c r="C235" s="82" t="n">
        <x:v>1.001</x:v>
      </x:c>
      <x:c r="D235" s="82" t="n">
        <x:v>0.6683</x:v>
      </x:c>
      <x:c r="E235" s="82" t="n">
        <x:v>80.67</x:v>
      </x:c>
      <x:c r="F235" s="82" t="s"/>
    </x:row>
    <x:row r="236" spans="1:13" x14ac:dyDescent="0.25">
      <x:c r="B236" s="82" t="n">
        <x:v>2.3125</x:v>
      </x:c>
      <x:c r="C236" s="82" t="n">
        <x:v>1.002</x:v>
      </x:c>
      <x:c r="D236" s="82" t="n">
        <x:v>0.6531</x:v>
      </x:c>
      <x:c r="E236" s="82" t="n">
        <x:v>80.67</x:v>
      </x:c>
      <x:c r="F236" s="82" t="s"/>
    </x:row>
    <x:row r="237" spans="1:13" x14ac:dyDescent="0.25">
      <x:c r="B237" s="82" t="n">
        <x:v>2.3445</x:v>
      </x:c>
      <x:c r="C237" s="82" t="n">
        <x:v>1</x:v>
      </x:c>
      <x:c r="D237" s="82" t="n">
        <x:v>0.6531</x:v>
      </x:c>
      <x:c r="E237" s="82" t="n">
        <x:v>80.64</x:v>
      </x:c>
      <x:c r="F237" s="82" t="s"/>
    </x:row>
    <x:row r="238" spans="1:13" x14ac:dyDescent="0.25">
      <x:c r="B238" s="82" t="n">
        <x:v>2.3765</x:v>
      </x:c>
      <x:c r="C238" s="82" t="n">
        <x:v>1</x:v>
      </x:c>
      <x:c r="D238" s="82" t="n">
        <x:v>0.6531</x:v>
      </x:c>
      <x:c r="E238" s="82" t="n">
        <x:v>80.58</x:v>
      </x:c>
      <x:c r="F238" s="82" t="s"/>
    </x:row>
    <x:row r="239" spans="1:13" x14ac:dyDescent="0.25">
      <x:c r="B239" s="82" t="n">
        <x:v>2.4085</x:v>
      </x:c>
      <x:c r="C239" s="82" t="n">
        <x:v>0.9977</x:v>
      </x:c>
      <x:c r="D239" s="82" t="n">
        <x:v>0.6531</x:v>
      </x:c>
      <x:c r="E239" s="82" t="n">
        <x:v>80.56</x:v>
      </x:c>
      <x:c r="F239" s="82" t="s"/>
    </x:row>
    <x:row r="240" spans="1:13" x14ac:dyDescent="0.25">
      <x:c r="B240" s="82" t="n">
        <x:v>2.4405</x:v>
      </x:c>
      <x:c r="C240" s="82" t="n">
        <x:v>0.9987</x:v>
      </x:c>
      <x:c r="D240" s="82" t="n">
        <x:v>0.6531</x:v>
      </x:c>
      <x:c r="E240" s="82" t="n">
        <x:v>80.62</x:v>
      </x:c>
      <x:c r="F240" s="82" t="s"/>
    </x:row>
    <x:row r="241" spans="1:13" x14ac:dyDescent="0.25">
      <x:c r="B241" s="82" t="n">
        <x:v>2.4725</x:v>
      </x:c>
      <x:c r="C241" s="82" t="n">
        <x:v>1.001</x:v>
      </x:c>
      <x:c r="D241" s="82" t="n">
        <x:v>0.6531</x:v>
      </x:c>
      <x:c r="E241" s="82" t="n">
        <x:v>80.49</x:v>
      </x:c>
      <x:c r="F241" s="82" t="s"/>
    </x:row>
    <x:row r="242" spans="1:13" x14ac:dyDescent="0.25">
      <x:c r="B242" s="82" t="n">
        <x:v>2.5045</x:v>
      </x:c>
      <x:c r="C242" s="82" t="n">
        <x:v>1</x:v>
      </x:c>
      <x:c r="D242" s="82" t="n">
        <x:v>0.6531</x:v>
      </x:c>
      <x:c r="E242" s="82" t="n">
        <x:v>80.51</x:v>
      </x:c>
      <x:c r="F242" s="82" t="s"/>
    </x:row>
    <x:row r="243" spans="1:13" x14ac:dyDescent="0.25">
      <x:c r="B243" s="82" t="n">
        <x:v>2.5525</x:v>
      </x:c>
      <x:c r="C243" s="82" t="n">
        <x:v>1.001</x:v>
      </x:c>
      <x:c r="D243" s="82" t="n">
        <x:v>0.6418</x:v>
      </x:c>
      <x:c r="E243" s="82" t="n">
        <x:v>80.43</x:v>
      </x:c>
      <x:c r="F243" s="82" t="s"/>
    </x:row>
    <x:row r="244" spans="1:13" x14ac:dyDescent="0.25">
      <x:c r="B244" s="82" t="n">
        <x:v>2.6165</x:v>
      </x:c>
      <x:c r="C244" s="82" t="n">
        <x:v>0.9996</x:v>
      </x:c>
      <x:c r="D244" s="82" t="n">
        <x:v>0.6418</x:v>
      </x:c>
      <x:c r="E244" s="82" t="n">
        <x:v>80.41</x:v>
      </x:c>
      <x:c r="F244" s="82" t="s"/>
    </x:row>
    <x:row r="245" spans="1:13" x14ac:dyDescent="0.25">
      <x:c r="B245" s="82" t="n">
        <x:v>2.6805</x:v>
      </x:c>
      <x:c r="C245" s="82" t="n">
        <x:v>1.001</x:v>
      </x:c>
      <x:c r="D245" s="82" t="n">
        <x:v>0.6418</x:v>
      </x:c>
      <x:c r="E245" s="82" t="n">
        <x:v>80.35</x:v>
      </x:c>
      <x:c r="F245" s="82" t="s"/>
    </x:row>
    <x:row r="246" spans="1:13" x14ac:dyDescent="0.25">
      <x:c r="B246" s="82" t="n">
        <x:v>2.7445</x:v>
      </x:c>
      <x:c r="C246" s="82" t="n">
        <x:v>1</x:v>
      </x:c>
      <x:c r="D246" s="82" t="n">
        <x:v>0.6418</x:v>
      </x:c>
      <x:c r="E246" s="82" t="n">
        <x:v>80.26</x:v>
      </x:c>
      <x:c r="F246" s="82" t="s"/>
    </x:row>
    <x:row r="247" spans="1:13" x14ac:dyDescent="0.25">
      <x:c r="B247" s="82" t="n">
        <x:v>2.8085</x:v>
      </x:c>
      <x:c r="C247" s="82" t="n">
        <x:v>0.9989</x:v>
      </x:c>
      <x:c r="D247" s="82" t="n">
        <x:v>0.6357</x:v>
      </x:c>
      <x:c r="E247" s="82" t="n">
        <x:v>80.21</x:v>
      </x:c>
      <x:c r="F247" s="82" t="s"/>
    </x:row>
    <x:row r="248" spans="1:13" x14ac:dyDescent="0.25">
      <x:c r="B248" s="82" t="n">
        <x:v>2.8725</x:v>
      </x:c>
      <x:c r="C248" s="82" t="n">
        <x:v>1</x:v>
      </x:c>
      <x:c r="D248" s="82" t="n">
        <x:v>0.6357</x:v>
      </x:c>
      <x:c r="E248" s="82" t="n">
        <x:v>80.19</x:v>
      </x:c>
      <x:c r="F248" s="82" t="s"/>
    </x:row>
    <x:row r="249" spans="1:13" x14ac:dyDescent="0.25">
      <x:c r="B249" s="82" t="n">
        <x:v>2.9365</x:v>
      </x:c>
      <x:c r="C249" s="82" t="n">
        <x:v>1.001</x:v>
      </x:c>
      <x:c r="D249" s="82" t="n">
        <x:v>0.6357</x:v>
      </x:c>
      <x:c r="E249" s="82" t="n">
        <x:v>80.1</x:v>
      </x:c>
      <x:c r="F249" s="82" t="s"/>
    </x:row>
    <x:row r="250" spans="1:13" x14ac:dyDescent="0.25">
      <x:c r="B250" s="82" t="n">
        <x:v>3.0005</x:v>
      </x:c>
      <x:c r="C250" s="82" t="n">
        <x:v>0.9993</x:v>
      </x:c>
      <x:c r="D250" s="82" t="n">
        <x:v>0.6357</x:v>
      </x:c>
      <x:c r="E250" s="82" t="n">
        <x:v>80.07</x:v>
      </x:c>
      <x:c r="F250" s="82" t="s"/>
    </x:row>
    <x:row r="251" spans="1:13" x14ac:dyDescent="0.25">
      <x:c r="B251" s="82" t="n">
        <x:v>3.0645</x:v>
      </x:c>
      <x:c r="C251" s="82" t="n">
        <x:v>0.9998</x:v>
      </x:c>
      <x:c r="D251" s="82" t="n">
        <x:v>0.6274</x:v>
      </x:c>
      <x:c r="E251" s="82" t="n">
        <x:v>80.07</x:v>
      </x:c>
      <x:c r="F251" s="82" t="s"/>
    </x:row>
    <x:row r="252" spans="1:13" x14ac:dyDescent="0.25">
      <x:c r="B252" s="82" t="n">
        <x:v>3.1285</x:v>
      </x:c>
      <x:c r="C252" s="82" t="n">
        <x:v>1.001</x:v>
      </x:c>
      <x:c r="D252" s="82" t="n">
        <x:v>0.6274</x:v>
      </x:c>
      <x:c r="E252" s="82" t="n">
        <x:v>79.96</x:v>
      </x:c>
      <x:c r="F252" s="82" t="s"/>
    </x:row>
    <x:row r="253" spans="1:13" x14ac:dyDescent="0.25">
      <x:c r="B253" s="82" t="n">
        <x:v>3.1925</x:v>
      </x:c>
      <x:c r="C253" s="82" t="n">
        <x:v>1</x:v>
      </x:c>
      <x:c r="D253" s="82" t="n">
        <x:v>0.6274</x:v>
      </x:c>
      <x:c r="E253" s="82" t="n">
        <x:v>79.91</x:v>
      </x:c>
      <x:c r="F253" s="82" t="s"/>
    </x:row>
    <x:row r="254" spans="1:13" x14ac:dyDescent="0.25">
      <x:c r="B254" s="82" t="n">
        <x:v>3.2565</x:v>
      </x:c>
      <x:c r="C254" s="82" t="n">
        <x:v>0.9992</x:v>
      </x:c>
      <x:c r="D254" s="82" t="n">
        <x:v>0.6196</x:v>
      </x:c>
      <x:c r="E254" s="82" t="n">
        <x:v>79.87</x:v>
      </x:c>
      <x:c r="F254" s="82" t="s"/>
    </x:row>
    <x:row r="255" spans="1:13" x14ac:dyDescent="0.25">
      <x:c r="B255" s="82" t="n">
        <x:v>3.3205</x:v>
      </x:c>
      <x:c r="C255" s="82" t="n">
        <x:v>1.001</x:v>
      </x:c>
      <x:c r="D255" s="82" t="n">
        <x:v>0.6196</x:v>
      </x:c>
      <x:c r="E255" s="82" t="n">
        <x:v>79.72</x:v>
      </x:c>
      <x:c r="F255" s="82" t="s"/>
    </x:row>
    <x:row r="256" spans="1:13" x14ac:dyDescent="0.25">
      <x:c r="B256" s="82" t="n">
        <x:v>3.3845</x:v>
      </x:c>
      <x:c r="C256" s="82" t="n">
        <x:v>1</x:v>
      </x:c>
      <x:c r="D256" s="82" t="n">
        <x:v>0.6196</x:v>
      </x:c>
      <x:c r="E256" s="82" t="n">
        <x:v>79.69</x:v>
      </x:c>
      <x:c r="F256" s="82" t="s"/>
    </x:row>
    <x:row r="257" spans="1:13" x14ac:dyDescent="0.25">
      <x:c r="B257" s="82" t="n">
        <x:v>3.4485</x:v>
      </x:c>
      <x:c r="C257" s="82" t="n">
        <x:v>0.9999</x:v>
      </x:c>
      <x:c r="D257" s="82" t="n">
        <x:v>0.6196</x:v>
      </x:c>
      <x:c r="E257" s="82" t="n">
        <x:v>79.68</x:v>
      </x:c>
      <x:c r="F257" s="82" t="s"/>
    </x:row>
    <x:row r="258" spans="1:13" x14ac:dyDescent="0.25">
      <x:c r="B258" s="82" t="n">
        <x:v>3.5125</x:v>
      </x:c>
      <x:c r="C258" s="82" t="n">
        <x:v>1.001</x:v>
      </x:c>
      <x:c r="D258" s="82" t="n">
        <x:v>0.6191</x:v>
      </x:c>
      <x:c r="E258" s="82" t="n">
        <x:v>79.59</x:v>
      </x:c>
      <x:c r="F258" s="82" t="s"/>
    </x:row>
    <x:row r="259" spans="1:13" x14ac:dyDescent="0.25">
      <x:c r="B259" s="82" t="n">
        <x:v>3.5765</x:v>
      </x:c>
      <x:c r="C259" s="82" t="n">
        <x:v>0.9997</x:v>
      </x:c>
      <x:c r="D259" s="82" t="n">
        <x:v>0.6191</x:v>
      </x:c>
      <x:c r="E259" s="82" t="n">
        <x:v>79.5</x:v>
      </x:c>
      <x:c r="F259" s="82" t="s"/>
    </x:row>
    <x:row r="260" spans="1:13" x14ac:dyDescent="0.25">
      <x:c r="B260" s="82" t="n">
        <x:v>3.6405</x:v>
      </x:c>
      <x:c r="C260" s="82" t="n">
        <x:v>0.9992</x:v>
      </x:c>
      <x:c r="D260" s="82" t="n">
        <x:v>0.6191</x:v>
      </x:c>
      <x:c r="E260" s="82" t="n">
        <x:v>79.48</x:v>
      </x:c>
      <x:c r="F260" s="82" t="s"/>
    </x:row>
    <x:row r="261" spans="1:13" x14ac:dyDescent="0.25">
      <x:c r="B261" s="82" t="n">
        <x:v>3.7045</x:v>
      </x:c>
      <x:c r="C261" s="82" t="n">
        <x:v>1.002</x:v>
      </x:c>
      <x:c r="D261" s="82" t="n">
        <x:v>0.6191</x:v>
      </x:c>
      <x:c r="E261" s="82" t="n">
        <x:v>79.43</x:v>
      </x:c>
      <x:c r="F261" s="82" t="s"/>
    </x:row>
    <x:row r="262" spans="1:13" x14ac:dyDescent="0.25">
      <x:c r="B262" s="82" t="n">
        <x:v>3.7685</x:v>
      </x:c>
      <x:c r="C262" s="82" t="n">
        <x:v>0.9998</x:v>
      </x:c>
      <x:c r="D262" s="82" t="n">
        <x:v>0.6147</x:v>
      </x:c>
      <x:c r="E262" s="82" t="n">
        <x:v>79.35</x:v>
      </x:c>
      <x:c r="F262" s="82" t="s"/>
    </x:row>
    <x:row r="263" spans="1:13" x14ac:dyDescent="0.25">
      <x:c r="B263" s="82" t="n">
        <x:v>3.8325</x:v>
      </x:c>
      <x:c r="C263" s="82" t="n">
        <x:v>0.9993</x:v>
      </x:c>
      <x:c r="D263" s="82" t="n">
        <x:v>0.6147</x:v>
      </x:c>
      <x:c r="E263" s="82" t="n">
        <x:v>79.35</x:v>
      </x:c>
      <x:c r="F263" s="82" t="s"/>
    </x:row>
    <x:row r="264" spans="1:13" x14ac:dyDescent="0.25">
      <x:c r="B264" s="82" t="n">
        <x:v>3.8965</x:v>
      </x:c>
      <x:c r="C264" s="82" t="n">
        <x:v>1.001</x:v>
      </x:c>
      <x:c r="D264" s="82" t="n">
        <x:v>0.6147</x:v>
      </x:c>
      <x:c r="E264" s="82" t="n">
        <x:v>79.34</x:v>
      </x:c>
      <x:c r="F264" s="82" t="s"/>
    </x:row>
    <x:row r="265" spans="1:13" x14ac:dyDescent="0.25">
      <x:c r="B265" s="82" t="n">
        <x:v>3.9605</x:v>
      </x:c>
      <x:c r="C265" s="82" t="n">
        <x:v>1</x:v>
      </x:c>
      <x:c r="D265" s="82" t="n">
        <x:v>0.6147</x:v>
      </x:c>
      <x:c r="E265" s="82" t="n">
        <x:v>79.27</x:v>
      </x:c>
      <x:c r="F265" s="82" t="s"/>
    </x:row>
    <x:row r="266" spans="1:13" x14ac:dyDescent="0.25">
      <x:c r="B266" s="82" t="n">
        <x:v>4.0245</x:v>
      </x:c>
      <x:c r="C266" s="82" t="n">
        <x:v>0.999</x:v>
      </x:c>
      <x:c r="D266" s="82" t="n">
        <x:v>0.61</x:v>
      </x:c>
      <x:c r="E266" s="82" t="n">
        <x:v>79.24</x:v>
      </x:c>
      <x:c r="F266" s="82" t="s"/>
    </x:row>
    <x:row r="267" spans="1:13" x14ac:dyDescent="0.25">
      <x:c r="B267" s="82" t="n">
        <x:v>4.0885</x:v>
      </x:c>
      <x:c r="C267" s="82" t="n">
        <x:v>0.9997</x:v>
      </x:c>
      <x:c r="D267" s="82" t="n">
        <x:v>0.61</x:v>
      </x:c>
      <x:c r="E267" s="82" t="n">
        <x:v>79.19</x:v>
      </x:c>
      <x:c r="F267" s="82" t="s"/>
    </x:row>
    <x:row r="268" spans="1:13" x14ac:dyDescent="0.25">
      <x:c r="B268" s="82" t="n">
        <x:v>4.1525</x:v>
      </x:c>
      <x:c r="C268" s="82" t="n">
        <x:v>1.001</x:v>
      </x:c>
      <x:c r="D268" s="82" t="n">
        <x:v>0.61</x:v>
      </x:c>
      <x:c r="E268" s="82" t="n">
        <x:v>79.09</x:v>
      </x:c>
      <x:c r="F268" s="82" t="s"/>
    </x:row>
    <x:row r="269" spans="1:13" x14ac:dyDescent="0.25">
      <x:c r="B269" s="82" t="n">
        <x:v>4.2165</x:v>
      </x:c>
      <x:c r="C269" s="82" t="n">
        <x:v>1</x:v>
      </x:c>
      <x:c r="D269" s="82" t="n">
        <x:v>0.61</x:v>
      </x:c>
      <x:c r="E269" s="82" t="n">
        <x:v>79.07</x:v>
      </x:c>
      <x:c r="F269" s="82" t="s"/>
    </x:row>
    <x:row r="270" spans="1:13" x14ac:dyDescent="0.25">
      <x:c r="B270" s="82" t="n">
        <x:v>4.2805</x:v>
      </x:c>
      <x:c r="C270" s="82" t="n">
        <x:v>0.9994</x:v>
      </x:c>
      <x:c r="D270" s="82" t="n">
        <x:v>0.603</x:v>
      </x:c>
      <x:c r="E270" s="82" t="n">
        <x:v>79.14</x:v>
      </x:c>
      <x:c r="F270" s="82" t="s"/>
    </x:row>
    <x:row r="271" spans="1:13" x14ac:dyDescent="0.25">
      <x:c r="B271" s="82" t="n">
        <x:v>4.3445</x:v>
      </x:c>
      <x:c r="C271" s="82" t="n">
        <x:v>1.001</x:v>
      </x:c>
      <x:c r="D271" s="82" t="n">
        <x:v>0.603</x:v>
      </x:c>
      <x:c r="E271" s="82" t="n">
        <x:v>79.02</x:v>
      </x:c>
      <x:c r="F271" s="82" t="s"/>
    </x:row>
    <x:row r="272" spans="1:13" x14ac:dyDescent="0.25">
      <x:c r="B272" s="82" t="n">
        <x:v>4.4085</x:v>
      </x:c>
      <x:c r="C272" s="82" t="n">
        <x:v>0.9999</x:v>
      </x:c>
      <x:c r="D272" s="82" t="n">
        <x:v>0.603</x:v>
      </x:c>
      <x:c r="E272" s="82" t="n">
        <x:v>78.94</x:v>
      </x:c>
      <x:c r="F272" s="82" t="s"/>
    </x:row>
    <x:row r="273" spans="1:13" x14ac:dyDescent="0.25">
      <x:c r="B273" s="82" t="n">
        <x:v>4.4725</x:v>
      </x:c>
      <x:c r="C273" s="82" t="n">
        <x:v>0.9997</x:v>
      </x:c>
      <x:c r="D273" s="82" t="n">
        <x:v>0.603</x:v>
      </x:c>
      <x:c r="E273" s="82" t="n">
        <x:v>78.93</x:v>
      </x:c>
      <x:c r="F273" s="82" t="s"/>
    </x:row>
    <x:row r="274" spans="1:13" x14ac:dyDescent="0.25">
      <x:c r="B274" s="82" t="n">
        <x:v>4.5365</x:v>
      </x:c>
      <x:c r="C274" s="82" t="n">
        <x:v>1.001</x:v>
      </x:c>
      <x:c r="D274" s="82" t="n">
        <x:v>0.5952</x:v>
      </x:c>
      <x:c r="E274" s="82" t="n">
        <x:v>78.85</x:v>
      </x:c>
      <x:c r="F274" s="82" t="s"/>
    </x:row>
    <x:row r="275" spans="1:13" x14ac:dyDescent="0.25">
      <x:c r="B275" s="82" t="n">
        <x:v>4.6005</x:v>
      </x:c>
      <x:c r="C275" s="82" t="n">
        <x:v>0.9996</x:v>
      </x:c>
      <x:c r="D275" s="82" t="n">
        <x:v>0.5952</x:v>
      </x:c>
      <x:c r="E275" s="82" t="n">
        <x:v>78.83</x:v>
      </x:c>
      <x:c r="F275" s="82" t="s"/>
    </x:row>
    <x:row r="276" spans="1:13" x14ac:dyDescent="0.25">
      <x:c r="B276" s="82" t="n">
        <x:v>4.6645</x:v>
      </x:c>
      <x:c r="C276" s="82" t="n">
        <x:v>0.999</x:v>
      </x:c>
      <x:c r="D276" s="82" t="n">
        <x:v>0.5952</x:v>
      </x:c>
      <x:c r="E276" s="82" t="n">
        <x:v>78.82</x:v>
      </x:c>
      <x:c r="F276" s="82" t="s"/>
    </x:row>
    <x:row r="277" spans="1:13" x14ac:dyDescent="0.25">
      <x:c r="B277" s="82" t="n">
        <x:v>4.7285</x:v>
      </x:c>
      <x:c r="C277" s="82" t="n">
        <x:v>1.001</x:v>
      </x:c>
      <x:c r="D277" s="82" t="n">
        <x:v>0.5948</x:v>
      </x:c>
      <x:c r="E277" s="82" t="n">
        <x:v>78.76</x:v>
      </x:c>
      <x:c r="F277" s="82" t="s"/>
    </x:row>
    <x:row r="278" spans="1:13" x14ac:dyDescent="0.25">
      <x:c r="B278" s="82" t="n">
        <x:v>4.7925</x:v>
      </x:c>
      <x:c r="C278" s="82" t="n">
        <x:v>1</x:v>
      </x:c>
      <x:c r="D278" s="82" t="n">
        <x:v>0.5948</x:v>
      </x:c>
      <x:c r="E278" s="82" t="n">
        <x:v>78.75</x:v>
      </x:c>
      <x:c r="F278" s="82" t="s"/>
    </x:row>
    <x:row r="279" spans="1:13" x14ac:dyDescent="0.25">
      <x:c r="B279" s="82" t="n">
        <x:v>4.8565</x:v>
      </x:c>
      <x:c r="C279" s="82" t="n">
        <x:v>0.9984</x:v>
      </x:c>
      <x:c r="D279" s="82" t="n">
        <x:v>0.5948</x:v>
      </x:c>
      <x:c r="E279" s="82" t="n">
        <x:v>78.78</x:v>
      </x:c>
      <x:c r="F279" s="82" t="s"/>
    </x:row>
    <x:row r="280" spans="1:13" x14ac:dyDescent="0.25">
      <x:c r="B280" s="82" t="n">
        <x:v>4.9205</x:v>
      </x:c>
      <x:c r="C280" s="82" t="n">
        <x:v>1</x:v>
      </x:c>
      <x:c r="D280" s="82" t="n">
        <x:v>0.5948</x:v>
      </x:c>
      <x:c r="E280" s="82" t="n">
        <x:v>78.75</x:v>
      </x:c>
      <x:c r="F280" s="82" t="s"/>
    </x:row>
    <x:row r="281" spans="1:13" x14ac:dyDescent="0.25">
      <x:c r="B281" s="82" t="n">
        <x:v>4.9845</x:v>
      </x:c>
      <x:c r="C281" s="82" t="n">
        <x:v>1.001</x:v>
      </x:c>
      <x:c r="D281" s="82" t="n">
        <x:v>0.587</x:v>
      </x:c>
      <x:c r="E281" s="82" t="n">
        <x:v>78.71</x:v>
      </x:c>
      <x:c r="F281" s="82" t="s"/>
    </x:row>
    <x:row r="282" spans="1:13" x14ac:dyDescent="0.25">
      <x:c r="B282" s="82" t="n">
        <x:v>5.0485</x:v>
      </x:c>
      <x:c r="C282" s="82" t="n">
        <x:v>0.9991</x:v>
      </x:c>
      <x:c r="D282" s="82" t="n">
        <x:v>0.587</x:v>
      </x:c>
      <x:c r="E282" s="82" t="n">
        <x:v>78.73</x:v>
      </x:c>
      <x:c r="F282" s="82" t="s"/>
    </x:row>
    <x:row r="283" spans="1:13" x14ac:dyDescent="0.25">
      <x:c r="B283" s="82" t="n">
        <x:v>5.1445</x:v>
      </x:c>
      <x:c r="C283" s="82" t="n">
        <x:v>1</x:v>
      </x:c>
      <x:c r="D283" s="82" t="n">
        <x:v>0.587</x:v>
      </x:c>
      <x:c r="E283" s="82" t="n">
        <x:v>78.67</x:v>
      </x:c>
      <x:c r="F283" s="82" t="s"/>
    </x:row>
    <x:row r="284" spans="1:13" x14ac:dyDescent="0.25">
      <x:c r="B284" s="82" t="n">
        <x:v>5.2725</x:v>
      </x:c>
      <x:c r="C284" s="82" t="n">
        <x:v>0.9996</x:v>
      </x:c>
      <x:c r="D284" s="82" t="n">
        <x:v>0.5857</x:v>
      </x:c>
      <x:c r="E284" s="82" t="n">
        <x:v>78.57</x:v>
      </x:c>
      <x:c r="F284" s="82" t="s"/>
    </x:row>
    <x:row r="285" spans="1:13" x14ac:dyDescent="0.25">
      <x:c r="B285" s="82" t="n">
        <x:v>5.4005</x:v>
      </x:c>
      <x:c r="C285" s="82" t="n">
        <x:v>1</x:v>
      </x:c>
      <x:c r="D285" s="82" t="n">
        <x:v>0.5857</x:v>
      </x:c>
      <x:c r="E285" s="82" t="n">
        <x:v>78.5</x:v>
      </x:c>
      <x:c r="F285" s="82" t="s"/>
    </x:row>
    <x:row r="286" spans="1:13" x14ac:dyDescent="0.25">
      <x:c r="B286" s="82" t="n">
        <x:v>5.5285</x:v>
      </x:c>
      <x:c r="C286" s="82" t="n">
        <x:v>1</x:v>
      </x:c>
      <x:c r="D286" s="82" t="n">
        <x:v>0.5821</x:v>
      </x:c>
      <x:c r="E286" s="82" t="n">
        <x:v>78.47</x:v>
      </x:c>
      <x:c r="F286" s="82" t="s"/>
    </x:row>
    <x:row r="287" spans="1:13" x14ac:dyDescent="0.25">
      <x:c r="B287" s="82" t="n">
        <x:v>5.6565</x:v>
      </x:c>
      <x:c r="C287" s="82" t="n">
        <x:v>0.9994</x:v>
      </x:c>
      <x:c r="D287" s="82" t="n">
        <x:v>0.5821</x:v>
      </x:c>
      <x:c r="E287" s="82" t="n">
        <x:v>78.44</x:v>
      </x:c>
      <x:c r="F287" s="82" t="s"/>
    </x:row>
    <x:row r="288" spans="1:13" x14ac:dyDescent="0.25">
      <x:c r="B288" s="82" t="n">
        <x:v>5.7845</x:v>
      </x:c>
      <x:c r="C288" s="82" t="n">
        <x:v>1.001</x:v>
      </x:c>
      <x:c r="D288" s="82" t="n">
        <x:v>0.5787</x:v>
      </x:c>
      <x:c r="E288" s="82" t="n">
        <x:v>78.36</x:v>
      </x:c>
      <x:c r="F288" s="82" t="s"/>
    </x:row>
    <x:row r="289" spans="1:13" x14ac:dyDescent="0.25">
      <x:c r="B289" s="82" t="n">
        <x:v>5.9125</x:v>
      </x:c>
      <x:c r="C289" s="82" t="n">
        <x:v>0.9995</x:v>
      </x:c>
      <x:c r="D289" s="82" t="n">
        <x:v>0.5768</x:v>
      </x:c>
      <x:c r="E289" s="82" t="n">
        <x:v>78.36</x:v>
      </x:c>
      <x:c r="F289" s="82" t="s"/>
    </x:row>
    <x:row r="290" spans="1:13" x14ac:dyDescent="0.25">
      <x:c r="B290" s="82" t="n">
        <x:v>6.0405</x:v>
      </x:c>
      <x:c r="C290" s="82" t="n">
        <x:v>1</x:v>
      </x:c>
      <x:c r="D290" s="82" t="n">
        <x:v>0.5768</x:v>
      </x:c>
      <x:c r="E290" s="82" t="n">
        <x:v>78.29</x:v>
      </x:c>
      <x:c r="F290" s="82" t="s"/>
    </x:row>
    <x:row r="291" spans="1:13" x14ac:dyDescent="0.25">
      <x:c r="B291" s="82" t="n">
        <x:v>6.1685</x:v>
      </x:c>
      <x:c r="C291" s="82" t="n">
        <x:v>1</x:v>
      </x:c>
      <x:c r="D291" s="82" t="n">
        <x:v>0.5741</x:v>
      </x:c>
      <x:c r="E291" s="82" t="n">
        <x:v>78.26</x:v>
      </x:c>
      <x:c r="F291" s="82" t="s"/>
    </x:row>
    <x:row r="292" spans="1:13" x14ac:dyDescent="0.25">
      <x:c r="B292" s="82" t="n">
        <x:v>6.2965</x:v>
      </x:c>
      <x:c r="C292" s="82" t="n">
        <x:v>0.9995</x:v>
      </x:c>
      <x:c r="D292" s="82" t="n">
        <x:v>0.5741</x:v>
      </x:c>
      <x:c r="E292" s="82" t="n">
        <x:v>78.22</x:v>
      </x:c>
      <x:c r="F292" s="82" t="s"/>
    </x:row>
    <x:row r="293" spans="1:13" x14ac:dyDescent="0.25">
      <x:c r="B293" s="82" t="n">
        <x:v>6.4245</x:v>
      </x:c>
      <x:c r="C293" s="82" t="n">
        <x:v>1</x:v>
      </x:c>
      <x:c r="D293" s="82" t="n">
        <x:v>0.5715</x:v>
      </x:c>
      <x:c r="E293" s="82" t="n">
        <x:v>78.16</x:v>
      </x:c>
      <x:c r="F293" s="82" t="s"/>
    </x:row>
    <x:row r="294" spans="1:13" x14ac:dyDescent="0.25">
      <x:c r="B294" s="82" t="n">
        <x:v>6.5525</x:v>
      </x:c>
      <x:c r="C294" s="82" t="n">
        <x:v>1</x:v>
      </x:c>
      <x:c r="D294" s="82" t="n">
        <x:v>0.5715</x:v>
      </x:c>
      <x:c r="E294" s="82" t="n">
        <x:v>78.14</x:v>
      </x:c>
      <x:c r="F294" s="82" t="s"/>
    </x:row>
    <x:row r="295" spans="1:13" x14ac:dyDescent="0.25">
      <x:c r="B295" s="82" t="n">
        <x:v>6.6805</x:v>
      </x:c>
      <x:c r="C295" s="82" t="n">
        <x:v>0.9996</x:v>
      </x:c>
      <x:c r="D295" s="82" t="n">
        <x:v>0.5694</x:v>
      </x:c>
      <x:c r="E295" s="82" t="n">
        <x:v>78.12</x:v>
      </x:c>
      <x:c r="F295" s="82" t="s"/>
    </x:row>
    <x:row r="296" spans="1:13" x14ac:dyDescent="0.25">
      <x:c r="B296" s="82" t="n">
        <x:v>6.8085</x:v>
      </x:c>
      <x:c r="C296" s="82" t="n">
        <x:v>1</x:v>
      </x:c>
      <x:c r="D296" s="82" t="n">
        <x:v>0.5694</x:v>
      </x:c>
      <x:c r="E296" s="82" t="n">
        <x:v>78.03</x:v>
      </x:c>
      <x:c r="F296" s="82" t="s"/>
    </x:row>
    <x:row r="297" spans="1:13" x14ac:dyDescent="0.25">
      <x:c r="B297" s="82" t="n">
        <x:v>6.9365</x:v>
      </x:c>
      <x:c r="C297" s="82" t="n">
        <x:v>1</x:v>
      </x:c>
      <x:c r="D297" s="82" t="n">
        <x:v>0.5673</x:v>
      </x:c>
      <x:c r="E297" s="82" t="n">
        <x:v>77.98</x:v>
      </x:c>
      <x:c r="F297" s="82" t="s"/>
    </x:row>
    <x:row r="298" spans="1:13" x14ac:dyDescent="0.25">
      <x:c r="B298" s="82" t="n">
        <x:v>7.0645</x:v>
      </x:c>
      <x:c r="C298" s="82" t="n">
        <x:v>0.9997</x:v>
      </x:c>
      <x:c r="D298" s="82" t="n">
        <x:v>0.5673</x:v>
      </x:c>
      <x:c r="E298" s="82" t="n">
        <x:v>77.93</x:v>
      </x:c>
      <x:c r="F298" s="82" t="s"/>
    </x:row>
    <x:row r="299" spans="1:13" x14ac:dyDescent="0.25">
      <x:c r="B299" s="82" t="n">
        <x:v>7.1925</x:v>
      </x:c>
      <x:c r="C299" s="82" t="n">
        <x:v>1</x:v>
      </x:c>
      <x:c r="D299" s="82" t="n">
        <x:v>0.565</x:v>
      </x:c>
      <x:c r="E299" s="82" t="n">
        <x:v>77.88</x:v>
      </x:c>
      <x:c r="F299" s="82" t="s"/>
    </x:row>
    <x:row r="300" spans="1:13" x14ac:dyDescent="0.25">
      <x:c r="B300" s="82" t="n">
        <x:v>7.3205</x:v>
      </x:c>
      <x:c r="C300" s="82" t="n">
        <x:v>0.9994</x:v>
      </x:c>
      <x:c r="D300" s="82" t="n">
        <x:v>0.565</x:v>
      </x:c>
      <x:c r="E300" s="82" t="n">
        <x:v>77.84</x:v>
      </x:c>
      <x:c r="F300" s="82" t="s"/>
    </x:row>
    <x:row r="301" spans="1:13" x14ac:dyDescent="0.25">
      <x:c r="B301" s="82" t="n">
        <x:v>7.4485</x:v>
      </x:c>
      <x:c r="C301" s="82" t="n">
        <x:v>1</x:v>
      </x:c>
      <x:c r="D301" s="82" t="n">
        <x:v>0.5639</x:v>
      </x:c>
      <x:c r="E301" s="82" t="n">
        <x:v>77.78</x:v>
      </x:c>
      <x:c r="F301" s="82" t="s"/>
    </x:row>
    <x:row r="302" spans="1:13" x14ac:dyDescent="0.25">
      <x:c r="B302" s="82" t="n">
        <x:v>7.5765</x:v>
      </x:c>
      <x:c r="C302" s="82" t="n">
        <x:v>1</x:v>
      </x:c>
      <x:c r="D302" s="82" t="n">
        <x:v>0.5639</x:v>
      </x:c>
      <x:c r="E302" s="82" t="n">
        <x:v>77.8</x:v>
      </x:c>
      <x:c r="F302" s="82" t="s"/>
    </x:row>
    <x:row r="303" spans="1:13" x14ac:dyDescent="0.25">
      <x:c r="B303" s="82" t="n">
        <x:v>7.7045</x:v>
      </x:c>
      <x:c r="C303" s="82" t="n">
        <x:v>0.9996</x:v>
      </x:c>
      <x:c r="D303" s="82" t="n">
        <x:v>0.5614</x:v>
      </x:c>
      <x:c r="E303" s="82" t="n">
        <x:v>77.76</x:v>
      </x:c>
      <x:c r="F303" s="82" t="s"/>
    </x:row>
    <x:row r="304" spans="1:13" x14ac:dyDescent="0.25">
      <x:c r="B304" s="82" t="n">
        <x:v>7.8325</x:v>
      </x:c>
      <x:c r="C304" s="82" t="n">
        <x:v>1.001</x:v>
      </x:c>
      <x:c r="D304" s="82" t="n">
        <x:v>0.5614</x:v>
      </x:c>
      <x:c r="E304" s="82" t="n">
        <x:v>77.7</x:v>
      </x:c>
      <x:c r="F304" s="82" t="s"/>
    </x:row>
    <x:row r="305" spans="1:13" x14ac:dyDescent="0.25">
      <x:c r="B305" s="82" t="n">
        <x:v>7.9605</x:v>
      </x:c>
      <x:c r="C305" s="82" t="n">
        <x:v>0.9998</x:v>
      </x:c>
      <x:c r="D305" s="82" t="n">
        <x:v>0.5609</x:v>
      </x:c>
      <x:c r="E305" s="82" t="n">
        <x:v>77.7</x:v>
      </x:c>
      <x:c r="F305" s="82" t="s"/>
    </x:row>
    <x:row r="306" spans="1:13" x14ac:dyDescent="0.25">
      <x:c r="B306" s="82" t="n">
        <x:v>8.0885</x:v>
      </x:c>
      <x:c r="C306" s="82" t="n">
        <x:v>0.9994</x:v>
      </x:c>
      <x:c r="D306" s="82" t="n">
        <x:v>0.5609</x:v>
      </x:c>
      <x:c r="E306" s="82" t="n">
        <x:v>77.64</x:v>
      </x:c>
      <x:c r="F306" s="82" t="s"/>
    </x:row>
    <x:row r="307" spans="1:13" x14ac:dyDescent="0.25">
      <x:c r="B307" s="82" t="n">
        <x:v>8.2165</x:v>
      </x:c>
      <x:c r="C307" s="82" t="n">
        <x:v>1.001</x:v>
      </x:c>
      <x:c r="D307" s="82" t="n">
        <x:v>0.556</x:v>
      </x:c>
      <x:c r="E307" s="82" t="n">
        <x:v>77.6</x:v>
      </x:c>
      <x:c r="F307" s="82" t="s"/>
    </x:row>
    <x:row r="308" spans="1:13" x14ac:dyDescent="0.25">
      <x:c r="B308" s="82" t="n">
        <x:v>8.3445</x:v>
      </x:c>
      <x:c r="C308" s="82" t="n">
        <x:v>0.9992</x:v>
      </x:c>
      <x:c r="D308" s="82" t="n">
        <x:v>0.556</x:v>
      </x:c>
      <x:c r="E308" s="82" t="n">
        <x:v>77.59</x:v>
      </x:c>
      <x:c r="F308" s="82" t="s"/>
    </x:row>
    <x:row r="309" spans="1:13" x14ac:dyDescent="0.25">
      <x:c r="B309" s="82" t="n">
        <x:v>8.4725</x:v>
      </x:c>
      <x:c r="C309" s="82" t="n">
        <x:v>1</x:v>
      </x:c>
      <x:c r="D309" s="82" t="n">
        <x:v>0.5596</x:v>
      </x:c>
      <x:c r="E309" s="82" t="n">
        <x:v>77.5</x:v>
      </x:c>
      <x:c r="F309" s="82" t="s"/>
    </x:row>
    <x:row r="310" spans="1:13" x14ac:dyDescent="0.25">
      <x:c r="B310" s="82" t="n">
        <x:v>8.6005</x:v>
      </x:c>
      <x:c r="C310" s="82" t="n">
        <x:v>1</x:v>
      </x:c>
      <x:c r="D310" s="82" t="n">
        <x:v>0.5605</x:v>
      </x:c>
      <x:c r="E310" s="82" t="n">
        <x:v>77.5</x:v>
      </x:c>
      <x:c r="F310" s="82" t="s"/>
    </x:row>
    <x:row r="311" spans="1:13" x14ac:dyDescent="0.25">
      <x:c r="B311" s="82" t="n">
        <x:v>8.7285</x:v>
      </x:c>
      <x:c r="C311" s="82" t="n">
        <x:v>0.9993</x:v>
      </x:c>
      <x:c r="D311" s="82" t="n">
        <x:v>0.5605</x:v>
      </x:c>
      <x:c r="E311" s="82" t="n">
        <x:v>77.48</x:v>
      </x:c>
      <x:c r="F311" s="82" t="s"/>
    </x:row>
    <x:row r="312" spans="1:13" x14ac:dyDescent="0.25">
      <x:c r="B312" s="82" t="n">
        <x:v>8.8565</x:v>
      </x:c>
      <x:c r="C312" s="82" t="n">
        <x:v>1</x:v>
      </x:c>
      <x:c r="D312" s="82" t="n">
        <x:v>0.5565</x:v>
      </x:c>
      <x:c r="E312" s="82" t="n">
        <x:v>77.43</x:v>
      </x:c>
      <x:c r="F312" s="82" t="s"/>
    </x:row>
    <x:row r="313" spans="1:13" x14ac:dyDescent="0.25">
      <x:c r="B313" s="82" t="n">
        <x:v>8.9845</x:v>
      </x:c>
      <x:c r="C313" s="82" t="n">
        <x:v>1</x:v>
      </x:c>
      <x:c r="D313" s="82" t="n">
        <x:v>0.5565</x:v>
      </x:c>
      <x:c r="E313" s="82" t="n">
        <x:v>77.38</x:v>
      </x:c>
      <x:c r="F313" s="82" t="s"/>
    </x:row>
    <x:row r="314" spans="1:13" x14ac:dyDescent="0.25">
      <x:c r="B314" s="82" t="n">
        <x:v>9.1125</x:v>
      </x:c>
      <x:c r="C314" s="82" t="n">
        <x:v>0.9993</x:v>
      </x:c>
      <x:c r="D314" s="82" t="n">
        <x:v>0.5556</x:v>
      </x:c>
      <x:c r="E314" s="82" t="n">
        <x:v>77.38</x:v>
      </x:c>
      <x:c r="F314" s="82" t="s"/>
    </x:row>
    <x:row r="315" spans="1:13" x14ac:dyDescent="0.25">
      <x:c r="B315" s="82" t="n">
        <x:v>9.2405</x:v>
      </x:c>
      <x:c r="C315" s="82" t="n">
        <x:v>1</x:v>
      </x:c>
      <x:c r="D315" s="82" t="n">
        <x:v>0.5556</x:v>
      </x:c>
      <x:c r="E315" s="82" t="n">
        <x:v>77.31</x:v>
      </x:c>
      <x:c r="F315" s="82" t="s"/>
    </x:row>
    <x:row r="316" spans="1:13" x14ac:dyDescent="0.25">
      <x:c r="B316" s="82" t="n">
        <x:v>9.3685</x:v>
      </x:c>
      <x:c r="C316" s="82" t="n">
        <x:v>0.9999</x:v>
      </x:c>
      <x:c r="D316" s="82" t="n">
        <x:v>0.5565</x:v>
      </x:c>
      <x:c r="E316" s="82" t="n">
        <x:v>77.36</x:v>
      </x:c>
      <x:c r="F316" s="82" t="s"/>
    </x:row>
    <x:row r="317" spans="1:13" x14ac:dyDescent="0.25">
      <x:c r="B317" s="82" t="n">
        <x:v>9.4965</x:v>
      </x:c>
      <x:c r="C317" s="82" t="n">
        <x:v>1</x:v>
      </x:c>
      <x:c r="D317" s="82" t="n">
        <x:v>0.5565</x:v>
      </x:c>
      <x:c r="E317" s="82" t="n">
        <x:v>77.29</x:v>
      </x:c>
      <x:c r="F317" s="82" t="s"/>
    </x:row>
    <x:row r="318" spans="1:13" x14ac:dyDescent="0.25">
      <x:c r="B318" s="82" t="n">
        <x:v>9.6245</x:v>
      </x:c>
      <x:c r="C318" s="82" t="n">
        <x:v>1</x:v>
      </x:c>
      <x:c r="D318" s="82" t="n">
        <x:v>0.5556</x:v>
      </x:c>
      <x:c r="E318" s="82" t="n">
        <x:v>77.24</x:v>
      </x:c>
      <x:c r="F318" s="82" t="s"/>
    </x:row>
    <x:row r="319" spans="1:13" x14ac:dyDescent="0.25">
      <x:c r="B319" s="82" t="n">
        <x:v>9.7525</x:v>
      </x:c>
      <x:c r="C319" s="82" t="n">
        <x:v>0.9995</x:v>
      </x:c>
      <x:c r="D319" s="82" t="n">
        <x:v>0.5556</x:v>
      </x:c>
      <x:c r="E319" s="82" t="n">
        <x:v>77.19</x:v>
      </x:c>
      <x:c r="F319" s="82" t="s"/>
    </x:row>
    <x:row r="320" spans="1:13" x14ac:dyDescent="0.25">
      <x:c r="B320" s="82" t="n">
        <x:v>9.8805</x:v>
      </x:c>
      <x:c r="C320" s="82" t="n">
        <x:v>1</x:v>
      </x:c>
      <x:c r="D320" s="82" t="n">
        <x:v>0.5552</x:v>
      </x:c>
      <x:c r="E320" s="82" t="n">
        <x:v>77.14</x:v>
      </x:c>
      <x:c r="F320" s="82" t="s"/>
    </x:row>
    <x:row r="321" spans="1:13" x14ac:dyDescent="0.25">
      <x:c r="B321" s="82" t="n">
        <x:v>10.009</x:v>
      </x:c>
      <x:c r="C321" s="82" t="n">
        <x:v>1</x:v>
      </x:c>
      <x:c r="D321" s="82" t="n">
        <x:v>0.5552</x:v>
      </x:c>
      <x:c r="E321" s="82" t="n">
        <x:v>77.15</x:v>
      </x:c>
      <x:c r="F321" s="82" t="s"/>
    </x:row>
    <x:row r="322" spans="1:13" x14ac:dyDescent="0.25">
      <x:c r="B322" s="82" t="n">
        <x:v>10.137</x:v>
      </x:c>
      <x:c r="C322" s="82" t="n">
        <x:v>0.9995</x:v>
      </x:c>
      <x:c r="D322" s="82" t="n">
        <x:v>0.5537</x:v>
      </x:c>
      <x:c r="E322" s="82" t="n">
        <x:v>77.12</x:v>
      </x:c>
      <x:c r="F322" s="82" t="s"/>
    </x:row>
    <x:row r="323" spans="1:13" x14ac:dyDescent="0.25">
      <x:c r="B323" s="82" t="n">
        <x:v>10.328</x:v>
      </x:c>
      <x:c r="C323" s="82" t="n">
        <x:v>1</x:v>
      </x:c>
      <x:c r="D323" s="82" t="n">
        <x:v>0.5517</x:v>
      </x:c>
      <x:c r="E323" s="82" t="n">
        <x:v>77.08</x:v>
      </x:c>
      <x:c r="F323" s="82" t="s"/>
    </x:row>
    <x:row r="324" spans="1:13" x14ac:dyDescent="0.25">
      <x:c r="B324" s="82" t="n">
        <x:v>10.585</x:v>
      </x:c>
      <x:c r="C324" s="82" t="n">
        <x:v>1</x:v>
      </x:c>
      <x:c r="D324" s="82" t="n">
        <x:v>0.5516</x:v>
      </x:c>
      <x:c r="E324" s="82" t="n">
        <x:v>77</x:v>
      </x:c>
      <x:c r="F324" s="82" t="s"/>
    </x:row>
    <x:row r="325" spans="1:13" x14ac:dyDescent="0.25">
      <x:c r="B325" s="82" t="n">
        <x:v>10.84</x:v>
      </x:c>
      <x:c r="C325" s="82" t="n">
        <x:v>0.9996</x:v>
      </x:c>
      <x:c r="D325" s="82" t="n">
        <x:v>0.554</x:v>
      </x:c>
      <x:c r="E325" s="82" t="n">
        <x:v>76.97</x:v>
      </x:c>
      <x:c r="F325" s="82" t="s"/>
    </x:row>
    <x:row r="326" spans="1:13" x14ac:dyDescent="0.25">
      <x:c r="B326" s="82" t="n">
        <x:v>11.097</x:v>
      </x:c>
      <x:c r="C326" s="82" t="n">
        <x:v>0.9998</x:v>
      </x:c>
      <x:c r="D326" s="82" t="n">
        <x:v>0.5523</x:v>
      </x:c>
      <x:c r="E326" s="82" t="n">
        <x:v>76.9</x:v>
      </x:c>
      <x:c r="F326" s="82" t="s"/>
    </x:row>
    <x:row r="327" spans="1:13" x14ac:dyDescent="0.25">
      <x:c r="B327" s="82" t="n">
        <x:v>11.352</x:v>
      </x:c>
      <x:c r="C327" s="82" t="n">
        <x:v>1</x:v>
      </x:c>
      <x:c r="D327" s="82" t="n">
        <x:v>0.5514</x:v>
      </x:c>
      <x:c r="E327" s="82" t="n">
        <x:v>76.86</x:v>
      </x:c>
      <x:c r="F327" s="82" t="s"/>
    </x:row>
    <x:row r="328" spans="1:13" x14ac:dyDescent="0.25">
      <x:c r="B328" s="82" t="n">
        <x:v>11.608</x:v>
      </x:c>
      <x:c r="C328" s="82" t="n">
        <x:v>1</x:v>
      </x:c>
      <x:c r="D328" s="82" t="n">
        <x:v>0.5518</x:v>
      </x:c>
      <x:c r="E328" s="82" t="n">
        <x:v>76.78</x:v>
      </x:c>
      <x:c r="F328" s="82" t="s"/>
    </x:row>
    <x:row r="329" spans="1:13" x14ac:dyDescent="0.25">
      <x:c r="B329" s="82" t="n">
        <x:v>11.865</x:v>
      </x:c>
      <x:c r="C329" s="82" t="n">
        <x:v>0.9998</x:v>
      </x:c>
      <x:c r="D329" s="82" t="n">
        <x:v>0.5508</x:v>
      </x:c>
      <x:c r="E329" s="82" t="n">
        <x:v>76.7</x:v>
      </x:c>
      <x:c r="F329" s="82" t="s"/>
    </x:row>
    <x:row r="330" spans="1:13" x14ac:dyDescent="0.25">
      <x:c r="B330" s="82" t="n">
        <x:v>12.12</x:v>
      </x:c>
      <x:c r="C330" s="82" t="n">
        <x:v>1</x:v>
      </x:c>
      <x:c r="D330" s="82" t="n">
        <x:v>0.5516</x:v>
      </x:c>
      <x:c r="E330" s="82" t="n">
        <x:v>76.63</x:v>
      </x:c>
      <x:c r="F330" s="82" t="s"/>
    </x:row>
    <x:row r="331" spans="1:13" x14ac:dyDescent="0.25">
      <x:c r="B331" s="82" t="n">
        <x:v>12.377</x:v>
      </x:c>
      <x:c r="C331" s="82" t="n">
        <x:v>1</x:v>
      </x:c>
      <x:c r="D331" s="82" t="n">
        <x:v>0.5524</x:v>
      </x:c>
      <x:c r="E331" s="82" t="n">
        <x:v>76.59</x:v>
      </x:c>
      <x:c r="F331" s="82" t="s"/>
    </x:row>
    <x:row r="332" spans="1:13" x14ac:dyDescent="0.25">
      <x:c r="B332" s="82" t="n">
        <x:v>12.632</x:v>
      </x:c>
      <x:c r="C332" s="82" t="n">
        <x:v>1</x:v>
      </x:c>
      <x:c r="D332" s="82" t="n">
        <x:v>0.5497</x:v>
      </x:c>
      <x:c r="E332" s="82" t="n">
        <x:v>76.48</x:v>
      </x:c>
      <x:c r="F332" s="82" t="s"/>
    </x:row>
    <x:row r="333" spans="1:13" x14ac:dyDescent="0.25">
      <x:c r="B333" s="82" t="n">
        <x:v>12.889</x:v>
      </x:c>
      <x:c r="C333" s="82" t="n">
        <x:v>0.9998</x:v>
      </x:c>
      <x:c r="D333" s="82" t="n">
        <x:v>0.5502</x:v>
      </x:c>
      <x:c r="E333" s="82" t="n">
        <x:v>76.38</x:v>
      </x:c>
      <x:c r="F333" s="82" t="s"/>
    </x:row>
    <x:row r="334" spans="1:13" x14ac:dyDescent="0.25">
      <x:c r="B334" s="82" t="n">
        <x:v>13.144</x:v>
      </x:c>
      <x:c r="C334" s="82" t="n">
        <x:v>0.9998</x:v>
      </x:c>
      <x:c r="D334" s="82" t="n">
        <x:v>0.5506</x:v>
      </x:c>
      <x:c r="E334" s="82" t="n">
        <x:v>76.33</x:v>
      </x:c>
      <x:c r="F334" s="82" t="s"/>
    </x:row>
    <x:row r="335" spans="1:13" x14ac:dyDescent="0.25">
      <x:c r="B335" s="82" t="n">
        <x:v>13.401</x:v>
      </x:c>
      <x:c r="C335" s="82" t="n">
        <x:v>1</x:v>
      </x:c>
      <x:c r="D335" s="82" t="n">
        <x:v>0.5512</x:v>
      </x:c>
      <x:c r="E335" s="82" t="n">
        <x:v>76.29</x:v>
      </x:c>
      <x:c r="F335" s="82" t="s"/>
    </x:row>
    <x:row r="336" spans="1:13" x14ac:dyDescent="0.25">
      <x:c r="B336" s="82" t="n">
        <x:v>13.656</x:v>
      </x:c>
      <x:c r="C336" s="82" t="n">
        <x:v>1</x:v>
      </x:c>
      <x:c r="D336" s="82" t="n">
        <x:v>0.5501</x:v>
      </x:c>
      <x:c r="E336" s="82" t="n">
        <x:v>76.29</x:v>
      </x:c>
      <x:c r="F336" s="82" t="s"/>
    </x:row>
    <x:row r="337" spans="1:13" x14ac:dyDescent="0.25">
      <x:c r="B337" s="82" t="n">
        <x:v>13.913</x:v>
      </x:c>
      <x:c r="C337" s="82" t="n">
        <x:v>0.9997</x:v>
      </x:c>
      <x:c r="D337" s="82" t="n">
        <x:v>0.5533</x:v>
      </x:c>
      <x:c r="E337" s="82" t="n">
        <x:v>76.27</x:v>
      </x:c>
      <x:c r="F337" s="82" t="s"/>
    </x:row>
    <x:row r="338" spans="1:13" x14ac:dyDescent="0.25">
      <x:c r="B338" s="82" t="n">
        <x:v>14.168</x:v>
      </x:c>
      <x:c r="C338" s="82" t="n">
        <x:v>1</x:v>
      </x:c>
      <x:c r="D338" s="82" t="n">
        <x:v>0.5506</x:v>
      </x:c>
      <x:c r="E338" s="82" t="n">
        <x:v>76.2</x:v>
      </x:c>
      <x:c r="F338" s="82" t="s"/>
    </x:row>
    <x:row r="339" spans="1:13" x14ac:dyDescent="0.25">
      <x:c r="B339" s="82" t="n">
        <x:v>14.425</x:v>
      </x:c>
      <x:c r="C339" s="82" t="n">
        <x:v>1</x:v>
      </x:c>
      <x:c r="D339" s="82" t="n">
        <x:v>0.5512</x:v>
      </x:c>
      <x:c r="E339" s="82" t="n">
        <x:v>76.1</x:v>
      </x:c>
      <x:c r="F339" s="82" t="s"/>
    </x:row>
    <x:row r="340" spans="1:13" x14ac:dyDescent="0.25">
      <x:c r="B340" s="82" t="n">
        <x:v>14.681</x:v>
      </x:c>
      <x:c r="C340" s="82" t="n">
        <x:v>0.9999</x:v>
      </x:c>
      <x:c r="D340" s="82" t="n">
        <x:v>0.5493</x:v>
      </x:c>
      <x:c r="E340" s="82" t="n">
        <x:v>76</x:v>
      </x:c>
      <x:c r="F340" s="82" t="s"/>
    </x:row>
    <x:row r="341" spans="1:13" x14ac:dyDescent="0.25">
      <x:c r="B341" s="82" t="n">
        <x:v>14.936</x:v>
      </x:c>
      <x:c r="C341" s="82" t="n">
        <x:v>1</x:v>
      </x:c>
      <x:c r="D341" s="82" t="n">
        <x:v>0.5523</x:v>
      </x:c>
      <x:c r="E341" s="82" t="n">
        <x:v>75.92</x:v>
      </x:c>
      <x:c r="F341" s="82" t="s"/>
    </x:row>
    <x:row r="342" spans="1:13" x14ac:dyDescent="0.25">
      <x:c r="B342" s="82" t="n">
        <x:v>15.193</x:v>
      </x:c>
      <x:c r="C342" s="82" t="n">
        <x:v>1</x:v>
      </x:c>
      <x:c r="D342" s="82" t="n">
        <x:v>0.5495</x:v>
      </x:c>
      <x:c r="E342" s="82" t="n">
        <x:v>75.85</x:v>
      </x:c>
      <x:c r="F342" s="82" t="s"/>
    </x:row>
    <x:row r="343" spans="1:13" x14ac:dyDescent="0.25">
      <x:c r="B343" s="82" t="n">
        <x:v>15.448</x:v>
      </x:c>
      <x:c r="C343" s="82" t="n">
        <x:v>1</x:v>
      </x:c>
      <x:c r="D343" s="82" t="n">
        <x:v>0.5503</x:v>
      </x:c>
      <x:c r="E343" s="82" t="n">
        <x:v>75.81</x:v>
      </x:c>
      <x:c r="F343" s="82" t="s"/>
    </x:row>
    <x:row r="344" spans="1:13" x14ac:dyDescent="0.25">
      <x:c r="B344" s="82" t="n">
        <x:v>15.705</x:v>
      </x:c>
      <x:c r="C344" s="82" t="n">
        <x:v>1</x:v>
      </x:c>
      <x:c r="D344" s="82" t="n">
        <x:v>0.5516</x:v>
      </x:c>
      <x:c r="E344" s="82" t="n">
        <x:v>75.73</x:v>
      </x:c>
      <x:c r="F344" s="82" t="s"/>
    </x:row>
    <x:row r="345" spans="1:13" x14ac:dyDescent="0.25">
      <x:c r="B345" s="82" t="n">
        <x:v>15.96</x:v>
      </x:c>
      <x:c r="C345" s="82" t="n">
        <x:v>0.9997</x:v>
      </x:c>
      <x:c r="D345" s="82" t="n">
        <x:v>0.5508</x:v>
      </x:c>
      <x:c r="E345" s="82" t="n">
        <x:v>75.64</x:v>
      </x:c>
      <x:c r="F345" s="82" t="s"/>
    </x:row>
    <x:row r="346" spans="1:13" x14ac:dyDescent="0.25">
      <x:c r="B346" s="82" t="n">
        <x:v>16.216</x:v>
      </x:c>
      <x:c r="C346" s="82" t="n">
        <x:v>1</x:v>
      </x:c>
      <x:c r="D346" s="82" t="n">
        <x:v>0.5548</x:v>
      </x:c>
      <x:c r="E346" s="82" t="n">
        <x:v>75.61</x:v>
      </x:c>
      <x:c r="F346" s="82" t="s"/>
    </x:row>
    <x:row r="347" spans="1:13" x14ac:dyDescent="0.25">
      <x:c r="B347" s="82" t="n">
        <x:v>16.472</x:v>
      </x:c>
      <x:c r="C347" s="82" t="n">
        <x:v>1</x:v>
      </x:c>
      <x:c r="D347" s="82" t="n">
        <x:v>0.5547</x:v>
      </x:c>
      <x:c r="E347" s="82" t="n">
        <x:v>75.45</x:v>
      </x:c>
      <x:c r="F347" s="82" t="s"/>
    </x:row>
    <x:row r="348" spans="1:13" x14ac:dyDescent="0.25">
      <x:c r="B348" s="82" t="n">
        <x:v>16.729</x:v>
      </x:c>
      <x:c r="C348" s="82" t="n">
        <x:v>0.9999</x:v>
      </x:c>
      <x:c r="D348" s="82" t="n">
        <x:v>0.5527</x:v>
      </x:c>
      <x:c r="E348" s="82" t="n">
        <x:v>75.37</x:v>
      </x:c>
      <x:c r="F348" s="82" t="s"/>
    </x:row>
    <x:row r="349" spans="1:13" x14ac:dyDescent="0.25">
      <x:c r="B349" s="82" t="n">
        <x:v>16.985</x:v>
      </x:c>
      <x:c r="C349" s="82" t="n">
        <x:v>0.9999</x:v>
      </x:c>
      <x:c r="D349" s="82" t="n">
        <x:v>0.552</x:v>
      </x:c>
      <x:c r="E349" s="82" t="n">
        <x:v>75.28</x:v>
      </x:c>
      <x:c r="F349" s="82" t="s"/>
    </x:row>
    <x:row r="350" spans="1:13" x14ac:dyDescent="0.25">
      <x:c r="B350" s="82" t="n">
        <x:v>17.24</x:v>
      </x:c>
      <x:c r="C350" s="82" t="n">
        <x:v>1</x:v>
      </x:c>
      <x:c r="D350" s="82" t="n">
        <x:v>0.5531</x:v>
      </x:c>
      <x:c r="E350" s="82" t="n">
        <x:v>75.28</x:v>
      </x:c>
      <x:c r="F350" s="82" t="s"/>
    </x:row>
    <x:row r="351" spans="1:13" x14ac:dyDescent="0.25">
      <x:c r="B351" s="82" t="n">
        <x:v>17.497</x:v>
      </x:c>
      <x:c r="C351" s="82" t="n">
        <x:v>1</x:v>
      </x:c>
      <x:c r="D351" s="82" t="n">
        <x:v>0.556</x:v>
      </x:c>
      <x:c r="E351" s="82" t="n">
        <x:v>75.15</x:v>
      </x:c>
      <x:c r="F351" s="82" t="s"/>
    </x:row>
    <x:row r="352" spans="1:13" x14ac:dyDescent="0.25">
      <x:c r="B352" s="82" t="n">
        <x:v>17.753</x:v>
      </x:c>
      <x:c r="C352" s="82" t="n">
        <x:v>1</x:v>
      </x:c>
      <x:c r="D352" s="82" t="n">
        <x:v>0.5546</x:v>
      </x:c>
      <x:c r="E352" s="82" t="n">
        <x:v>75.04</x:v>
      </x:c>
      <x:c r="F352" s="82" t="s"/>
    </x:row>
    <x:row r="353" spans="1:13" x14ac:dyDescent="0.25">
      <x:c r="B353" s="82" t="n">
        <x:v>18.008</x:v>
      </x:c>
      <x:c r="C353" s="82" t="n">
        <x:v>0.9997</x:v>
      </x:c>
      <x:c r="D353" s="82" t="n">
        <x:v>0.554</x:v>
      </x:c>
      <x:c r="E353" s="82" t="n">
        <x:v>74.99</x:v>
      </x:c>
      <x:c r="F353" s="82" t="s"/>
    </x:row>
    <x:row r="354" spans="1:13" x14ac:dyDescent="0.25">
      <x:c r="B354" s="82" t="n">
        <x:v>18.264</x:v>
      </x:c>
      <x:c r="C354" s="82" t="n">
        <x:v>1</x:v>
      </x:c>
      <x:c r="D354" s="82" t="n">
        <x:v>0.5549</x:v>
      </x:c>
      <x:c r="E354" s="82" t="n">
        <x:v>74.94</x:v>
      </x:c>
      <x:c r="F354" s="82" t="s"/>
    </x:row>
    <x:row r="355" spans="1:13" x14ac:dyDescent="0.25">
      <x:c r="B355" s="82" t="n">
        <x:v>18.521</x:v>
      </x:c>
      <x:c r="C355" s="82" t="n">
        <x:v>1</x:v>
      </x:c>
      <x:c r="D355" s="82" t="n">
        <x:v>0.5552</x:v>
      </x:c>
      <x:c r="E355" s="82" t="n">
        <x:v>74.91</x:v>
      </x:c>
      <x:c r="F355" s="82" t="s"/>
    </x:row>
    <x:row r="356" spans="1:13" x14ac:dyDescent="0.25">
      <x:c r="B356" s="82" t="n">
        <x:v>18.777</x:v>
      </x:c>
      <x:c r="C356" s="82" t="n">
        <x:v>0.9998</x:v>
      </x:c>
      <x:c r="D356" s="82" t="n">
        <x:v>0.5537</x:v>
      </x:c>
      <x:c r="E356" s="82" t="n">
        <x:v>74.85</x:v>
      </x:c>
      <x:c r="F356" s="82" t="s"/>
    </x:row>
    <x:row r="357" spans="1:13" x14ac:dyDescent="0.25">
      <x:c r="B357" s="82" t="n">
        <x:v>19.032</x:v>
      </x:c>
      <x:c r="C357" s="82" t="n">
        <x:v>0.9998</x:v>
      </x:c>
      <x:c r="D357" s="82" t="n">
        <x:v>0.5542</x:v>
      </x:c>
      <x:c r="E357" s="82" t="n">
        <x:v>74.79</x:v>
      </x:c>
      <x:c r="F357" s="82" t="s"/>
    </x:row>
    <x:row r="358" spans="1:13" x14ac:dyDescent="0.25">
      <x:c r="B358" s="82" t="n">
        <x:v>19.288</x:v>
      </x:c>
      <x:c r="C358" s="82" t="n">
        <x:v>1</x:v>
      </x:c>
      <x:c r="D358" s="82" t="n">
        <x:v>0.5561</x:v>
      </x:c>
      <x:c r="E358" s="82" t="n">
        <x:v>74.68</x:v>
      </x:c>
      <x:c r="F358" s="82" t="s"/>
    </x:row>
    <x:row r="359" spans="1:13" x14ac:dyDescent="0.25">
      <x:c r="B359" s="82" t="n">
        <x:v>19.545</x:v>
      </x:c>
      <x:c r="C359" s="82" t="n">
        <x:v>1</x:v>
      </x:c>
      <x:c r="D359" s="82" t="n">
        <x:v>0.556</x:v>
      </x:c>
      <x:c r="E359" s="82" t="n">
        <x:v>74.63</x:v>
      </x:c>
      <x:c r="F359" s="82" t="s"/>
    </x:row>
    <x:row r="360" spans="1:13" x14ac:dyDescent="0.25">
      <x:c r="B360" s="82" t="n">
        <x:v>19.801</x:v>
      </x:c>
      <x:c r="C360" s="82" t="n">
        <x:v>0.9999</x:v>
      </x:c>
      <x:c r="D360" s="82" t="n">
        <x:v>0.5571</x:v>
      </x:c>
      <x:c r="E360" s="82" t="n">
        <x:v>74.55</x:v>
      </x:c>
      <x:c r="F360" s="82" t="s"/>
    </x:row>
    <x:row r="361" spans="1:13" x14ac:dyDescent="0.25">
      <x:c r="B361" s="82" t="n">
        <x:v>20.056</x:v>
      </x:c>
      <x:c r="C361" s="82" t="n">
        <x:v>0.9999</x:v>
      </x:c>
      <x:c r="D361" s="82" t="n">
        <x:v>0.5542</x:v>
      </x:c>
      <x:c r="E361" s="82" t="n">
        <x:v>74.46</x:v>
      </x:c>
      <x:c r="F361" s="82" t="s"/>
    </x:row>
    <x:row r="362" spans="1:13" x14ac:dyDescent="0.25">
      <x:c r="B362" s="82" t="n">
        <x:v>20.313</x:v>
      </x:c>
      <x:c r="C362" s="82" t="n">
        <x:v>1</x:v>
      </x:c>
      <x:c r="D362" s="82" t="n">
        <x:v>0.5576</x:v>
      </x:c>
      <x:c r="E362" s="82" t="n">
        <x:v>74.34</x:v>
      </x:c>
      <x:c r="F362" s="82" t="s"/>
    </x:row>
    <x:row r="363" spans="1:13" x14ac:dyDescent="0.25">
      <x:c r="B363" s="82" t="n">
        <x:v>20.697</x:v>
      </x:c>
      <x:c r="C363" s="82" t="n">
        <x:v>1</x:v>
      </x:c>
      <x:c r="D363" s="82" t="n">
        <x:v>0.5573</x:v>
      </x:c>
      <x:c r="E363" s="82" t="n">
        <x:v>74.22</x:v>
      </x:c>
      <x:c r="F363" s="82" t="s"/>
    </x:row>
    <x:row r="364" spans="1:13" x14ac:dyDescent="0.25">
      <x:c r="B364" s="82" t="n">
        <x:v>21.208</x:v>
      </x:c>
      <x:c r="C364" s="82" t="n">
        <x:v>1</x:v>
      </x:c>
      <x:c r="D364" s="82" t="n">
        <x:v>0.5567</x:v>
      </x:c>
      <x:c r="E364" s="82" t="n">
        <x:v>74.1</x:v>
      </x:c>
      <x:c r="F364" s="82" t="s"/>
    </x:row>
    <x:row r="365" spans="1:13" x14ac:dyDescent="0.25">
      <x:c r="B365" s="82" t="n">
        <x:v>21.721</x:v>
      </x:c>
      <x:c r="C365" s="82" t="n">
        <x:v>1</x:v>
      </x:c>
      <x:c r="D365" s="82" t="n">
        <x:v>0.558</x:v>
      </x:c>
      <x:c r="E365" s="82" t="n">
        <x:v>73.94</x:v>
      </x:c>
      <x:c r="F365" s="82" t="s"/>
    </x:row>
    <x:row r="366" spans="1:13" x14ac:dyDescent="0.25">
      <x:c r="B366" s="82" t="n">
        <x:v>22.233</x:v>
      </x:c>
      <x:c r="C366" s="82" t="n">
        <x:v>1</x:v>
      </x:c>
      <x:c r="D366" s="82" t="n">
        <x:v>0.5573</x:v>
      </x:c>
      <x:c r="E366" s="82" t="n">
        <x:v>73.76</x:v>
      </x:c>
      <x:c r="F366" s="82" t="s"/>
    </x:row>
    <x:row r="367" spans="1:13" x14ac:dyDescent="0.25">
      <x:c r="B367" s="82" t="n">
        <x:v>22.744</x:v>
      </x:c>
      <x:c r="C367" s="82" t="n">
        <x:v>1</x:v>
      </x:c>
      <x:c r="D367" s="82" t="n">
        <x:v>0.5563</x:v>
      </x:c>
      <x:c r="E367" s="82" t="n">
        <x:v>73.54</x:v>
      </x:c>
      <x:c r="F367" s="82" t="s"/>
    </x:row>
    <x:row r="368" spans="1:13" x14ac:dyDescent="0.25">
      <x:c r="B368" s="82" t="n">
        <x:v>23.257</x:v>
      </x:c>
      <x:c r="C368" s="82" t="n">
        <x:v>1</x:v>
      </x:c>
      <x:c r="D368" s="82" t="n">
        <x:v>0.5599</x:v>
      </x:c>
      <x:c r="E368" s="82" t="n">
        <x:v>73.43</x:v>
      </x:c>
      <x:c r="F368" s="82" t="s"/>
    </x:row>
    <x:row r="369" spans="1:13" x14ac:dyDescent="0.25">
      <x:c r="B369" s="82" t="n">
        <x:v>23.768</x:v>
      </x:c>
      <x:c r="C369" s="82" t="n">
        <x:v>0.9998</x:v>
      </x:c>
      <x:c r="D369" s="82" t="n">
        <x:v>0.5567</x:v>
      </x:c>
      <x:c r="E369" s="82" t="n">
        <x:v>73.25</x:v>
      </x:c>
      <x:c r="F369" s="82" t="s"/>
    </x:row>
    <x:row r="370" spans="1:13" x14ac:dyDescent="0.25">
      <x:c r="B370" s="82" t="n">
        <x:v>24.281</x:v>
      </x:c>
      <x:c r="C370" s="82" t="n">
        <x:v>1</x:v>
      </x:c>
      <x:c r="D370" s="82" t="n">
        <x:v>0.5568</x:v>
      </x:c>
      <x:c r="E370" s="82" t="n">
        <x:v>73</x:v>
      </x:c>
      <x:c r="F370" s="82" t="s"/>
    </x:row>
    <x:row r="371" spans="1:13" x14ac:dyDescent="0.25">
      <x:c r="B371" s="82" t="n">
        <x:v>24.792</x:v>
      </x:c>
      <x:c r="C371" s="82" t="n">
        <x:v>0.9998</x:v>
      </x:c>
      <x:c r="D371" s="82" t="n">
        <x:v>0.5559</x:v>
      </x:c>
      <x:c r="E371" s="82" t="n">
        <x:v>72.83</x:v>
      </x:c>
      <x:c r="F371" s="82" t="s"/>
    </x:row>
    <x:row r="372" spans="1:13" x14ac:dyDescent="0.25">
      <x:c r="B372" s="82" t="n">
        <x:v>25.305</x:v>
      </x:c>
      <x:c r="C372" s="82" t="n">
        <x:v>1</x:v>
      </x:c>
      <x:c r="D372" s="82" t="n">
        <x:v>0.5569</x:v>
      </x:c>
      <x:c r="E372" s="82" t="n">
        <x:v>72.77</x:v>
      </x:c>
      <x:c r="F372" s="82" t="s"/>
    </x:row>
    <x:row r="373" spans="1:13" x14ac:dyDescent="0.25">
      <x:c r="B373" s="82" t="n">
        <x:v>25.816</x:v>
      </x:c>
      <x:c r="C373" s="82" t="n">
        <x:v>0.9999</x:v>
      </x:c>
      <x:c r="D373" s="82" t="n">
        <x:v>0.5559</x:v>
      </x:c>
      <x:c r="E373" s="82" t="n">
        <x:v>72.54</x:v>
      </x:c>
      <x:c r="F373" s="82" t="s"/>
    </x:row>
    <x:row r="374" spans="1:13" x14ac:dyDescent="0.25">
      <x:c r="B374" s="82" t="n">
        <x:v>26.329</x:v>
      </x:c>
      <x:c r="C374" s="82" t="n">
        <x:v>1</x:v>
      </x:c>
      <x:c r="D374" s="82" t="n">
        <x:v>0.5579</x:v>
      </x:c>
      <x:c r="E374" s="82" t="n">
        <x:v>72.33</x:v>
      </x:c>
      <x:c r="F374" s="82" t="s"/>
    </x:row>
    <x:row r="375" spans="1:13" x14ac:dyDescent="0.25">
      <x:c r="B375" s="82" t="n">
        <x:v>26.84</x:v>
      </x:c>
      <x:c r="C375" s="82" t="n">
        <x:v>0.9998</x:v>
      </x:c>
      <x:c r="D375" s="82" t="n">
        <x:v>0.559</x:v>
      </x:c>
      <x:c r="E375" s="82" t="n">
        <x:v>72.19</x:v>
      </x:c>
      <x:c r="F375" s="82" t="s"/>
    </x:row>
    <x:row r="376" spans="1:13" x14ac:dyDescent="0.25">
      <x:c r="B376" s="82" t="n">
        <x:v>27.353</x:v>
      </x:c>
      <x:c r="C376" s="82" t="n">
        <x:v>1</x:v>
      </x:c>
      <x:c r="D376" s="82" t="n">
        <x:v>0.5576</x:v>
      </x:c>
      <x:c r="E376" s="82" t="n">
        <x:v>71.97</x:v>
      </x:c>
      <x:c r="F376" s="82" t="s"/>
    </x:row>
    <x:row r="377" spans="1:13" x14ac:dyDescent="0.25">
      <x:c r="B377" s="82" t="n">
        <x:v>27.865</x:v>
      </x:c>
      <x:c r="C377" s="82" t="n">
        <x:v>0.9999</x:v>
      </x:c>
      <x:c r="D377" s="82" t="n">
        <x:v>0.556</x:v>
      </x:c>
      <x:c r="E377" s="82" t="n">
        <x:v>71.88</x:v>
      </x:c>
      <x:c r="F377" s="82" t="s"/>
    </x:row>
    <x:row r="378" spans="1:13" x14ac:dyDescent="0.25">
      <x:c r="B378" s="82" t="n">
        <x:v>28.376</x:v>
      </x:c>
      <x:c r="C378" s="82" t="n">
        <x:v>1</x:v>
      </x:c>
      <x:c r="D378" s="82" t="n">
        <x:v>0.5575</x:v>
      </x:c>
      <x:c r="E378" s="82" t="n">
        <x:v>71.66</x:v>
      </x:c>
      <x:c r="F378" s="82" t="s"/>
    </x:row>
    <x:row r="379" spans="1:13" x14ac:dyDescent="0.25">
      <x:c r="B379" s="82" t="n">
        <x:v>28.889</x:v>
      </x:c>
      <x:c r="C379" s="82" t="n">
        <x:v>0.9999</x:v>
      </x:c>
      <x:c r="D379" s="82" t="n">
        <x:v>0.5558</x:v>
      </x:c>
      <x:c r="E379" s="82" t="n">
        <x:v>71.52</x:v>
      </x:c>
      <x:c r="F379" s="82" t="s"/>
    </x:row>
    <x:row r="380" spans="1:13" x14ac:dyDescent="0.25">
      <x:c r="B380" s="82" t="n">
        <x:v>29.4</x:v>
      </x:c>
      <x:c r="C380" s="82" t="n">
        <x:v>1</x:v>
      </x:c>
      <x:c r="D380" s="82" t="n">
        <x:v>0.5562</x:v>
      </x:c>
      <x:c r="E380" s="82" t="n">
        <x:v>71.36</x:v>
      </x:c>
      <x:c r="F380" s="82" t="s"/>
    </x:row>
    <x:row r="381" spans="1:13" x14ac:dyDescent="0.25">
      <x:c r="B381" s="82" t="n">
        <x:v>29.913</x:v>
      </x:c>
      <x:c r="C381" s="82" t="n">
        <x:v>0.9998</x:v>
      </x:c>
      <x:c r="D381" s="82" t="n">
        <x:v>0.5559</x:v>
      </x:c>
      <x:c r="E381" s="82" t="n">
        <x:v>71.13</x:v>
      </x:c>
      <x:c r="F381" s="82" t="s"/>
    </x:row>
    <x:row r="382" spans="1:13" x14ac:dyDescent="0.25">
      <x:c r="B382" s="82" t="n">
        <x:v>30.424</x:v>
      </x:c>
      <x:c r="C382" s="82" t="n">
        <x:v>1</x:v>
      </x:c>
      <x:c r="D382" s="82" t="n">
        <x:v>0.5581</x:v>
      </x:c>
      <x:c r="E382" s="82" t="n">
        <x:v>70.97</x:v>
      </x:c>
      <x:c r="F382" s="82" t="s"/>
    </x:row>
    <x:row r="383" spans="1:13" x14ac:dyDescent="0.25">
      <x:c r="B383" s="82" t="n">
        <x:v>30.937</x:v>
      </x:c>
      <x:c r="C383" s="82" t="n">
        <x:v>0.9998</x:v>
      </x:c>
      <x:c r="D383" s="82" t="n">
        <x:v>0.5569</x:v>
      </x:c>
      <x:c r="E383" s="82" t="n">
        <x:v>70.87</x:v>
      </x:c>
      <x:c r="F383" s="82" t="s"/>
    </x:row>
    <x:row r="384" spans="1:13" x14ac:dyDescent="0.25">
      <x:c r="B384" s="82" t="n">
        <x:v>31.448</x:v>
      </x:c>
      <x:c r="C384" s="82" t="n">
        <x:v>1</x:v>
      </x:c>
      <x:c r="D384" s="82" t="n">
        <x:v>0.5597</x:v>
      </x:c>
      <x:c r="E384" s="82" t="n">
        <x:v>70.62</x:v>
      </x:c>
      <x:c r="F384" s="82" t="s"/>
    </x:row>
    <x:row r="385" spans="1:13" x14ac:dyDescent="0.25">
      <x:c r="B385" s="82" t="n">
        <x:v>31.961</x:v>
      </x:c>
      <x:c r="C385" s="82" t="n">
        <x:v>0.9999</x:v>
      </x:c>
      <x:c r="D385" s="82" t="n">
        <x:v>0.5561</x:v>
      </x:c>
      <x:c r="E385" s="82" t="n">
        <x:v>70.43</x:v>
      </x:c>
      <x:c r="F385" s="82" t="s"/>
    </x:row>
    <x:row r="386" spans="1:13" x14ac:dyDescent="0.25">
      <x:c r="B386" s="82" t="n">
        <x:v>32.472</x:v>
      </x:c>
      <x:c r="C386" s="82" t="n">
        <x:v>1</x:v>
      </x:c>
      <x:c r="D386" s="82" t="n">
        <x:v>0.5569</x:v>
      </x:c>
      <x:c r="E386" s="82" t="n">
        <x:v>70.14</x:v>
      </x:c>
      <x:c r="F386" s="82" t="s"/>
    </x:row>
    <x:row r="387" spans="1:13" x14ac:dyDescent="0.25">
      <x:c r="B387" s="82" t="n">
        <x:v>32.985</x:v>
      </x:c>
      <x:c r="C387" s="82" t="n">
        <x:v>0.9999</x:v>
      </x:c>
      <x:c r="D387" s="82" t="n">
        <x:v>0.5567</x:v>
      </x:c>
      <x:c r="E387" s="82" t="n">
        <x:v>69.96</x:v>
      </x:c>
      <x:c r="F387" s="82" t="s"/>
    </x:row>
    <x:row r="388" spans="1:13" x14ac:dyDescent="0.25">
      <x:c r="B388" s="82" t="n">
        <x:v>33.496</x:v>
      </x:c>
      <x:c r="C388" s="82" t="n">
        <x:v>1</x:v>
      </x:c>
      <x:c r="D388" s="82" t="n">
        <x:v>0.5561</x:v>
      </x:c>
      <x:c r="E388" s="82" t="n">
        <x:v>69.83</x:v>
      </x:c>
      <x:c r="F388" s="82" t="s"/>
    </x:row>
    <x:row r="389" spans="1:13" x14ac:dyDescent="0.25">
      <x:c r="B389" s="82" t="n">
        <x:v>34.008</x:v>
      </x:c>
      <x:c r="C389" s="82" t="n">
        <x:v>0.9999</x:v>
      </x:c>
      <x:c r="D389" s="82" t="n">
        <x:v>0.5565</x:v>
      </x:c>
      <x:c r="E389" s="82" t="n">
        <x:v>69.59</x:v>
      </x:c>
      <x:c r="F389" s="82" t="s"/>
    </x:row>
    <x:row r="390" spans="1:13" x14ac:dyDescent="0.25">
      <x:c r="B390" s="82" t="n">
        <x:v>34.521</x:v>
      </x:c>
      <x:c r="C390" s="82" t="n">
        <x:v>1</x:v>
      </x:c>
      <x:c r="D390" s="82" t="n">
        <x:v>0.5571</x:v>
      </x:c>
      <x:c r="E390" s="82" t="n">
        <x:v>69.4</x:v>
      </x:c>
      <x:c r="F390" s="82" t="s"/>
    </x:row>
    <x:row r="391" spans="1:13" x14ac:dyDescent="0.25">
      <x:c r="B391" s="82" t="n">
        <x:v>35.033</x:v>
      </x:c>
      <x:c r="C391" s="82" t="n">
        <x:v>1</x:v>
      </x:c>
      <x:c r="D391" s="82" t="n">
        <x:v>0.5538</x:v>
      </x:c>
      <x:c r="E391" s="82" t="n">
        <x:v>69.25</x:v>
      </x:c>
      <x:c r="F391" s="82" t="s"/>
    </x:row>
    <x:row r="392" spans="1:13" x14ac:dyDescent="0.25">
      <x:c r="B392" s="82" t="n">
        <x:v>35.544</x:v>
      </x:c>
      <x:c r="C392" s="82" t="n">
        <x:v>1</x:v>
      </x:c>
      <x:c r="D392" s="82" t="n">
        <x:v>0.5569</x:v>
      </x:c>
      <x:c r="E392" s="82" t="n">
        <x:v>69.07</x:v>
      </x:c>
      <x:c r="F392" s="82" t="s"/>
    </x:row>
    <x:row r="393" spans="1:13" x14ac:dyDescent="0.25">
      <x:c r="B393" s="82" t="n">
        <x:v>36.056</x:v>
      </x:c>
      <x:c r="C393" s="82" t="n">
        <x:v>0.9999</x:v>
      </x:c>
      <x:c r="D393" s="82" t="n">
        <x:v>0.5569</x:v>
      </x:c>
      <x:c r="E393" s="82" t="n">
        <x:v>68.86</x:v>
      </x:c>
      <x:c r="F393" s="82" t="s"/>
    </x:row>
    <x:row r="394" spans="1:13" x14ac:dyDescent="0.25">
      <x:c r="B394" s="82" t="n">
        <x:v>36.569</x:v>
      </x:c>
      <x:c r="C394" s="82" t="n">
        <x:v>1</x:v>
      </x:c>
      <x:c r="D394" s="82" t="n">
        <x:v>0.5577</x:v>
      </x:c>
      <x:c r="E394" s="82" t="n">
        <x:v>68.66</x:v>
      </x:c>
      <x:c r="F394" s="82" t="s"/>
    </x:row>
    <x:row r="395" spans="1:13" x14ac:dyDescent="0.25">
      <x:c r="B395" s="82" t="n">
        <x:v>37.081</x:v>
      </x:c>
      <x:c r="C395" s="82" t="n">
        <x:v>1</x:v>
      </x:c>
      <x:c r="D395" s="82" t="n">
        <x:v>0.5546</x:v>
      </x:c>
      <x:c r="E395" s="82" t="n">
        <x:v>68.43</x:v>
      </x:c>
      <x:c r="F395" s="82" t="s"/>
    </x:row>
    <x:row r="396" spans="1:13" x14ac:dyDescent="0.25">
      <x:c r="B396" s="82" t="n">
        <x:v>37.592</x:v>
      </x:c>
      <x:c r="C396" s="82" t="n">
        <x:v>1</x:v>
      </x:c>
      <x:c r="D396" s="82" t="n">
        <x:v>0.5577</x:v>
      </x:c>
      <x:c r="E396" s="82" t="n">
        <x:v>68.23</x:v>
      </x:c>
      <x:c r="F396" s="82" t="s"/>
    </x:row>
    <x:row r="397" spans="1:13" x14ac:dyDescent="0.25">
      <x:c r="B397" s="82" t="n">
        <x:v>38.104</x:v>
      </x:c>
      <x:c r="C397" s="82" t="n">
        <x:v>1</x:v>
      </x:c>
      <x:c r="D397" s="82" t="n">
        <x:v>0.5548</x:v>
      </x:c>
      <x:c r="E397" s="82" t="n">
        <x:v>68.04</x:v>
      </x:c>
      <x:c r="F397" s="82" t="s"/>
    </x:row>
    <x:row r="398" spans="1:13" x14ac:dyDescent="0.25">
      <x:c r="B398" s="82" t="n">
        <x:v>38.617</x:v>
      </x:c>
      <x:c r="C398" s="82" t="n">
        <x:v>1</x:v>
      </x:c>
      <x:c r="D398" s="82" t="n">
        <x:v>0.5533</x:v>
      </x:c>
      <x:c r="E398" s="82" t="n">
        <x:v>67.73</x:v>
      </x:c>
      <x:c r="F398" s="82" t="s"/>
    </x:row>
    <x:row r="399" spans="1:13" x14ac:dyDescent="0.25">
      <x:c r="B399" s="82" t="n">
        <x:v>39.129</x:v>
      </x:c>
      <x:c r="C399" s="82" t="n">
        <x:v>1</x:v>
      </x:c>
      <x:c r="D399" s="82" t="n">
        <x:v>0.5546</x:v>
      </x:c>
      <x:c r="E399" s="82" t="n">
        <x:v>67.61</x:v>
      </x:c>
      <x:c r="F399" s="82" t="s"/>
    </x:row>
    <x:row r="400" spans="1:13" x14ac:dyDescent="0.25">
      <x:c r="B400" s="82" t="n">
        <x:v>39.64</x:v>
      </x:c>
      <x:c r="C400" s="82" t="n">
        <x:v>1</x:v>
      </x:c>
      <x:c r="D400" s="82" t="n">
        <x:v>0.5547</x:v>
      </x:c>
      <x:c r="E400" s="82" t="n">
        <x:v>67.31</x:v>
      </x:c>
      <x:c r="F400" s="82" t="s"/>
    </x:row>
    <x:row r="401" spans="1:13" x14ac:dyDescent="0.25">
      <x:c r="B401" s="82" t="n">
        <x:v>40.153</x:v>
      </x:c>
      <x:c r="C401" s="82" t="n">
        <x:v>1</x:v>
      </x:c>
      <x:c r="D401" s="82" t="n">
        <x:v>0.5539</x:v>
      </x:c>
      <x:c r="E401" s="82" t="n">
        <x:v>67.1</x:v>
      </x:c>
      <x:c r="F401" s="82" t="s"/>
    </x:row>
    <x:row r="402" spans="1:13" x14ac:dyDescent="0.25">
      <x:c r="B402" s="82" t="n">
        <x:v>40.665</x:v>
      </x:c>
      <x:c r="C402" s="82" t="n">
        <x:v>1</x:v>
      </x:c>
      <x:c r="D402" s="82" t="n">
        <x:v>0.5533</x:v>
      </x:c>
      <x:c r="E402" s="82" t="n">
        <x:v>66.88</x:v>
      </x:c>
      <x:c r="F402" s="82" t="s"/>
    </x:row>
    <x:row r="403" spans="1:13" x14ac:dyDescent="0.25">
      <x:c r="B403" s="82" t="n">
        <x:v>41.432</x:v>
      </x:c>
      <x:c r="C403" s="82" t="n">
        <x:v>0.9999</x:v>
      </x:c>
      <x:c r="D403" s="82" t="n">
        <x:v>0.5552</x:v>
      </x:c>
      <x:c r="E403" s="82" t="n">
        <x:v>66.55</x:v>
      </x:c>
      <x:c r="F403" s="82" t="s"/>
    </x:row>
    <x:row r="404" spans="1:13" x14ac:dyDescent="0.25">
      <x:c r="B404" s="82" t="n">
        <x:v>42.457</x:v>
      </x:c>
      <x:c r="C404" s="82" t="n">
        <x:v>1</x:v>
      </x:c>
      <x:c r="D404" s="82" t="n">
        <x:v>0.5533</x:v>
      </x:c>
      <x:c r="E404" s="82" t="n">
        <x:v>66.17</x:v>
      </x:c>
      <x:c r="F404" s="82" t="s"/>
    </x:row>
    <x:row r="405" spans="1:13" x14ac:dyDescent="0.25">
      <x:c r="B405" s="82" t="n">
        <x:v>43.48</x:v>
      </x:c>
      <x:c r="C405" s="82" t="n">
        <x:v>1</x:v>
      </x:c>
      <x:c r="D405" s="82" t="n">
        <x:v>0.5552</x:v>
      </x:c>
      <x:c r="E405" s="82" t="n">
        <x:v>65.7</x:v>
      </x:c>
      <x:c r="F405" s="82" t="s"/>
    </x:row>
    <x:row r="406" spans="1:13" x14ac:dyDescent="0.25">
      <x:c r="B406" s="82" t="n">
        <x:v>44.505</x:v>
      </x:c>
      <x:c r="C406" s="82" t="n">
        <x:v>1</x:v>
      </x:c>
      <x:c r="D406" s="82" t="n">
        <x:v>0.5548</x:v>
      </x:c>
      <x:c r="E406" s="82" t="n">
        <x:v>65.21</x:v>
      </x:c>
      <x:c r="F406" s="82" t="s"/>
    </x:row>
    <x:row r="407" spans="1:13" x14ac:dyDescent="0.25">
      <x:c r="B407" s="82" t="n">
        <x:v>45.528</x:v>
      </x:c>
      <x:c r="C407" s="82" t="n">
        <x:v>1</x:v>
      </x:c>
      <x:c r="D407" s="82" t="n">
        <x:v>0.5554</x:v>
      </x:c>
      <x:c r="E407" s="82" t="n">
        <x:v>64.77</x:v>
      </x:c>
      <x:c r="F407" s="82" t="s"/>
    </x:row>
    <x:row r="408" spans="1:13" x14ac:dyDescent="0.25">
      <x:c r="B408" s="82" t="n">
        <x:v>46.553</x:v>
      </x:c>
      <x:c r="C408" s="82" t="n">
        <x:v>1</x:v>
      </x:c>
      <x:c r="D408" s="82" t="n">
        <x:v>0.5535</x:v>
      </x:c>
      <x:c r="E408" s="82" t="n">
        <x:v>64.35</x:v>
      </x:c>
      <x:c r="F408" s="82" t="s"/>
    </x:row>
    <x:row r="409" spans="1:13" x14ac:dyDescent="0.25">
      <x:c r="B409" s="82" t="n">
        <x:v>47.576</x:v>
      </x:c>
      <x:c r="C409" s="82" t="n">
        <x:v>1</x:v>
      </x:c>
      <x:c r="D409" s="82" t="n">
        <x:v>0.5525</x:v>
      </x:c>
      <x:c r="E409" s="82" t="n">
        <x:v>63.94</x:v>
      </x:c>
      <x:c r="F409" s="82" t="s"/>
    </x:row>
    <x:row r="410" spans="1:13" x14ac:dyDescent="0.25">
      <x:c r="B410" s="82" t="n">
        <x:v>48.6</x:v>
      </x:c>
      <x:c r="C410" s="82" t="n">
        <x:v>1</x:v>
      </x:c>
      <x:c r="D410" s="82" t="n">
        <x:v>0.5522</x:v>
      </x:c>
      <x:c r="E410" s="82" t="n">
        <x:v>63.49</x:v>
      </x:c>
      <x:c r="F410" s="82" t="s"/>
    </x:row>
    <x:row r="411" spans="1:13" x14ac:dyDescent="0.25">
      <x:c r="B411" s="82" t="n">
        <x:v>49.625</x:v>
      </x:c>
      <x:c r="C411" s="82" t="n">
        <x:v>1</x:v>
      </x:c>
      <x:c r="D411" s="82" t="n">
        <x:v>0.5539</x:v>
      </x:c>
      <x:c r="E411" s="82" t="n">
        <x:v>62.96</x:v>
      </x:c>
      <x:c r="F411" s="82" t="s"/>
    </x:row>
    <x:row r="412" spans="1:13" x14ac:dyDescent="0.25">
      <x:c r="B412" s="82" t="n">
        <x:v>50.648</x:v>
      </x:c>
      <x:c r="C412" s="82" t="n">
        <x:v>1</x:v>
      </x:c>
      <x:c r="D412" s="82" t="n">
        <x:v>0.5495</x:v>
      </x:c>
      <x:c r="E412" s="82" t="n">
        <x:v>62.53</x:v>
      </x:c>
      <x:c r="F412" s="82" t="s"/>
    </x:row>
    <x:row r="413" spans="1:13" x14ac:dyDescent="0.25">
      <x:c r="B413" s="82" t="n">
        <x:v>51.673</x:v>
      </x:c>
      <x:c r="C413" s="82" t="n">
        <x:v>1</x:v>
      </x:c>
      <x:c r="D413" s="82" t="n">
        <x:v>0.5491</x:v>
      </x:c>
      <x:c r="E413" s="82" t="n">
        <x:v>61.96</x:v>
      </x:c>
      <x:c r="F413" s="82" t="s"/>
    </x:row>
    <x:row r="414" spans="1:13" x14ac:dyDescent="0.25">
      <x:c r="B414" s="82" t="n">
        <x:v>52.696</x:v>
      </x:c>
      <x:c r="C414" s="82" t="n">
        <x:v>1</x:v>
      </x:c>
      <x:c r="D414" s="82" t="n">
        <x:v>0.5493</x:v>
      </x:c>
      <x:c r="E414" s="82" t="n">
        <x:v>61.45</x:v>
      </x:c>
      <x:c r="F414" s="82" t="s"/>
    </x:row>
    <x:row r="415" spans="1:13" x14ac:dyDescent="0.25">
      <x:c r="B415" s="82" t="n">
        <x:v>53.721</x:v>
      </x:c>
      <x:c r="C415" s="82" t="n">
        <x:v>1</x:v>
      </x:c>
      <x:c r="D415" s="82" t="n">
        <x:v>0.5491</x:v>
      </x:c>
      <x:c r="E415" s="82" t="n">
        <x:v>61.03</x:v>
      </x:c>
      <x:c r="F415" s="82" t="s"/>
    </x:row>
    <x:row r="416" spans="1:13" x14ac:dyDescent="0.25">
      <x:c r="B416" s="82" t="n">
        <x:v>54.744</x:v>
      </x:c>
      <x:c r="C416" s="82" t="n">
        <x:v>1</x:v>
      </x:c>
      <x:c r="D416" s="82" t="n">
        <x:v>0.5499</x:v>
      </x:c>
      <x:c r="E416" s="82" t="n">
        <x:v>60.52</x:v>
      </x:c>
      <x:c r="F416" s="82" t="s"/>
    </x:row>
    <x:row r="417" spans="1:13" x14ac:dyDescent="0.25">
      <x:c r="B417" s="82" t="n">
        <x:v>55.769</x:v>
      </x:c>
      <x:c r="C417" s="82" t="n">
        <x:v>1</x:v>
      </x:c>
      <x:c r="D417" s="82" t="n">
        <x:v>0.4747</x:v>
      </x:c>
      <x:c r="E417" s="82" t="n">
        <x:v>60.19</x:v>
      </x:c>
      <x:c r="F417" s="82" t="s"/>
    </x:row>
    <x:row r="418" spans="1:13" x14ac:dyDescent="0.25">
      <x:c r="B418" s="82" t="n">
        <x:v>56.792</x:v>
      </x:c>
      <x:c r="C418" s="82" t="n">
        <x:v>1</x:v>
      </x:c>
      <x:c r="D418" s="82" t="n">
        <x:v>0.462</x:v>
      </x:c>
      <x:c r="E418" s="82" t="n">
        <x:v>60.02</x:v>
      </x:c>
      <x:c r="F418" s="82" t="s"/>
    </x:row>
    <x:row r="419" spans="1:13" x14ac:dyDescent="0.25">
      <x:c r="B419" s="82" t="n">
        <x:v>57.817</x:v>
      </x:c>
      <x:c r="C419" s="82" t="n">
        <x:v>1</x:v>
      </x:c>
      <x:c r="D419" s="82" t="n">
        <x:v>0.4521</x:v>
      </x:c>
      <x:c r="E419" s="82" t="n">
        <x:v>59.82</x:v>
      </x:c>
      <x:c r="F419" s="82" t="s"/>
    </x:row>
    <x:row r="420" spans="1:13" x14ac:dyDescent="0.25">
      <x:c r="B420" s="82" t="n">
        <x:v>58.84</x:v>
      </x:c>
      <x:c r="C420" s="82" t="n">
        <x:v>1</x:v>
      </x:c>
      <x:c r="D420" s="82" t="n">
        <x:v>0.4432</x:v>
      </x:c>
      <x:c r="E420" s="82" t="n">
        <x:v>59.61</x:v>
      </x:c>
      <x:c r="F420" s="82" t="s"/>
    </x:row>
    <x:row r="421" spans="1:13" x14ac:dyDescent="0.25">
      <x:c r="B421" s="82" t="s"/>
      <x:c r="C421" s="82" t="s"/>
      <x:c r="D421" s="82" t="s"/>
      <x:c r="E421" s="82" t="s"/>
      <x:c r="F421" s="82" t="s"/>
    </x:row>
    <x:row r="422" spans="1:13" x14ac:dyDescent="0.25">
      <x:c r="B422" s="82" t="s"/>
      <x:c r="C422" s="82" t="s"/>
      <x:c r="D422" s="82" t="s"/>
      <x:c r="E422" s="82" t="s"/>
      <x:c r="F422" s="82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ignoredErrors>
    <x:ignoredError sqref="H25:H26" formulaRange="1"/>
  </x:ignoredErrors>
  <x:drawing r:id="rId1"/>
  <x:legacyDrawing r:id="rId2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6145" r:id="rId3" name="Button 1">
              <x:controlPr defaultSize="0" print="0" autoFill="0" autoPict="0" macro="[0]!_xludf.Yield">
                <x:anchor moveWithCells="1" sizeWithCells="1">
                  <x:from>
                    <xdr:col>6</xdr:col>
                    <xdr:colOff>238125</xdr:colOff>
                    <xdr:row>27</xdr:row>
                    <xdr:rowOff>47625</xdr:rowOff>
                  </x:from>
                  <x:to>
                    <xdr:col>7</xdr:col>
                    <xdr:colOff>619125</xdr:colOff>
                    <xdr:row>29</xdr:row>
                    <xdr:rowOff>47625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4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2">
    <x:outlinePr summaryBelow="1" summaryRight="1"/>
  </x:sheetPr>
  <x:dimension ref="A1:J421"/>
  <x:sheetViews>
    <x:sheetView workbookViewId="0">
      <x:selection activeCell="I3" sqref="I3 I3:I7"/>
    </x:sheetView>
  </x:sheetViews>
  <x:sheetFormatPr defaultRowHeight="15" x14ac:dyDescent="0.25"/>
  <x:cols>
    <x:col min="1" max="7" width="9.140625" style="82" customWidth="1"/>
    <x:col min="8" max="8" width="25.5703125" style="82" bestFit="1" customWidth="1"/>
  </x:cols>
  <x:sheetData>
    <x:row r="1" spans="1:10" s="82" customFormat="1" x14ac:dyDescent="0.25">
      <x:c r="I1" s="115" t="s">
        <x:v>55</x:v>
      </x:c>
      <x:c r="J1" s="82" t="n">
        <x:v>1</x:v>
      </x:c>
    </x:row>
    <x:row r="2" spans="1:10" x14ac:dyDescent="0.25">
      <x:c r="A2" s="82" t="s">
        <x:v>54</x:v>
      </x:c>
      <x:c r="B2" s="82" t="s">
        <x:v>55</x:v>
      </x:c>
      <x:c r="C2" s="82" t="s">
        <x:v>56</x:v>
      </x:c>
      <x:c r="D2" s="82" t="s">
        <x:v>57</x:v>
      </x:c>
      <x:c r="E2" s="82" t="s">
        <x:v>95</x:v>
      </x:c>
      <x:c r="F2" s="82" t="s">
        <x:v>96</x:v>
      </x:c>
    </x:row>
    <x:row r="3" spans="1:10" customFormat="1" ht="15.75" customHeight="1" thickBot="1" x14ac:dyDescent="0.3">
      <x:c r="A3" s="125" t="s">
        <x:v>62</x:v>
      </x:c>
      <x:c r="B3" s="82" t="s">
        <x:v>63</x:v>
      </x:c>
      <x:c r="C3" s="82" t="s">
        <x:v>59</x:v>
      </x:c>
      <x:c r="D3" s="82" t="s">
        <x:v>64</x:v>
      </x:c>
      <x:c r="E3" s="82" t="s">
        <x:v>63</x:v>
      </x:c>
      <x:c r="F3" s="82" t="s">
        <x:v>64</x:v>
      </x:c>
      <x:c r="H3" s="12" t="s">
        <x:v>25</x:v>
      </x:c>
      <x:c r="I3" s="115">
        <x:f>IF(AVERAGE(INDIRECT("F"&amp;MATCH(MAX(F1:F322),F1:F322,0)&amp;":"&amp;"F"&amp;MATCH(MAX(F1:F322),F1:F322,0)+100))&lt;INDIRECT("F"&amp;MATCH(MAX(F1:F322),F1:F322,0)),1,0)</x:f>
      </x:c>
    </x:row>
    <x:row r="4" spans="1:10" customFormat="1" ht="15.75" customHeight="1" thickBot="1" x14ac:dyDescent="0.3">
      <x:c r="A4" s="118" t="n">
        <x:v>0.001</x:v>
      </x:c>
      <x:c r="B4" s="118" t="n">
        <x:v>-0.01407</x:v>
      </x:c>
      <x:c r="C4" s="118" t="n">
        <x:v>0.353</x:v>
      </x:c>
      <x:c r="D4" s="82" t="n">
        <x:v>-19.58</x:v>
      </x:c>
      <x:c r="E4" s="82">
        <x:f>IF(B4=MEDIAN($J$1-0.05,$J$1+0.05,B4),B4,0)</x:f>
      </x:c>
      <x:c r="F4" s="82">
        <x:f>IF(E4=0,0,D4)</x:f>
      </x:c>
      <x:c r="H4" s="12" t="s">
        <x:v>26</x:v>
      </x:c>
      <x:c r="I4" s="82">
        <x:f>VLOOKUP(5,A4:D421,4,TRUE)</x:f>
      </x:c>
    </x:row>
    <x:row r="5" spans="1:10" customFormat="1" ht="15.75" customHeight="1" thickBot="1" x14ac:dyDescent="0.3">
      <x:c r="A5" s="125" t="n">
        <x:v>0.002</x:v>
      </x:c>
      <x:c r="B5" s="118" t="n">
        <x:v>-0.02229</x:v>
      </x:c>
      <x:c r="C5" s="118" t="n">
        <x:v>0.353</x:v>
      </x:c>
      <x:c r="D5" s="118" t="n">
        <x:v>-19.6</x:v>
      </x:c>
      <x:c r="E5" s="82">
        <x:f>IF(B5=MEDIAN($J$1-0.05,$J$1+0.05,B5),B5,0)</x:f>
      </x:c>
      <x:c r="F5" s="82">
        <x:f>IF(E5=0,0,D5)</x:f>
      </x:c>
      <x:c r="H5" s="12" t="s">
        <x:v>27</x:v>
      </x:c>
      <x:c r="I5" s="82">
        <x:f>VLOOKUP(60,A4:D421,4,TRUE)</x:f>
      </x:c>
    </x:row>
    <x:row r="6" spans="1:10" customFormat="1" ht="15.75" customHeight="1" thickBot="1" x14ac:dyDescent="0.3">
      <x:c r="A6" s="118" t="n">
        <x:v>0.003</x:v>
      </x:c>
      <x:c r="B6" s="118" t="n">
        <x:v>-0.02896</x:v>
      </x:c>
      <x:c r="C6" s="118" t="n">
        <x:v>0.353</x:v>
      </x:c>
      <x:c r="D6" s="118" t="n">
        <x:v>-19.6</x:v>
      </x:c>
      <x:c r="E6" s="82">
        <x:f>IF(B6=MEDIAN($J$1-0.05,$J$1+0.05,B6),B6,0)</x:f>
      </x:c>
      <x:c r="F6" s="82">
        <x:f>IF(E6=0,0,D6)</x:f>
      </x:c>
      <x:c r="H6" s="12" t="s">
        <x:v>28</x:v>
      </x:c>
      <x:c r="I6" s="82">
        <x:f>I5-I4</x:f>
      </x:c>
    </x:row>
    <x:row r="7" spans="1:10" customFormat="1" ht="15.75" customHeight="1" thickBot="1" x14ac:dyDescent="0.3">
      <x:c r="A7" s="118" t="n">
        <x:v>0.004</x:v>
      </x:c>
      <x:c r="B7" s="118" t="n">
        <x:v>-0.03494</x:v>
      </x:c>
      <x:c r="C7" s="118" t="n">
        <x:v>0.353</x:v>
      </x:c>
      <x:c r="D7" s="118" t="n">
        <x:v>-19.59</x:v>
      </x:c>
      <x:c r="E7" s="82">
        <x:f>IF(B7=MEDIAN($J$1-0.05,$J$1+0.05,B7),B7,0)</x:f>
      </x:c>
      <x:c r="F7" s="82">
        <x:f>IF(E7=0,0,D7)</x:f>
      </x:c>
      <x:c r="H7" s="12" t="s">
        <x:v>29</x:v>
      </x:c>
      <x:c r="I7" s="82">
        <x:f>IF(I3=1,MAX(D4:D421),"")</x:f>
      </x:c>
    </x:row>
    <x:row r="8" spans="1:10" x14ac:dyDescent="0.25">
      <x:c r="A8" s="102" t="n">
        <x:v>0.005</x:v>
      </x:c>
      <x:c r="B8" s="118" t="n">
        <x:v>-0.03868</x:v>
      </x:c>
      <x:c r="C8" s="118" t="n">
        <x:v>0.353</x:v>
      </x:c>
      <x:c r="D8" s="118" t="n">
        <x:v>-19.56</x:v>
      </x:c>
      <x:c r="E8" s="82">
        <x:f>IF(B8=MEDIAN($J$1-0.05,$J$1+0.05,B8),B8,0)</x:f>
      </x:c>
      <x:c r="F8" s="82">
        <x:f>IF(E8=0,0,D8)</x:f>
      </x:c>
    </x:row>
    <x:row r="9" spans="1:10" x14ac:dyDescent="0.25">
      <x:c r="A9" s="102" t="n">
        <x:v>0.006</x:v>
      </x:c>
      <x:c r="B9" s="118" t="n">
        <x:v>-0.04203</x:v>
      </x:c>
      <x:c r="C9" s="118" t="n">
        <x:v>0.353</x:v>
      </x:c>
      <x:c r="D9" s="118" t="n">
        <x:v>-19.52</x:v>
      </x:c>
      <x:c r="E9" s="82">
        <x:f>IF(B9=MEDIAN($J$1-0.05,$J$1+0.05,B9),B9,0)</x:f>
      </x:c>
      <x:c r="F9" s="82">
        <x:f>IF(E9=0,0,D9)</x:f>
      </x:c>
    </x:row>
    <x:row r="10" spans="1:10" x14ac:dyDescent="0.25">
      <x:c r="A10" s="118" t="n">
        <x:v>0.007</x:v>
      </x:c>
      <x:c r="B10" s="118" t="n">
        <x:v>-0.04255</x:v>
      </x:c>
      <x:c r="C10" s="118" t="n">
        <x:v>0.353</x:v>
      </x:c>
      <x:c r="D10" s="118" t="n">
        <x:v>-19.48</x:v>
      </x:c>
      <x:c r="E10" s="82">
        <x:f>IF(B10=MEDIAN($J$1-0.05,$J$1+0.05,B10),B10,0)</x:f>
      </x:c>
      <x:c r="F10" s="82">
        <x:f>IF(E10=0,0,D10)</x:f>
      </x:c>
    </x:row>
    <x:row r="11" spans="1:10" x14ac:dyDescent="0.25">
      <x:c r="A11" s="118" t="n">
        <x:v>0.008</x:v>
      </x:c>
      <x:c r="B11" s="118" t="n">
        <x:v>-0.04174</x:v>
      </x:c>
      <x:c r="C11" s="118" t="n">
        <x:v>0.353</x:v>
      </x:c>
      <x:c r="D11" s="118" t="n">
        <x:v>-19.42</x:v>
      </x:c>
      <x:c r="E11" s="82">
        <x:f>IF(B11=MEDIAN($J$1-0.05,$J$1+0.05,B11),B11,0)</x:f>
      </x:c>
      <x:c r="F11" s="82">
        <x:f>IF(E11=0,0,D11)</x:f>
      </x:c>
    </x:row>
    <x:row r="12" spans="1:10" x14ac:dyDescent="0.25">
      <x:c r="A12" s="118" t="n">
        <x:v>0.009</x:v>
      </x:c>
      <x:c r="B12" s="118" t="n">
        <x:v>-0.03948</x:v>
      </x:c>
      <x:c r="C12" s="118" t="n">
        <x:v>0.353</x:v>
      </x:c>
      <x:c r="D12" s="118" t="n">
        <x:v>-19.37</x:v>
      </x:c>
      <x:c r="E12" s="82">
        <x:f>IF(B12=MEDIAN($J$1-0.05,$J$1+0.05,B12),B12,0)</x:f>
      </x:c>
      <x:c r="F12" s="82">
        <x:f>IF(E12=0,0,D12)</x:f>
      </x:c>
    </x:row>
    <x:row r="13" spans="1:10" x14ac:dyDescent="0.25">
      <x:c r="A13" s="82" t="n">
        <x:v>0.01</x:v>
      </x:c>
      <x:c r="B13" s="118" t="n">
        <x:v>-0.03585</x:v>
      </x:c>
      <x:c r="C13" s="118" t="n">
        <x:v>0.353</x:v>
      </x:c>
      <x:c r="D13" s="118" t="n">
        <x:v>-19.31</x:v>
      </x:c>
      <x:c r="E13" s="82">
        <x:f>IF(B13=MEDIAN($J$1-0.05,$J$1+0.05,B13),B13,0)</x:f>
      </x:c>
      <x:c r="F13" s="82">
        <x:f>IF(E13=0,0,D13)</x:f>
      </x:c>
    </x:row>
    <x:row r="14" spans="1:10" x14ac:dyDescent="0.25">
      <x:c r="A14" s="82" t="n">
        <x:v>0.011</x:v>
      </x:c>
      <x:c r="B14" s="118" t="n">
        <x:v>-0.02995</x:v>
      </x:c>
      <x:c r="C14" s="118" t="n">
        <x:v>0.353</x:v>
      </x:c>
      <x:c r="D14" s="118" t="n">
        <x:v>-19.25</x:v>
      </x:c>
      <x:c r="E14" s="82">
        <x:f>IF(B14=MEDIAN($J$1-0.05,$J$1+0.05,B14),B14,0)</x:f>
      </x:c>
      <x:c r="F14" s="82">
        <x:f>IF(E14=0,0,D14)</x:f>
      </x:c>
    </x:row>
    <x:row r="15" spans="1:10" x14ac:dyDescent="0.25">
      <x:c r="A15" s="82" t="n">
        <x:v>0.012</x:v>
      </x:c>
      <x:c r="B15" s="118" t="n">
        <x:v>-0.0221</x:v>
      </x:c>
      <x:c r="C15" s="118" t="n">
        <x:v>0.353</x:v>
      </x:c>
      <x:c r="D15" s="118" t="n">
        <x:v>-19.18</x:v>
      </x:c>
      <x:c r="E15" s="82">
        <x:f>IF(B15=MEDIAN($J$1-0.05,$J$1+0.05,B15),B15,0)</x:f>
      </x:c>
      <x:c r="F15" s="82">
        <x:f>IF(E15=0,0,D15)</x:f>
      </x:c>
    </x:row>
    <x:row r="16" spans="1:10" x14ac:dyDescent="0.25">
      <x:c r="A16" s="82" t="n">
        <x:v>0.013</x:v>
      </x:c>
      <x:c r="B16" s="118" t="n">
        <x:v>-0.01249</x:v>
      </x:c>
      <x:c r="C16" s="118" t="n">
        <x:v>0.353</x:v>
      </x:c>
      <x:c r="D16" s="118" t="n">
        <x:v>-19.12</x:v>
      </x:c>
      <x:c r="E16" s="82">
        <x:f>IF(B16=MEDIAN($J$1-0.05,$J$1+0.05,B16),B16,0)</x:f>
      </x:c>
      <x:c r="F16" s="82">
        <x:f>IF(E16=0,0,D16)</x:f>
      </x:c>
    </x:row>
    <x:row r="17" spans="1:10" x14ac:dyDescent="0.25">
      <x:c r="A17" s="82" t="n">
        <x:v>0.014</x:v>
      </x:c>
      <x:c r="B17" s="118" t="n">
        <x:v>-0.000936</x:v>
      </x:c>
      <x:c r="C17" s="118" t="n">
        <x:v>0.353</x:v>
      </x:c>
      <x:c r="D17" s="118" t="n">
        <x:v>-19.06</x:v>
      </x:c>
      <x:c r="E17" s="82">
        <x:f>IF(B17=MEDIAN($J$1-0.05,$J$1+0.05,B17),B17,0)</x:f>
      </x:c>
      <x:c r="F17" s="82">
        <x:f>IF(E17=0,0,D17)</x:f>
      </x:c>
    </x:row>
    <x:row r="18" spans="1:10" x14ac:dyDescent="0.25">
      <x:c r="A18" s="82" t="n">
        <x:v>0.015</x:v>
      </x:c>
      <x:c r="B18" s="118" t="n">
        <x:v>0.01206</x:v>
      </x:c>
      <x:c r="C18" s="118" t="n">
        <x:v>0.353</x:v>
      </x:c>
      <x:c r="D18" s="118" t="n">
        <x:v>-19</x:v>
      </x:c>
      <x:c r="E18" s="82">
        <x:f>IF(B18=MEDIAN($J$1-0.05,$J$1+0.05,B18),B18,0)</x:f>
      </x:c>
      <x:c r="F18" s="82">
        <x:f>IF(E18=0,0,D18)</x:f>
      </x:c>
    </x:row>
    <x:row r="19" spans="1:10" x14ac:dyDescent="0.25">
      <x:c r="A19" s="82" t="n">
        <x:v>0.016</x:v>
      </x:c>
      <x:c r="B19" s="118" t="n">
        <x:v>0.02514</x:v>
      </x:c>
      <x:c r="C19" s="118" t="n">
        <x:v>0.353</x:v>
      </x:c>
      <x:c r="D19" s="118" t="n">
        <x:v>-18.95</x:v>
      </x:c>
      <x:c r="E19" s="82">
        <x:f>IF(B19=MEDIAN($J$1-0.05,$J$1+0.05,B19),B19,0)</x:f>
      </x:c>
      <x:c r="F19" s="82">
        <x:f>IF(E19=0,0,D19)</x:f>
      </x:c>
    </x:row>
    <x:row r="20" spans="1:10" x14ac:dyDescent="0.25">
      <x:c r="A20" s="82" t="n">
        <x:v>0.017</x:v>
      </x:c>
      <x:c r="B20" s="118" t="n">
        <x:v>0.03772</x:v>
      </x:c>
      <x:c r="C20" s="118" t="n">
        <x:v>0.353</x:v>
      </x:c>
      <x:c r="D20" s="118" t="n">
        <x:v>-18.9</x:v>
      </x:c>
      <x:c r="E20" s="82">
        <x:f>IF(B20=MEDIAN($J$1-0.05,$J$1+0.05,B20),B20,0)</x:f>
      </x:c>
      <x:c r="F20" s="82">
        <x:f>IF(E20=0,0,D20)</x:f>
      </x:c>
    </x:row>
    <x:row r="21" spans="1:10" x14ac:dyDescent="0.25">
      <x:c r="A21" s="82" t="n">
        <x:v>0.018</x:v>
      </x:c>
      <x:c r="B21" s="118" t="n">
        <x:v>0.0513</x:v>
      </x:c>
      <x:c r="C21" s="118" t="n">
        <x:v>0.353</x:v>
      </x:c>
      <x:c r="D21" s="118" t="n">
        <x:v>-18.84</x:v>
      </x:c>
      <x:c r="E21" s="82">
        <x:f>IF(B21=MEDIAN($J$1-0.05,$J$1+0.05,B21),B21,0)</x:f>
      </x:c>
      <x:c r="F21" s="82">
        <x:f>IF(E21=0,0,D21)</x:f>
      </x:c>
    </x:row>
    <x:row r="22" spans="1:10" x14ac:dyDescent="0.25">
      <x:c r="A22" s="82" t="n">
        <x:v>0.019</x:v>
      </x:c>
      <x:c r="B22" s="118" t="n">
        <x:v>0.06344</x:v>
      </x:c>
      <x:c r="C22" s="118" t="n">
        <x:v>0.353</x:v>
      </x:c>
      <x:c r="D22" s="118" t="n">
        <x:v>-18.79</x:v>
      </x:c>
      <x:c r="E22" s="82">
        <x:f>IF(B22=MEDIAN($J$1-0.05,$J$1+0.05,B22),B22,0)</x:f>
      </x:c>
      <x:c r="F22" s="82">
        <x:f>IF(E22=0,0,D22)</x:f>
      </x:c>
    </x:row>
    <x:row r="23" spans="1:10" x14ac:dyDescent="0.25">
      <x:c r="A23" s="82" t="n">
        <x:v>0.02</x:v>
      </x:c>
      <x:c r="B23" s="118" t="n">
        <x:v>0.07644</x:v>
      </x:c>
      <x:c r="C23" s="118" t="n">
        <x:v>0.353</x:v>
      </x:c>
      <x:c r="D23" s="118" t="n">
        <x:v>-18.75</x:v>
      </x:c>
      <x:c r="E23" s="82">
        <x:f>IF(B23=MEDIAN($J$1-0.05,$J$1+0.05,B23),B23,0)</x:f>
      </x:c>
      <x:c r="F23" s="82">
        <x:f>IF(E23=0,0,D23)</x:f>
      </x:c>
    </x:row>
    <x:row r="24" spans="1:10" x14ac:dyDescent="0.25">
      <x:c r="A24" s="82" t="n">
        <x:v>0.021</x:v>
      </x:c>
      <x:c r="B24" s="118" t="n">
        <x:v>0.08961</x:v>
      </x:c>
      <x:c r="C24" s="118" t="n">
        <x:v>0.353</x:v>
      </x:c>
      <x:c r="D24" s="118" t="n">
        <x:v>-18.7</x:v>
      </x:c>
      <x:c r="E24" s="82">
        <x:f>IF(B24=MEDIAN($J$1-0.05,$J$1+0.05,B24),B24,0)</x:f>
      </x:c>
      <x:c r="F24" s="82">
        <x:f>IF(E24=0,0,D24)</x:f>
      </x:c>
    </x:row>
    <x:row r="25" spans="1:10" x14ac:dyDescent="0.25">
      <x:c r="A25" s="82" t="n">
        <x:v>0.022</x:v>
      </x:c>
      <x:c r="B25" s="118" t="n">
        <x:v>0.1011</x:v>
      </x:c>
      <x:c r="C25" s="118" t="n">
        <x:v>0.353</x:v>
      </x:c>
      <x:c r="D25" s="118" t="n">
        <x:v>-18.65</x:v>
      </x:c>
      <x:c r="E25" s="82">
        <x:f>IF(B25=MEDIAN($J$1-0.05,$J$1+0.05,B25),B25,0)</x:f>
      </x:c>
      <x:c r="F25" s="82">
        <x:f>IF(E25=0,0,D25)</x:f>
      </x:c>
    </x:row>
    <x:row r="26" spans="1:10" x14ac:dyDescent="0.25">
      <x:c r="A26" s="82" t="n">
        <x:v>0.023</x:v>
      </x:c>
      <x:c r="B26" s="118" t="n">
        <x:v>0.1111</x:v>
      </x:c>
      <x:c r="C26" s="118" t="n">
        <x:v>0.353</x:v>
      </x:c>
      <x:c r="D26" s="118" t="n">
        <x:v>-18.61</x:v>
      </x:c>
      <x:c r="E26" s="82">
        <x:f>IF(B26=MEDIAN($J$1-0.05,$J$1+0.05,B26),B26,0)</x:f>
      </x:c>
      <x:c r="F26" s="82">
        <x:f>IF(E26=0,0,D26)</x:f>
      </x:c>
    </x:row>
    <x:row r="27" spans="1:10" x14ac:dyDescent="0.25">
      <x:c r="A27" s="82" t="n">
        <x:v>0.024</x:v>
      </x:c>
      <x:c r="B27" s="118" t="n">
        <x:v>0.1191</x:v>
      </x:c>
      <x:c r="C27" s="118" t="n">
        <x:v>0.353</x:v>
      </x:c>
      <x:c r="D27" s="118" t="n">
        <x:v>-18.56</x:v>
      </x:c>
      <x:c r="E27" s="82">
        <x:f>IF(B27=MEDIAN($J$1-0.05,$J$1+0.05,B27),B27,0)</x:f>
      </x:c>
      <x:c r="F27" s="82">
        <x:f>IF(E27=0,0,D27)</x:f>
      </x:c>
    </x:row>
    <x:row r="28" spans="1:10" x14ac:dyDescent="0.25">
      <x:c r="A28" s="82" t="n">
        <x:v>0.025</x:v>
      </x:c>
      <x:c r="B28" s="82" t="n">
        <x:v>0.1247</x:v>
      </x:c>
      <x:c r="C28" s="118" t="n">
        <x:v>0.353</x:v>
      </x:c>
      <x:c r="D28" s="118" t="n">
        <x:v>-18.52</x:v>
      </x:c>
      <x:c r="E28" s="82">
        <x:f>IF(B28=MEDIAN($J$1-0.05,$J$1+0.05,B28),B28,0)</x:f>
      </x:c>
      <x:c r="F28" s="82">
        <x:f>IF(E28=0,0,D28)</x:f>
      </x:c>
    </x:row>
    <x:row r="29" spans="1:10" x14ac:dyDescent="0.25">
      <x:c r="A29" s="82" t="n">
        <x:v>0.026</x:v>
      </x:c>
      <x:c r="B29" s="82" t="n">
        <x:v>0.1282</x:v>
      </x:c>
      <x:c r="C29" s="118" t="n">
        <x:v>0.353</x:v>
      </x:c>
      <x:c r="D29" s="118" t="n">
        <x:v>-18.47</x:v>
      </x:c>
      <x:c r="E29" s="82">
        <x:f>IF(B29=MEDIAN($J$1-0.05,$J$1+0.05,B29),B29,0)</x:f>
      </x:c>
      <x:c r="F29" s="82">
        <x:f>IF(E29=0,0,D29)</x:f>
      </x:c>
    </x:row>
    <x:row r="30" spans="1:10" x14ac:dyDescent="0.25">
      <x:c r="A30" s="82" t="n">
        <x:v>0.027</x:v>
      </x:c>
      <x:c r="B30" s="118" t="n">
        <x:v>0.1293</x:v>
      </x:c>
      <x:c r="C30" s="118" t="n">
        <x:v>0.353</x:v>
      </x:c>
      <x:c r="D30" s="118" t="n">
        <x:v>-18.41</x:v>
      </x:c>
      <x:c r="E30" s="82">
        <x:f>IF(B30=MEDIAN($J$1-0.05,$J$1+0.05,B30),B30,0)</x:f>
      </x:c>
      <x:c r="F30" s="82">
        <x:f>IF(E30=0,0,D30)</x:f>
      </x:c>
    </x:row>
    <x:row r="31" spans="1:10" x14ac:dyDescent="0.25">
      <x:c r="A31" s="82" t="n">
        <x:v>0.028</x:v>
      </x:c>
      <x:c r="B31" s="118" t="n">
        <x:v>0.1302</x:v>
      </x:c>
      <x:c r="C31" s="118" t="n">
        <x:v>0.353</x:v>
      </x:c>
      <x:c r="D31" s="118" t="n">
        <x:v>-18.36</x:v>
      </x:c>
      <x:c r="E31" s="82">
        <x:f>IF(B31=MEDIAN($J$1-0.05,$J$1+0.05,B31),B31,0)</x:f>
      </x:c>
      <x:c r="F31" s="82">
        <x:f>IF(E31=0,0,D31)</x:f>
      </x:c>
    </x:row>
    <x:row r="32" spans="1:10" x14ac:dyDescent="0.25">
      <x:c r="A32" s="82" t="n">
        <x:v>0.029</x:v>
      </x:c>
      <x:c r="B32" s="118" t="n">
        <x:v>0.1306</x:v>
      </x:c>
      <x:c r="C32" s="118" t="n">
        <x:v>0.353</x:v>
      </x:c>
      <x:c r="D32" s="118" t="n">
        <x:v>-18.3</x:v>
      </x:c>
      <x:c r="E32" s="82">
        <x:f>IF(B32=MEDIAN($J$1-0.05,$J$1+0.05,B32),B32,0)</x:f>
      </x:c>
      <x:c r="F32" s="82">
        <x:f>IF(E32=0,0,D32)</x:f>
      </x:c>
    </x:row>
    <x:row r="33" spans="1:10" x14ac:dyDescent="0.25">
      <x:c r="A33" s="82" t="n">
        <x:v>0.03</x:v>
      </x:c>
      <x:c r="B33" s="118" t="n">
        <x:v>0.1306</x:v>
      </x:c>
      <x:c r="C33" s="118" t="n">
        <x:v>0.353</x:v>
      </x:c>
      <x:c r="D33" s="118" t="n">
        <x:v>-18.23</x:v>
      </x:c>
      <x:c r="E33" s="82">
        <x:f>IF(B33=MEDIAN($J$1-0.05,$J$1+0.05,B33),B33,0)</x:f>
      </x:c>
      <x:c r="F33" s="82">
        <x:f>IF(E33=0,0,D33)</x:f>
      </x:c>
    </x:row>
    <x:row r="34" spans="1:10" x14ac:dyDescent="0.25">
      <x:c r="A34" s="82" t="n">
        <x:v>0.031</x:v>
      </x:c>
      <x:c r="B34" s="118" t="n">
        <x:v>0.1285</x:v>
      </x:c>
      <x:c r="C34" s="118" t="n">
        <x:v>0.353</x:v>
      </x:c>
      <x:c r="D34" s="118" t="n">
        <x:v>-18.17</x:v>
      </x:c>
      <x:c r="E34" s="82">
        <x:f>IF(B34=MEDIAN($J$1-0.05,$J$1+0.05,B34),B34,0)</x:f>
      </x:c>
      <x:c r="F34" s="82">
        <x:f>IF(E34=0,0,D34)</x:f>
      </x:c>
    </x:row>
    <x:row r="35" spans="1:10" x14ac:dyDescent="0.25">
      <x:c r="A35" s="82" t="n">
        <x:v>0.032</x:v>
      </x:c>
      <x:c r="B35" s="118" t="n">
        <x:v>0.1272</x:v>
      </x:c>
      <x:c r="C35" s="118" t="n">
        <x:v>0.353</x:v>
      </x:c>
      <x:c r="D35" s="118" t="n">
        <x:v>-18.1</x:v>
      </x:c>
      <x:c r="E35" s="82">
        <x:f>IF(B35=MEDIAN($J$1-0.05,$J$1+0.05,B35),B35,0)</x:f>
      </x:c>
      <x:c r="F35" s="82">
        <x:f>IF(E35=0,0,D35)</x:f>
      </x:c>
    </x:row>
    <x:row r="36" spans="1:10" x14ac:dyDescent="0.25">
      <x:c r="A36" s="82" t="n">
        <x:v>0.033</x:v>
      </x:c>
      <x:c r="B36" s="118" t="n">
        <x:v>0.1234</x:v>
      </x:c>
      <x:c r="C36" s="118" t="n">
        <x:v>0.353</x:v>
      </x:c>
      <x:c r="D36" s="118" t="n">
        <x:v>-18.03</x:v>
      </x:c>
      <x:c r="E36" s="82">
        <x:f>IF(B36=MEDIAN($J$1-0.05,$J$1+0.05,B36),B36,0)</x:f>
      </x:c>
      <x:c r="F36" s="82">
        <x:f>IF(E36=0,0,D36)</x:f>
      </x:c>
    </x:row>
    <x:row r="37" spans="1:10" x14ac:dyDescent="0.25">
      <x:c r="A37" s="82" t="n">
        <x:v>0.034</x:v>
      </x:c>
      <x:c r="B37" s="118" t="n">
        <x:v>0.1189</x:v>
      </x:c>
      <x:c r="C37" s="118" t="n">
        <x:v>0.353</x:v>
      </x:c>
      <x:c r="D37" s="118" t="n">
        <x:v>-17.96</x:v>
      </x:c>
      <x:c r="E37" s="82">
        <x:f>IF(B37=MEDIAN($J$1-0.05,$J$1+0.05,B37),B37,0)</x:f>
      </x:c>
      <x:c r="F37" s="82">
        <x:f>IF(E37=0,0,D37)</x:f>
      </x:c>
    </x:row>
    <x:row r="38" spans="1:10" x14ac:dyDescent="0.25">
      <x:c r="A38" s="82" t="n">
        <x:v>0.035</x:v>
      </x:c>
      <x:c r="B38" s="118" t="n">
        <x:v>0.1131</x:v>
      </x:c>
      <x:c r="C38" s="118" t="n">
        <x:v>0.353</x:v>
      </x:c>
      <x:c r="D38" s="118" t="n">
        <x:v>-17.89</x:v>
      </x:c>
      <x:c r="E38" s="82">
        <x:f>IF(B38=MEDIAN($J$1-0.05,$J$1+0.05,B38),B38,0)</x:f>
      </x:c>
      <x:c r="F38" s="82">
        <x:f>IF(E38=0,0,D38)</x:f>
      </x:c>
    </x:row>
    <x:row r="39" spans="1:10" x14ac:dyDescent="0.25">
      <x:c r="A39" s="82" t="n">
        <x:v>0.036</x:v>
      </x:c>
      <x:c r="B39" s="118" t="n">
        <x:v>0.1083</x:v>
      </x:c>
      <x:c r="C39" s="118" t="n">
        <x:v>0.353</x:v>
      </x:c>
      <x:c r="D39" s="118" t="n">
        <x:v>-17.81</x:v>
      </x:c>
      <x:c r="E39" s="82">
        <x:f>IF(B39=MEDIAN($J$1-0.05,$J$1+0.05,B39),B39,0)</x:f>
      </x:c>
      <x:c r="F39" s="82">
        <x:f>IF(E39=0,0,D39)</x:f>
      </x:c>
    </x:row>
    <x:row r="40" spans="1:10" x14ac:dyDescent="0.25">
      <x:c r="A40" s="82" t="n">
        <x:v>0.037</x:v>
      </x:c>
      <x:c r="B40" s="118" t="n">
        <x:v>0.1019</x:v>
      </x:c>
      <x:c r="C40" s="118" t="n">
        <x:v>0.353</x:v>
      </x:c>
      <x:c r="D40" s="118" t="n">
        <x:v>-17.73</x:v>
      </x:c>
      <x:c r="E40" s="82">
        <x:f>IF(B40=MEDIAN($J$1-0.05,$J$1+0.05,B40),B40,0)</x:f>
      </x:c>
      <x:c r="F40" s="82">
        <x:f>IF(E40=0,0,D40)</x:f>
      </x:c>
    </x:row>
    <x:row r="41" spans="1:10" x14ac:dyDescent="0.25">
      <x:c r="A41" s="82" t="n">
        <x:v>0.038</x:v>
      </x:c>
      <x:c r="B41" s="118" t="n">
        <x:v>0.09752</x:v>
      </x:c>
      <x:c r="C41" s="118" t="n">
        <x:v>0.353</x:v>
      </x:c>
      <x:c r="D41" s="118" t="n">
        <x:v>-17.64</x:v>
      </x:c>
      <x:c r="E41" s="82">
        <x:f>IF(B41=MEDIAN($J$1-0.05,$J$1+0.05,B41),B41,0)</x:f>
      </x:c>
      <x:c r="F41" s="82">
        <x:f>IF(E41=0,0,D41)</x:f>
      </x:c>
    </x:row>
    <x:row r="42" spans="1:10" x14ac:dyDescent="0.25">
      <x:c r="A42" s="82" t="n">
        <x:v>0.039</x:v>
      </x:c>
      <x:c r="B42" s="118" t="n">
        <x:v>0.09473</x:v>
      </x:c>
      <x:c r="C42" s="118" t="n">
        <x:v>0.353</x:v>
      </x:c>
      <x:c r="D42" s="118" t="n">
        <x:v>-17.56</x:v>
      </x:c>
      <x:c r="E42" s="82">
        <x:f>IF(B42=MEDIAN($J$1-0.05,$J$1+0.05,B42),B42,0)</x:f>
      </x:c>
      <x:c r="F42" s="82">
        <x:f>IF(E42=0,0,D42)</x:f>
      </x:c>
    </x:row>
    <x:row r="43" spans="1:10" x14ac:dyDescent="0.25">
      <x:c r="A43" s="82" t="n">
        <x:v>0.04</x:v>
      </x:c>
      <x:c r="B43" s="118" t="n">
        <x:v>0.09207</x:v>
      </x:c>
      <x:c r="C43" s="118" t="n">
        <x:v>0.353</x:v>
      </x:c>
      <x:c r="D43" s="118" t="n">
        <x:v>-17.48</x:v>
      </x:c>
      <x:c r="E43" s="82">
        <x:f>IF(B43=MEDIAN($J$1-0.05,$J$1+0.05,B43),B43,0)</x:f>
      </x:c>
      <x:c r="F43" s="82">
        <x:f>IF(E43=0,0,D43)</x:f>
      </x:c>
    </x:row>
    <x:row r="44" spans="1:10" x14ac:dyDescent="0.25">
      <x:c r="A44" s="82" t="n">
        <x:v>0.0415</x:v>
      </x:c>
      <x:c r="B44" s="118" t="n">
        <x:v>0.0865</x:v>
      </x:c>
      <x:c r="C44" s="118" t="n">
        <x:v>0.353</x:v>
      </x:c>
      <x:c r="D44" s="118" t="n">
        <x:v>-17.35</x:v>
      </x:c>
      <x:c r="E44" s="82">
        <x:f>IF(B44=MEDIAN($J$1-0.05,$J$1+0.05,B44),B44,0)</x:f>
      </x:c>
      <x:c r="F44" s="82">
        <x:f>IF(E44=0,0,D44)</x:f>
      </x:c>
    </x:row>
    <x:row r="45" spans="1:10" x14ac:dyDescent="0.25">
      <x:c r="A45" s="82" t="n">
        <x:v>0.0435</x:v>
      </x:c>
      <x:c r="B45" s="118" t="n">
        <x:v>0.0814</x:v>
      </x:c>
      <x:c r="C45" s="118" t="n">
        <x:v>0.353</x:v>
      </x:c>
      <x:c r="D45" s="118" t="n">
        <x:v>-17.18</x:v>
      </x:c>
      <x:c r="E45" s="82">
        <x:f>IF(B45=MEDIAN($J$1-0.05,$J$1+0.05,B45),B45,0)</x:f>
      </x:c>
      <x:c r="F45" s="82">
        <x:f>IF(E45=0,0,D45)</x:f>
      </x:c>
    </x:row>
    <x:row r="46" spans="1:10" x14ac:dyDescent="0.25">
      <x:c r="A46" s="82" t="n">
        <x:v>0.0455</x:v>
      </x:c>
      <x:c r="B46" s="118" t="n">
        <x:v>0.07807</x:v>
      </x:c>
      <x:c r="C46" s="118" t="n">
        <x:v>0.353</x:v>
      </x:c>
      <x:c r="D46" s="118" t="n">
        <x:v>-17.01</x:v>
      </x:c>
      <x:c r="E46" s="82">
        <x:f>IF(B46=MEDIAN($J$1-0.05,$J$1+0.05,B46),B46,0)</x:f>
      </x:c>
      <x:c r="F46" s="82">
        <x:f>IF(E46=0,0,D46)</x:f>
      </x:c>
    </x:row>
    <x:row r="47" spans="1:10" x14ac:dyDescent="0.25">
      <x:c r="A47" s="82" t="n">
        <x:v>0.0475</x:v>
      </x:c>
      <x:c r="B47" s="118" t="n">
        <x:v>0.07944</x:v>
      </x:c>
      <x:c r="C47" s="118" t="n">
        <x:v>0.353</x:v>
      </x:c>
      <x:c r="D47" s="118" t="n">
        <x:v>-16.84</x:v>
      </x:c>
      <x:c r="E47" s="82">
        <x:f>IF(B47=MEDIAN($J$1-0.05,$J$1+0.05,B47),B47,0)</x:f>
      </x:c>
      <x:c r="F47" s="82">
        <x:f>IF(E47=0,0,D47)</x:f>
      </x:c>
    </x:row>
    <x:row r="48" spans="1:10" x14ac:dyDescent="0.25">
      <x:c r="A48" s="82" t="n">
        <x:v>0.0495</x:v>
      </x:c>
      <x:c r="B48" s="118" t="n">
        <x:v>0.08107</x:v>
      </x:c>
      <x:c r="C48" s="118" t="n">
        <x:v>0.353</x:v>
      </x:c>
      <x:c r="D48" s="118" t="n">
        <x:v>-16.68</x:v>
      </x:c>
      <x:c r="E48" s="82">
        <x:f>IF(B48=MEDIAN($J$1-0.05,$J$1+0.05,B48),B48,0)</x:f>
      </x:c>
      <x:c r="F48" s="82">
        <x:f>IF(E48=0,0,D48)</x:f>
      </x:c>
    </x:row>
    <x:row r="49" spans="1:10" x14ac:dyDescent="0.25">
      <x:c r="A49" s="82" t="n">
        <x:v>0.0515</x:v>
      </x:c>
      <x:c r="B49" s="118" t="n">
        <x:v>0.08147</x:v>
      </x:c>
      <x:c r="C49" s="118" t="n">
        <x:v>0.353</x:v>
      </x:c>
      <x:c r="D49" s="118" t="n">
        <x:v>-16.52</x:v>
      </x:c>
      <x:c r="E49" s="82">
        <x:f>IF(B49=MEDIAN($J$1-0.05,$J$1+0.05,B49),B49,0)</x:f>
      </x:c>
      <x:c r="F49" s="82">
        <x:f>IF(E49=0,0,D49)</x:f>
      </x:c>
    </x:row>
    <x:row r="50" spans="1:10" x14ac:dyDescent="0.25">
      <x:c r="A50" s="82" t="n">
        <x:v>0.0535</x:v>
      </x:c>
      <x:c r="B50" s="118" t="n">
        <x:v>0.08204</x:v>
      </x:c>
      <x:c r="C50" s="118" t="n">
        <x:v>0.353</x:v>
      </x:c>
      <x:c r="D50" s="118" t="n">
        <x:v>-16.36</x:v>
      </x:c>
      <x:c r="E50" s="82">
        <x:f>IF(B50=MEDIAN($J$1-0.05,$J$1+0.05,B50),B50,0)</x:f>
      </x:c>
      <x:c r="F50" s="82">
        <x:f>IF(E50=0,0,D50)</x:f>
      </x:c>
    </x:row>
    <x:row r="51" spans="1:10" x14ac:dyDescent="0.25">
      <x:c r="A51" s="82" t="n">
        <x:v>0.0555</x:v>
      </x:c>
      <x:c r="B51" s="118" t="n">
        <x:v>0.08522</x:v>
      </x:c>
      <x:c r="C51" s="118" t="n">
        <x:v>0.353</x:v>
      </x:c>
      <x:c r="D51" s="118" t="n">
        <x:v>-16.2</x:v>
      </x:c>
      <x:c r="E51" s="82">
        <x:f>IF(B51=MEDIAN($J$1-0.05,$J$1+0.05,B51),B51,0)</x:f>
      </x:c>
      <x:c r="F51" s="82">
        <x:f>IF(E51=0,0,D51)</x:f>
      </x:c>
    </x:row>
    <x:row r="52" spans="1:10" x14ac:dyDescent="0.25">
      <x:c r="A52" s="82" t="n">
        <x:v>0.0575</x:v>
      </x:c>
      <x:c r="B52" s="118" t="n">
        <x:v>0.09113</x:v>
      </x:c>
      <x:c r="C52" s="118" t="n">
        <x:v>0.353</x:v>
      </x:c>
      <x:c r="D52" s="118" t="n">
        <x:v>-16.05</x:v>
      </x:c>
      <x:c r="E52" s="82">
        <x:f>IF(B52=MEDIAN($J$1-0.05,$J$1+0.05,B52),B52,0)</x:f>
      </x:c>
      <x:c r="F52" s="82">
        <x:f>IF(E52=0,0,D52)</x:f>
      </x:c>
    </x:row>
    <x:row r="53" spans="1:10" x14ac:dyDescent="0.25">
      <x:c r="A53" s="82" t="n">
        <x:v>0.0595</x:v>
      </x:c>
      <x:c r="B53" s="118" t="n">
        <x:v>0.09493</x:v>
      </x:c>
      <x:c r="C53" s="118" t="n">
        <x:v>0.353</x:v>
      </x:c>
      <x:c r="D53" s="118" t="n">
        <x:v>-15.9</x:v>
      </x:c>
      <x:c r="E53" s="82">
        <x:f>IF(B53=MEDIAN($J$1-0.05,$J$1+0.05,B53),B53,0)</x:f>
      </x:c>
      <x:c r="F53" s="82">
        <x:f>IF(E53=0,0,D53)</x:f>
      </x:c>
    </x:row>
    <x:row r="54" spans="1:10" x14ac:dyDescent="0.25">
      <x:c r="A54" s="82" t="n">
        <x:v>0.0615</x:v>
      </x:c>
      <x:c r="B54" s="118" t="n">
        <x:v>0.09836</x:v>
      </x:c>
      <x:c r="C54" s="118" t="n">
        <x:v>0.353</x:v>
      </x:c>
      <x:c r="D54" s="118" t="n">
        <x:v>-15.75</x:v>
      </x:c>
      <x:c r="E54" s="82">
        <x:f>IF(B54=MEDIAN($J$1-0.05,$J$1+0.05,B54),B54,0)</x:f>
      </x:c>
      <x:c r="F54" s="82">
        <x:f>IF(E54=0,0,D54)</x:f>
      </x:c>
    </x:row>
    <x:row r="55" spans="1:10" x14ac:dyDescent="0.25">
      <x:c r="A55" s="82" t="n">
        <x:v>0.0635</x:v>
      </x:c>
      <x:c r="B55" s="118" t="n">
        <x:v>0.1026</x:v>
      </x:c>
      <x:c r="C55" s="118" t="n">
        <x:v>0.353</x:v>
      </x:c>
      <x:c r="D55" s="118" t="n">
        <x:v>-15.6</x:v>
      </x:c>
      <x:c r="E55" s="82">
        <x:f>IF(B55=MEDIAN($J$1-0.05,$J$1+0.05,B55),B55,0)</x:f>
      </x:c>
      <x:c r="F55" s="82">
        <x:f>IF(E55=0,0,D55)</x:f>
      </x:c>
    </x:row>
    <x:row r="56" spans="1:10" x14ac:dyDescent="0.25">
      <x:c r="A56" s="82" t="n">
        <x:v>0.0655</x:v>
      </x:c>
      <x:c r="B56" s="118" t="n">
        <x:v>0.1086</x:v>
      </x:c>
      <x:c r="C56" s="118" t="n">
        <x:v>0.353</x:v>
      </x:c>
      <x:c r="D56" s="118" t="n">
        <x:v>-15.45</x:v>
      </x:c>
      <x:c r="E56" s="82">
        <x:f>IF(B56=MEDIAN($J$1-0.05,$J$1+0.05,B56),B56,0)</x:f>
      </x:c>
      <x:c r="F56" s="82">
        <x:f>IF(E56=0,0,D56)</x:f>
      </x:c>
    </x:row>
    <x:row r="57" spans="1:10" x14ac:dyDescent="0.25">
      <x:c r="A57" s="82" t="n">
        <x:v>0.0675</x:v>
      </x:c>
      <x:c r="B57" s="118" t="n">
        <x:v>0.1115</x:v>
      </x:c>
      <x:c r="C57" s="118" t="n">
        <x:v>0.353</x:v>
      </x:c>
      <x:c r="D57" s="118" t="n">
        <x:v>-15.3</x:v>
      </x:c>
      <x:c r="E57" s="82">
        <x:f>IF(B57=MEDIAN($J$1-0.05,$J$1+0.05,B57),B57,0)</x:f>
      </x:c>
      <x:c r="F57" s="82">
        <x:f>IF(E57=0,0,D57)</x:f>
      </x:c>
    </x:row>
    <x:row r="58" spans="1:10" x14ac:dyDescent="0.25">
      <x:c r="A58" s="82" t="n">
        <x:v>0.0695</x:v>
      </x:c>
      <x:c r="B58" s="118" t="n">
        <x:v>0.1093</x:v>
      </x:c>
      <x:c r="C58" s="118" t="n">
        <x:v>0.353</x:v>
      </x:c>
      <x:c r="D58" s="118" t="n">
        <x:v>-15.15</x:v>
      </x:c>
      <x:c r="E58" s="82">
        <x:f>IF(B58=MEDIAN($J$1-0.05,$J$1+0.05,B58),B58,0)</x:f>
      </x:c>
      <x:c r="F58" s="82">
        <x:f>IF(E58=0,0,D58)</x:f>
      </x:c>
    </x:row>
    <x:row r="59" spans="1:10" x14ac:dyDescent="0.25">
      <x:c r="A59" s="82" t="n">
        <x:v>0.0715</x:v>
      </x:c>
      <x:c r="B59" s="118" t="n">
        <x:v>0.1074</x:v>
      </x:c>
      <x:c r="C59" s="118" t="n">
        <x:v>0.353</x:v>
      </x:c>
      <x:c r="D59" s="118" t="n">
        <x:v>-15</x:v>
      </x:c>
      <x:c r="E59" s="82">
        <x:f>IF(B59=MEDIAN($J$1-0.05,$J$1+0.05,B59),B59,0)</x:f>
      </x:c>
      <x:c r="F59" s="82">
        <x:f>IF(E59=0,0,D59)</x:f>
      </x:c>
    </x:row>
    <x:row r="60" spans="1:10" x14ac:dyDescent="0.25">
      <x:c r="A60" s="82" t="n">
        <x:v>0.0735</x:v>
      </x:c>
      <x:c r="B60" s="118" t="n">
        <x:v>0.1069</x:v>
      </x:c>
      <x:c r="C60" s="118" t="n">
        <x:v>0.353</x:v>
      </x:c>
      <x:c r="D60" s="118" t="n">
        <x:v>-14.84</x:v>
      </x:c>
      <x:c r="E60" s="82">
        <x:f>IF(B60=MEDIAN($J$1-0.05,$J$1+0.05,B60),B60,0)</x:f>
      </x:c>
      <x:c r="F60" s="82">
        <x:f>IF(E60=0,0,D60)</x:f>
      </x:c>
    </x:row>
    <x:row r="61" spans="1:10" x14ac:dyDescent="0.25">
      <x:c r="A61" s="82" t="n">
        <x:v>0.0755</x:v>
      </x:c>
      <x:c r="B61" s="82" t="n">
        <x:v>0.1054</x:v>
      </x:c>
      <x:c r="C61" s="118" t="n">
        <x:v>0.353</x:v>
      </x:c>
      <x:c r="D61" s="118" t="n">
        <x:v>-14.68</x:v>
      </x:c>
      <x:c r="E61" s="82">
        <x:f>IF(B61=MEDIAN($J$1-0.05,$J$1+0.05,B61),B61,0)</x:f>
      </x:c>
      <x:c r="F61" s="82">
        <x:f>IF(E61=0,0,D61)</x:f>
      </x:c>
    </x:row>
    <x:row r="62" spans="1:10" x14ac:dyDescent="0.25">
      <x:c r="A62" s="82" t="n">
        <x:v>0.0775</x:v>
      </x:c>
      <x:c r="B62" s="82" t="n">
        <x:v>0.1003</x:v>
      </x:c>
      <x:c r="C62" s="118" t="n">
        <x:v>0.353</x:v>
      </x:c>
      <x:c r="D62" s="118" t="n">
        <x:v>-14.52</x:v>
      </x:c>
      <x:c r="E62" s="82">
        <x:f>IF(B62=MEDIAN($J$1-0.05,$J$1+0.05,B62),B62,0)</x:f>
      </x:c>
      <x:c r="F62" s="82">
        <x:f>IF(E62=0,0,D62)</x:f>
      </x:c>
    </x:row>
    <x:row r="63" spans="1:10" x14ac:dyDescent="0.25">
      <x:c r="A63" s="82" t="n">
        <x:v>0.0795</x:v>
      </x:c>
      <x:c r="B63" s="118" t="n">
        <x:v>0.09714</x:v>
      </x:c>
      <x:c r="C63" s="118" t="n">
        <x:v>0.353</x:v>
      </x:c>
      <x:c r="D63" s="118" t="n">
        <x:v>-14.36</x:v>
      </x:c>
      <x:c r="E63" s="82">
        <x:f>IF(B63=MEDIAN($J$1-0.05,$J$1+0.05,B63),B63,0)</x:f>
      </x:c>
      <x:c r="F63" s="82">
        <x:f>IF(E63=0,0,D63)</x:f>
      </x:c>
    </x:row>
    <x:row r="64" spans="1:10" x14ac:dyDescent="0.25">
      <x:c r="A64" s="82" t="n">
        <x:v>0.0815</x:v>
      </x:c>
      <x:c r="B64" s="118" t="n">
        <x:v>0.09744</x:v>
      </x:c>
      <x:c r="C64" s="118" t="n">
        <x:v>0.353</x:v>
      </x:c>
      <x:c r="D64" s="118" t="n">
        <x:v>-14.2</x:v>
      </x:c>
      <x:c r="E64" s="82">
        <x:f>IF(B64=MEDIAN($J$1-0.05,$J$1+0.05,B64),B64,0)</x:f>
      </x:c>
      <x:c r="F64" s="82">
        <x:f>IF(E64=0,0,D64)</x:f>
      </x:c>
    </x:row>
    <x:row r="65" spans="1:10" x14ac:dyDescent="0.25">
      <x:c r="A65" s="82" t="n">
        <x:v>0.0835</x:v>
      </x:c>
      <x:c r="B65" s="118" t="n">
        <x:v>0.09604</x:v>
      </x:c>
      <x:c r="C65" s="118" t="n">
        <x:v>0.3591</x:v>
      </x:c>
      <x:c r="D65" s="118" t="n">
        <x:v>-14.03</x:v>
      </x:c>
      <x:c r="E65" s="82">
        <x:f>IF(B65=MEDIAN($J$1-0.05,$J$1+0.05,B65),B65,0)</x:f>
      </x:c>
      <x:c r="F65" s="82">
        <x:f>IF(E65=0,0,D65)</x:f>
      </x:c>
    </x:row>
    <x:row r="66" spans="1:10" x14ac:dyDescent="0.25">
      <x:c r="A66" s="82" t="n">
        <x:v>0.0855</x:v>
      </x:c>
      <x:c r="B66" s="118" t="n">
        <x:v>0.09362</x:v>
      </x:c>
      <x:c r="C66" s="118" t="n">
        <x:v>0.3591</x:v>
      </x:c>
      <x:c r="D66" s="118" t="n">
        <x:v>-13.87</x:v>
      </x:c>
      <x:c r="E66" s="82">
        <x:f>IF(B66=MEDIAN($J$1-0.05,$J$1+0.05,B66),B66,0)</x:f>
      </x:c>
      <x:c r="F66" s="82">
        <x:f>IF(E66=0,0,D66)</x:f>
      </x:c>
    </x:row>
    <x:row r="67" spans="1:10" x14ac:dyDescent="0.25">
      <x:c r="A67" s="82" t="n">
        <x:v>0.0875</x:v>
      </x:c>
      <x:c r="B67" s="118" t="n">
        <x:v>0.09448</x:v>
      </x:c>
      <x:c r="C67" s="118" t="n">
        <x:v>0.3591</x:v>
      </x:c>
      <x:c r="D67" s="118" t="n">
        <x:v>-13.71</x:v>
      </x:c>
      <x:c r="E67" s="82">
        <x:f>IF(B67=MEDIAN($J$1-0.05,$J$1+0.05,B67),B67,0)</x:f>
      </x:c>
      <x:c r="F67" s="82">
        <x:f>IF(E67=0,0,D67)</x:f>
      </x:c>
    </x:row>
    <x:row r="68" spans="1:10" x14ac:dyDescent="0.25">
      <x:c r="A68" s="82" t="n">
        <x:v>0.0895</x:v>
      </x:c>
      <x:c r="B68" s="82" t="n">
        <x:v>0.09939</x:v>
      </x:c>
      <x:c r="C68" s="118" t="n">
        <x:v>0.3591</x:v>
      </x:c>
      <x:c r="D68" s="118" t="n">
        <x:v>-13.55</x:v>
      </x:c>
      <x:c r="E68" s="82">
        <x:f>IF(B68=MEDIAN($J$1-0.05,$J$1+0.05,B68),B68,0)</x:f>
      </x:c>
      <x:c r="F68" s="82">
        <x:f>IF(E68=0,0,D68)</x:f>
      </x:c>
    </x:row>
    <x:row r="69" spans="1:10" x14ac:dyDescent="0.25">
      <x:c r="A69" s="82" t="n">
        <x:v>0.0915</x:v>
      </x:c>
      <x:c r="B69" s="82" t="n">
        <x:v>0.104</x:v>
      </x:c>
      <x:c r="C69" s="118" t="n">
        <x:v>0.3591</x:v>
      </x:c>
      <x:c r="D69" s="118" t="n">
        <x:v>-13.39</x:v>
      </x:c>
      <x:c r="E69" s="82">
        <x:f>IF(B69=MEDIAN($J$1-0.05,$J$1+0.05,B69),B69,0)</x:f>
      </x:c>
      <x:c r="F69" s="82">
        <x:f>IF(E69=0,0,D69)</x:f>
      </x:c>
    </x:row>
    <x:row r="70" spans="1:10" x14ac:dyDescent="0.25">
      <x:c r="A70" s="82" t="n">
        <x:v>0.0935</x:v>
      </x:c>
      <x:c r="B70" s="82" t="n">
        <x:v>0.1066</x:v>
      </x:c>
      <x:c r="C70" s="118" t="n">
        <x:v>0.3591</x:v>
      </x:c>
      <x:c r="D70" s="118" t="n">
        <x:v>-13.24</x:v>
      </x:c>
      <x:c r="E70" s="82">
        <x:f>IF(B70=MEDIAN($J$1-0.05,$J$1+0.05,B70),B70,0)</x:f>
      </x:c>
      <x:c r="F70" s="82">
        <x:f>IF(E70=0,0,D70)</x:f>
      </x:c>
    </x:row>
    <x:row r="71" spans="1:10" x14ac:dyDescent="0.25">
      <x:c r="A71" s="82" t="n">
        <x:v>0.0955</x:v>
      </x:c>
      <x:c r="B71" s="82" t="n">
        <x:v>0.1078</x:v>
      </x:c>
      <x:c r="C71" s="118" t="n">
        <x:v>0.3591</x:v>
      </x:c>
      <x:c r="D71" s="118" t="n">
        <x:v>-13.08</x:v>
      </x:c>
      <x:c r="E71" s="82">
        <x:f>IF(B71=MEDIAN($J$1-0.05,$J$1+0.05,B71),B71,0)</x:f>
      </x:c>
      <x:c r="F71" s="82">
        <x:f>IF(E71=0,0,D71)</x:f>
      </x:c>
    </x:row>
    <x:row r="72" spans="1:10" x14ac:dyDescent="0.25">
      <x:c r="A72" s="82" t="n">
        <x:v>0.0975</x:v>
      </x:c>
      <x:c r="B72" s="82" t="n">
        <x:v>0.1094</x:v>
      </x:c>
      <x:c r="C72" s="118" t="n">
        <x:v>0.3591</x:v>
      </x:c>
      <x:c r="D72" s="118" t="n">
        <x:v>-12.93</x:v>
      </x:c>
      <x:c r="E72" s="82">
        <x:f>IF(B72=MEDIAN($J$1-0.05,$J$1+0.05,B72),B72,0)</x:f>
      </x:c>
      <x:c r="F72" s="82">
        <x:f>IF(E72=0,0,D72)</x:f>
      </x:c>
    </x:row>
    <x:row r="73" spans="1:10" x14ac:dyDescent="0.25">
      <x:c r="A73" s="82" t="n">
        <x:v>0.0995</x:v>
      </x:c>
      <x:c r="B73" s="118" t="n">
        <x:v>0.1092</x:v>
      </x:c>
      <x:c r="C73" s="118" t="n">
        <x:v>0.3591</x:v>
      </x:c>
      <x:c r="D73" s="118" t="n">
        <x:v>-12.77</x:v>
      </x:c>
      <x:c r="E73" s="82">
        <x:f>IF(B73=MEDIAN($J$1-0.05,$J$1+0.05,B73),B73,0)</x:f>
      </x:c>
      <x:c r="F73" s="82">
        <x:f>IF(E73=0,0,D73)</x:f>
      </x:c>
    </x:row>
    <x:row r="74" spans="1:10" x14ac:dyDescent="0.25">
      <x:c r="A74" s="82" t="n">
        <x:v>0.1015</x:v>
      </x:c>
      <x:c r="B74" s="118" t="n">
        <x:v>0.1081</x:v>
      </x:c>
      <x:c r="C74" s="118" t="n">
        <x:v>0.3591</x:v>
      </x:c>
      <x:c r="D74" s="118" t="n">
        <x:v>-12.61</x:v>
      </x:c>
      <x:c r="E74" s="82">
        <x:f>IF(B74=MEDIAN($J$1-0.05,$J$1+0.05,B74),B74,0)</x:f>
      </x:c>
      <x:c r="F74" s="82">
        <x:f>IF(E74=0,0,D74)</x:f>
      </x:c>
    </x:row>
    <x:row r="75" spans="1:10" x14ac:dyDescent="0.25">
      <x:c r="A75" s="82" t="n">
        <x:v>0.1035</x:v>
      </x:c>
      <x:c r="B75" s="118" t="n">
        <x:v>0.1077</x:v>
      </x:c>
      <x:c r="C75" s="118" t="n">
        <x:v>0.3591</x:v>
      </x:c>
      <x:c r="D75" s="118" t="n">
        <x:v>-12.42</x:v>
      </x:c>
      <x:c r="E75" s="82">
        <x:f>IF(B75=MEDIAN($J$1-0.05,$J$1+0.05,B75),B75,0)</x:f>
      </x:c>
      <x:c r="F75" s="82">
        <x:f>IF(E75=0,0,D75)</x:f>
      </x:c>
    </x:row>
    <x:row r="76" spans="1:10" x14ac:dyDescent="0.25">
      <x:c r="A76" s="82" t="n">
        <x:v>0.1055</x:v>
      </x:c>
      <x:c r="B76" s="118" t="n">
        <x:v>0.1119</x:v>
      </x:c>
      <x:c r="C76" s="118" t="n">
        <x:v>0.3591</x:v>
      </x:c>
      <x:c r="D76" s="118" t="n">
        <x:v>-12.23</x:v>
      </x:c>
      <x:c r="E76" s="82">
        <x:f>IF(B76=MEDIAN($J$1-0.05,$J$1+0.05,B76),B76,0)</x:f>
      </x:c>
      <x:c r="F76" s="82">
        <x:f>IF(E76=0,0,D76)</x:f>
      </x:c>
    </x:row>
    <x:row r="77" spans="1:10" x14ac:dyDescent="0.25">
      <x:c r="A77" s="82" t="n">
        <x:v>0.1075</x:v>
      </x:c>
      <x:c r="B77" s="118" t="n">
        <x:v>0.1177</x:v>
      </x:c>
      <x:c r="C77" s="118" t="n">
        <x:v>0.3591</x:v>
      </x:c>
      <x:c r="D77" s="118" t="n">
        <x:v>-12.04</x:v>
      </x:c>
      <x:c r="E77" s="82">
        <x:f>IF(B77=MEDIAN($J$1-0.05,$J$1+0.05,B77),B77,0)</x:f>
      </x:c>
      <x:c r="F77" s="82">
        <x:f>IF(E77=0,0,D77)</x:f>
      </x:c>
    </x:row>
    <x:row r="78" spans="1:10" x14ac:dyDescent="0.25">
      <x:c r="A78" s="82" t="n">
        <x:v>0.1095</x:v>
      </x:c>
      <x:c r="B78" s="118" t="n">
        <x:v>0.1209</x:v>
      </x:c>
      <x:c r="C78" s="118" t="n">
        <x:v>0.3591</x:v>
      </x:c>
      <x:c r="D78" s="118" t="n">
        <x:v>-11.86</x:v>
      </x:c>
      <x:c r="E78" s="82">
        <x:f>IF(B78=MEDIAN($J$1-0.05,$J$1+0.05,B78),B78,0)</x:f>
      </x:c>
      <x:c r="F78" s="82">
        <x:f>IF(E78=0,0,D78)</x:f>
      </x:c>
    </x:row>
    <x:row r="79" spans="1:10" x14ac:dyDescent="0.25">
      <x:c r="A79" s="82" t="n">
        <x:v>0.1115</x:v>
      </x:c>
      <x:c r="B79" s="118" t="n">
        <x:v>0.1245</x:v>
      </x:c>
      <x:c r="C79" s="118" t="n">
        <x:v>0.3591</x:v>
      </x:c>
      <x:c r="D79" s="118" t="n">
        <x:v>-11.68</x:v>
      </x:c>
      <x:c r="E79" s="82">
        <x:f>IF(B79=MEDIAN($J$1-0.05,$J$1+0.05,B79),B79,0)</x:f>
      </x:c>
      <x:c r="F79" s="82">
        <x:f>IF(E79=0,0,D79)</x:f>
      </x:c>
    </x:row>
    <x:row r="80" spans="1:10" x14ac:dyDescent="0.25">
      <x:c r="A80" s="82" t="n">
        <x:v>0.1135</x:v>
      </x:c>
      <x:c r="B80" s="118" t="n">
        <x:v>0.1291</x:v>
      </x:c>
      <x:c r="C80" s="118" t="n">
        <x:v>0.3591</x:v>
      </x:c>
      <x:c r="D80" s="118" t="n">
        <x:v>-11.51</x:v>
      </x:c>
      <x:c r="E80" s="82">
        <x:f>IF(B80=MEDIAN($J$1-0.05,$J$1+0.05,B80),B80,0)</x:f>
      </x:c>
      <x:c r="F80" s="82">
        <x:f>IF(E80=0,0,D80)</x:f>
      </x:c>
    </x:row>
    <x:row r="81" spans="1:10" x14ac:dyDescent="0.25">
      <x:c r="A81" s="82" t="n">
        <x:v>0.1155</x:v>
      </x:c>
      <x:c r="B81" s="118" t="n">
        <x:v>0.1329</x:v>
      </x:c>
      <x:c r="C81" s="118" t="n">
        <x:v>0.3591</x:v>
      </x:c>
      <x:c r="D81" s="118" t="n">
        <x:v>-11.34</x:v>
      </x:c>
      <x:c r="E81" s="82">
        <x:f>IF(B81=MEDIAN($J$1-0.05,$J$1+0.05,B81),B81,0)</x:f>
      </x:c>
      <x:c r="F81" s="82">
        <x:f>IF(E81=0,0,D81)</x:f>
      </x:c>
    </x:row>
    <x:row r="82" spans="1:10" x14ac:dyDescent="0.25">
      <x:c r="A82" s="82" t="n">
        <x:v>0.1175</x:v>
      </x:c>
      <x:c r="B82" s="118" t="n">
        <x:v>0.1323</x:v>
      </x:c>
      <x:c r="C82" s="118" t="n">
        <x:v>0.3591</x:v>
      </x:c>
      <x:c r="D82" s="118" t="n">
        <x:v>-11.18</x:v>
      </x:c>
      <x:c r="E82" s="82">
        <x:f>IF(B82=MEDIAN($J$1-0.05,$J$1+0.05,B82),B82,0)</x:f>
      </x:c>
      <x:c r="F82" s="82">
        <x:f>IF(E82=0,0,D82)</x:f>
      </x:c>
    </x:row>
    <x:row r="83" spans="1:10" x14ac:dyDescent="0.25">
      <x:c r="A83" s="82" t="n">
        <x:v>0.1195</x:v>
      </x:c>
      <x:c r="B83" s="82" t="n">
        <x:v>0.1309</x:v>
      </x:c>
      <x:c r="C83" s="118" t="n">
        <x:v>0.3591</x:v>
      </x:c>
      <x:c r="D83" s="118" t="n">
        <x:v>-11.02</x:v>
      </x:c>
      <x:c r="E83" s="82">
        <x:f>IF(B83=MEDIAN($J$1-0.05,$J$1+0.05,B83),B83,0)</x:f>
      </x:c>
      <x:c r="F83" s="82">
        <x:f>IF(E83=0,0,D83)</x:f>
      </x:c>
    </x:row>
    <x:row r="84" spans="1:10" x14ac:dyDescent="0.25">
      <x:c r="A84" s="82" t="n">
        <x:v>0.1225</x:v>
      </x:c>
      <x:c r="B84" s="118" t="n">
        <x:v>0.1278</x:v>
      </x:c>
      <x:c r="C84" s="118" t="n">
        <x:v>0.3591</x:v>
      </x:c>
      <x:c r="D84" s="118" t="n">
        <x:v>-10.77</x:v>
      </x:c>
      <x:c r="E84" s="82">
        <x:f>IF(B84=MEDIAN($J$1-0.05,$J$1+0.05,B84),B84,0)</x:f>
      </x:c>
      <x:c r="F84" s="82">
        <x:f>IF(E84=0,0,D84)</x:f>
      </x:c>
    </x:row>
    <x:row r="85" spans="1:10" x14ac:dyDescent="0.25">
      <x:c r="A85" s="82" t="n">
        <x:v>0.1265</x:v>
      </x:c>
      <x:c r="B85" s="118" t="n">
        <x:v>0.1145</x:v>
      </x:c>
      <x:c r="C85" s="118" t="n">
        <x:v>0.3591</x:v>
      </x:c>
      <x:c r="D85" s="118" t="n">
        <x:v>-10.43</x:v>
      </x:c>
      <x:c r="E85" s="82">
        <x:f>IF(B85=MEDIAN($J$1-0.05,$J$1+0.05,B85),B85,0)</x:f>
      </x:c>
      <x:c r="F85" s="82">
        <x:f>IF(E85=0,0,D85)</x:f>
      </x:c>
    </x:row>
    <x:row r="86" spans="1:10" x14ac:dyDescent="0.25">
      <x:c r="A86" s="82" t="n">
        <x:v>0.1305</x:v>
      </x:c>
      <x:c r="B86" s="118" t="n">
        <x:v>0.1002</x:v>
      </x:c>
      <x:c r="C86" s="118" t="n">
        <x:v>0.3591</x:v>
      </x:c>
      <x:c r="D86" s="118" t="n">
        <x:v>-10.06</x:v>
      </x:c>
      <x:c r="E86" s="82">
        <x:f>IF(B86=MEDIAN($J$1-0.05,$J$1+0.05,B86),B86,0)</x:f>
      </x:c>
      <x:c r="F86" s="82">
        <x:f>IF(E86=0,0,D86)</x:f>
      </x:c>
    </x:row>
    <x:row r="87" spans="1:10" x14ac:dyDescent="0.25">
      <x:c r="A87" s="82" t="n">
        <x:v>0.1345</x:v>
      </x:c>
      <x:c r="B87" s="118" t="n">
        <x:v>0.0954</x:v>
      </x:c>
      <x:c r="C87" s="118" t="n">
        <x:v>0.3591</x:v>
      </x:c>
      <x:c r="D87" s="118" t="n">
        <x:v>-9.699</x:v>
      </x:c>
      <x:c r="E87" s="82">
        <x:f>IF(B87=MEDIAN($J$1-0.05,$J$1+0.05,B87),B87,0)</x:f>
      </x:c>
      <x:c r="F87" s="82">
        <x:f>IF(E87=0,0,D87)</x:f>
      </x:c>
    </x:row>
    <x:row r="88" spans="1:10" x14ac:dyDescent="0.25">
      <x:c r="A88" s="82" t="n">
        <x:v>0.1385</x:v>
      </x:c>
      <x:c r="B88" s="118" t="n">
        <x:v>0.1022</x:v>
      </x:c>
      <x:c r="C88" s="118" t="n">
        <x:v>0.3591</x:v>
      </x:c>
      <x:c r="D88" s="118" t="n">
        <x:v>-9.35</x:v>
      </x:c>
      <x:c r="E88" s="82">
        <x:f>IF(B88=MEDIAN($J$1-0.05,$J$1+0.05,B88),B88,0)</x:f>
      </x:c>
      <x:c r="F88" s="82">
        <x:f>IF(E88=0,0,D88)</x:f>
      </x:c>
    </x:row>
    <x:row r="89" spans="1:10" x14ac:dyDescent="0.25">
      <x:c r="A89" s="82" t="n">
        <x:v>0.1425</x:v>
      </x:c>
      <x:c r="B89" s="118" t="n">
        <x:v>0.1127</x:v>
      </x:c>
      <x:c r="C89" s="118" t="n">
        <x:v>0.3591</x:v>
      </x:c>
      <x:c r="D89" s="118" t="n">
        <x:v>-9.025</x:v>
      </x:c>
      <x:c r="E89" s="82">
        <x:f>IF(B89=MEDIAN($J$1-0.05,$J$1+0.05,B89),B89,0)</x:f>
      </x:c>
      <x:c r="F89" s="82">
        <x:f>IF(E89=0,0,D89)</x:f>
      </x:c>
    </x:row>
    <x:row r="90" spans="1:10" x14ac:dyDescent="0.25">
      <x:c r="A90" s="82" t="n">
        <x:v>0.1465</x:v>
      </x:c>
      <x:c r="B90" s="118" t="n">
        <x:v>0.1181</x:v>
      </x:c>
      <x:c r="C90" s="118" t="n">
        <x:v>0.3591</x:v>
      </x:c>
      <x:c r="D90" s="118" t="n">
        <x:v>-8.704</x:v>
      </x:c>
      <x:c r="E90" s="82">
        <x:f>IF(B90=MEDIAN($J$1-0.05,$J$1+0.05,B90),B90,0)</x:f>
      </x:c>
      <x:c r="F90" s="82">
        <x:f>IF(E90=0,0,D90)</x:f>
      </x:c>
    </x:row>
    <x:row r="91" spans="1:10" x14ac:dyDescent="0.25">
      <x:c r="A91" s="82" t="n">
        <x:v>0.1505</x:v>
      </x:c>
      <x:c r="B91" s="118" t="n">
        <x:v>0.1214</x:v>
      </x:c>
      <x:c r="C91" s="118" t="n">
        <x:v>0.3591</x:v>
      </x:c>
      <x:c r="D91" s="118" t="n">
        <x:v>-8.384</x:v>
      </x:c>
      <x:c r="E91" s="82">
        <x:f>IF(B91=MEDIAN($J$1-0.05,$J$1+0.05,B91),B91,0)</x:f>
      </x:c>
      <x:c r="F91" s="82">
        <x:f>IF(E91=0,0,D91)</x:f>
      </x:c>
    </x:row>
    <x:row r="92" spans="1:10" x14ac:dyDescent="0.25">
      <x:c r="A92" s="82" t="n">
        <x:v>0.1545</x:v>
      </x:c>
      <x:c r="B92" s="118" t="n">
        <x:v>0.1233</x:v>
      </x:c>
      <x:c r="C92" s="118" t="n">
        <x:v>0.3591</x:v>
      </x:c>
      <x:c r="D92" s="118" t="n">
        <x:v>-8.058</x:v>
      </x:c>
      <x:c r="E92" s="82">
        <x:f>IF(B92=MEDIAN($J$1-0.05,$J$1+0.05,B92),B92,0)</x:f>
      </x:c>
      <x:c r="F92" s="82">
        <x:f>IF(E92=0,0,D92)</x:f>
      </x:c>
    </x:row>
    <x:row r="93" spans="1:10" x14ac:dyDescent="0.25">
      <x:c r="A93" s="82" t="n">
        <x:v>0.1585</x:v>
      </x:c>
      <x:c r="B93" s="118" t="n">
        <x:v>0.124</x:v>
      </x:c>
      <x:c r="C93" s="118" t="n">
        <x:v>0.3591</x:v>
      </x:c>
      <x:c r="D93" s="118" t="n">
        <x:v>-7.733</x:v>
      </x:c>
      <x:c r="E93" s="82">
        <x:f>IF(B93=MEDIAN($J$1-0.05,$J$1+0.05,B93),B93,0)</x:f>
      </x:c>
      <x:c r="F93" s="82">
        <x:f>IF(E93=0,0,D93)</x:f>
      </x:c>
    </x:row>
    <x:row r="94" spans="1:10" x14ac:dyDescent="0.25">
      <x:c r="A94" s="82" t="n">
        <x:v>0.1625</x:v>
      </x:c>
      <x:c r="B94" s="118" t="n">
        <x:v>0.1233</x:v>
      </x:c>
      <x:c r="C94" s="118" t="n">
        <x:v>0.3591</x:v>
      </x:c>
      <x:c r="D94" s="118" t="n">
        <x:v>-7.403</x:v>
      </x:c>
      <x:c r="E94" s="82">
        <x:f>IF(B94=MEDIAN($J$1-0.05,$J$1+0.05,B94),B94,0)</x:f>
      </x:c>
      <x:c r="F94" s="82">
        <x:f>IF(E94=0,0,D94)</x:f>
      </x:c>
    </x:row>
    <x:row r="95" spans="1:10" x14ac:dyDescent="0.25">
      <x:c r="A95" s="82" t="n">
        <x:v>0.1665</x:v>
      </x:c>
      <x:c r="B95" s="118" t="n">
        <x:v>0.1255</x:v>
      </x:c>
      <x:c r="C95" s="118" t="n">
        <x:v>0.3591</x:v>
      </x:c>
      <x:c r="D95" s="118" t="n">
        <x:v>-7.074</x:v>
      </x:c>
      <x:c r="E95" s="82">
        <x:f>IF(B95=MEDIAN($J$1-0.05,$J$1+0.05,B95),B95,0)</x:f>
      </x:c>
      <x:c r="F95" s="82">
        <x:f>IF(E95=0,0,D95)</x:f>
      </x:c>
    </x:row>
    <x:row r="96" spans="1:10" x14ac:dyDescent="0.25">
      <x:c r="A96" s="82" t="n">
        <x:v>0.1705</x:v>
      </x:c>
      <x:c r="B96" s="118" t="n">
        <x:v>0.1224</x:v>
      </x:c>
      <x:c r="C96" s="118" t="n">
        <x:v>0.3591</x:v>
      </x:c>
      <x:c r="D96" s="118" t="n">
        <x:v>-6.744</x:v>
      </x:c>
      <x:c r="E96" s="82">
        <x:f>IF(B96=MEDIAN($J$1-0.05,$J$1+0.05,B96),B96,0)</x:f>
      </x:c>
      <x:c r="F96" s="82">
        <x:f>IF(E96=0,0,D96)</x:f>
      </x:c>
    </x:row>
    <x:row r="97" spans="1:10" x14ac:dyDescent="0.25">
      <x:c r="A97" s="82" t="n">
        <x:v>0.1745</x:v>
      </x:c>
      <x:c r="B97" s="118" t="n">
        <x:v>0.1182</x:v>
      </x:c>
      <x:c r="C97" s="118" t="n">
        <x:v>0.3591</x:v>
      </x:c>
      <x:c r="D97" s="118" t="n">
        <x:v>-6.408</x:v>
      </x:c>
      <x:c r="E97" s="82">
        <x:f>IF(B97=MEDIAN($J$1-0.05,$J$1+0.05,B97),B97,0)</x:f>
      </x:c>
      <x:c r="F97" s="82">
        <x:f>IF(E97=0,0,D97)</x:f>
      </x:c>
    </x:row>
    <x:row r="98" spans="1:10" x14ac:dyDescent="0.25">
      <x:c r="A98" s="82" t="n">
        <x:v>0.1785</x:v>
      </x:c>
      <x:c r="B98" s="118" t="n">
        <x:v>0.1105</x:v>
      </x:c>
      <x:c r="C98" s="118" t="n">
        <x:v>0.3591</x:v>
      </x:c>
      <x:c r="D98" s="118" t="n">
        <x:v>-6.063</x:v>
      </x:c>
      <x:c r="E98" s="82">
        <x:f>IF(B98=MEDIAN($J$1-0.05,$J$1+0.05,B98),B98,0)</x:f>
      </x:c>
      <x:c r="F98" s="82">
        <x:f>IF(E98=0,0,D98)</x:f>
      </x:c>
    </x:row>
    <x:row r="99" spans="1:10" x14ac:dyDescent="0.25">
      <x:c r="A99" s="82" t="n">
        <x:v>0.1825</x:v>
      </x:c>
      <x:c r="B99" s="118" t="n">
        <x:v>0.1103</x:v>
      </x:c>
      <x:c r="C99" s="118" t="n">
        <x:v>0.3591</x:v>
      </x:c>
      <x:c r="D99" s="118" t="n">
        <x:v>-5.717</x:v>
      </x:c>
      <x:c r="E99" s="82">
        <x:f>IF(B99=MEDIAN($J$1-0.05,$J$1+0.05,B99),B99,0)</x:f>
      </x:c>
      <x:c r="F99" s="82">
        <x:f>IF(E99=0,0,D99)</x:f>
      </x:c>
    </x:row>
    <x:row r="100" spans="1:10" x14ac:dyDescent="0.25">
      <x:c r="A100" s="82" t="n">
        <x:v>0.1865</x:v>
      </x:c>
      <x:c r="B100" s="118" t="n">
        <x:v>0.1125</x:v>
      </x:c>
      <x:c r="C100" s="118" t="n">
        <x:v>0.3591</x:v>
      </x:c>
      <x:c r="D100" s="118" t="n">
        <x:v>-5.38</x:v>
      </x:c>
      <x:c r="E100" s="82">
        <x:f>IF(B100=MEDIAN($J$1-0.05,$J$1+0.05,B100),B100,0)</x:f>
      </x:c>
      <x:c r="F100" s="82">
        <x:f>IF(E100=0,0,D100)</x:f>
      </x:c>
    </x:row>
    <x:row r="101" spans="1:10" x14ac:dyDescent="0.25">
      <x:c r="A101" s="82" t="n">
        <x:v>0.1905</x:v>
      </x:c>
      <x:c r="B101" s="118" t="n">
        <x:v>0.1174</x:v>
      </x:c>
      <x:c r="C101" s="118" t="n">
        <x:v>0.3591</x:v>
      </x:c>
      <x:c r="D101" s="118" t="n">
        <x:v>-5.05</x:v>
      </x:c>
      <x:c r="E101" s="82">
        <x:f>IF(B101=MEDIAN($J$1-0.05,$J$1+0.05,B101),B101,0)</x:f>
      </x:c>
      <x:c r="F101" s="82">
        <x:f>IF(E101=0,0,D101)</x:f>
      </x:c>
    </x:row>
    <x:row r="102" spans="1:10" x14ac:dyDescent="0.25">
      <x:c r="A102" s="82" t="n">
        <x:v>0.1945</x:v>
      </x:c>
      <x:c r="B102" s="118" t="n">
        <x:v>0.1143</x:v>
      </x:c>
      <x:c r="C102" s="118" t="n">
        <x:v>0.3591</x:v>
      </x:c>
      <x:c r="D102" s="118" t="n">
        <x:v>-4.72</x:v>
      </x:c>
      <x:c r="E102" s="82">
        <x:f>IF(B102=MEDIAN($J$1-0.05,$J$1+0.05,B102),B102,0)</x:f>
      </x:c>
      <x:c r="F102" s="82">
        <x:f>IF(E102=0,0,D102)</x:f>
      </x:c>
    </x:row>
    <x:row r="103" spans="1:10" x14ac:dyDescent="0.25">
      <x:c r="A103" s="82" t="n">
        <x:v>0.1985</x:v>
      </x:c>
      <x:c r="B103" s="118" t="n">
        <x:v>0.1167</x:v>
      </x:c>
      <x:c r="C103" s="118" t="n">
        <x:v>0.3591</x:v>
      </x:c>
      <x:c r="D103" s="118" t="n">
        <x:v>-4.385</x:v>
      </x:c>
      <x:c r="E103" s="82">
        <x:f>IF(B103=MEDIAN($J$1-0.05,$J$1+0.05,B103),B103,0)</x:f>
      </x:c>
      <x:c r="F103" s="82">
        <x:f>IF(E103=0,0,D103)</x:f>
      </x:c>
    </x:row>
    <x:row r="104" spans="1:10" x14ac:dyDescent="0.25">
      <x:c r="A104" s="82" t="n">
        <x:v>0.2025</x:v>
      </x:c>
      <x:c r="B104" s="118" t="n">
        <x:v>0.1133</x:v>
      </x:c>
      <x:c r="C104" s="118" t="n">
        <x:v>0.3591</x:v>
      </x:c>
      <x:c r="D104" s="118" t="n">
        <x:v>-4.052</x:v>
      </x:c>
      <x:c r="E104" s="82">
        <x:f>IF(B104=MEDIAN($J$1-0.05,$J$1+0.05,B104),B104,0)</x:f>
      </x:c>
      <x:c r="F104" s="82">
        <x:f>IF(E104=0,0,D104)</x:f>
      </x:c>
    </x:row>
    <x:row r="105" spans="1:10" x14ac:dyDescent="0.25">
      <x:c r="A105" s="82" t="n">
        <x:v>0.2065</x:v>
      </x:c>
      <x:c r="B105" s="118" t="n">
        <x:v>0.1166</x:v>
      </x:c>
      <x:c r="C105" s="118" t="n">
        <x:v>0.3591</x:v>
      </x:c>
      <x:c r="D105" s="118" t="n">
        <x:v>-3.715</x:v>
      </x:c>
      <x:c r="E105" s="82">
        <x:f>IF(B105=MEDIAN($J$1-0.05,$J$1+0.05,B105),B105,0)</x:f>
      </x:c>
      <x:c r="F105" s="82">
        <x:f>IF(E105=0,0,D105)</x:f>
      </x:c>
    </x:row>
    <x:row r="106" spans="1:10" x14ac:dyDescent="0.25">
      <x:c r="A106" s="82" t="n">
        <x:v>0.2105</x:v>
      </x:c>
      <x:c r="B106" s="118" t="n">
        <x:v>0.1216</x:v>
      </x:c>
      <x:c r="C106" s="118" t="n">
        <x:v>0.3591</x:v>
      </x:c>
      <x:c r="D106" s="118" t="n">
        <x:v>-3.388</x:v>
      </x:c>
      <x:c r="E106" s="82">
        <x:f>IF(B106=MEDIAN($J$1-0.05,$J$1+0.05,B106),B106,0)</x:f>
      </x:c>
      <x:c r="F106" s="82">
        <x:f>IF(E106=0,0,D106)</x:f>
      </x:c>
    </x:row>
    <x:row r="107" spans="1:10" x14ac:dyDescent="0.25">
      <x:c r="A107" s="82" t="n">
        <x:v>0.2145</x:v>
      </x:c>
      <x:c r="B107" s="118" t="n">
        <x:v>0.1303</x:v>
      </x:c>
      <x:c r="C107" s="118" t="n">
        <x:v>0.3591</x:v>
      </x:c>
      <x:c r="D107" s="118" t="n">
        <x:v>-3.069</x:v>
      </x:c>
      <x:c r="E107" s="82">
        <x:f>IF(B107=MEDIAN($J$1-0.05,$J$1+0.05,B107),B107,0)</x:f>
      </x:c>
      <x:c r="F107" s="82">
        <x:f>IF(E107=0,0,D107)</x:f>
      </x:c>
    </x:row>
    <x:row r="108" spans="1:10" x14ac:dyDescent="0.25">
      <x:c r="A108" s="82" t="n">
        <x:v>0.2185</x:v>
      </x:c>
      <x:c r="B108" s="118" t="n">
        <x:v>0.1332</x:v>
      </x:c>
      <x:c r="C108" s="118" t="n">
        <x:v>0.3591</x:v>
      </x:c>
      <x:c r="D108" s="118" t="n">
        <x:v>-2.755</x:v>
      </x:c>
      <x:c r="E108" s="82">
        <x:f>IF(B108=MEDIAN($J$1-0.05,$J$1+0.05,B108),B108,0)</x:f>
      </x:c>
      <x:c r="F108" s="82">
        <x:f>IF(E108=0,0,D108)</x:f>
      </x:c>
    </x:row>
    <x:row r="109" spans="1:10" x14ac:dyDescent="0.25">
      <x:c r="A109" s="82" t="n">
        <x:v>0.2225</x:v>
      </x:c>
      <x:c r="B109" s="118" t="n">
        <x:v>0.1293</x:v>
      </x:c>
      <x:c r="C109" s="118" t="n">
        <x:v>0.3591</x:v>
      </x:c>
      <x:c r="D109" s="118" t="n">
        <x:v>-2.429</x:v>
      </x:c>
      <x:c r="E109" s="82">
        <x:f>IF(B109=MEDIAN($J$1-0.05,$J$1+0.05,B109),B109,0)</x:f>
      </x:c>
      <x:c r="F109" s="82">
        <x:f>IF(E109=0,0,D109)</x:f>
      </x:c>
    </x:row>
    <x:row r="110" spans="1:10" x14ac:dyDescent="0.25">
      <x:c r="A110" s="82" t="n">
        <x:v>0.2265</x:v>
      </x:c>
      <x:c r="B110" s="118" t="n">
        <x:v>0.1248</x:v>
      </x:c>
      <x:c r="C110" s="118" t="n">
        <x:v>0.3591</x:v>
      </x:c>
      <x:c r="D110" s="118" t="n">
        <x:v>-2.097</x:v>
      </x:c>
      <x:c r="E110" s="82">
        <x:f>IF(B110=MEDIAN($J$1-0.05,$J$1+0.05,B110),B110,0)</x:f>
      </x:c>
      <x:c r="F110" s="82">
        <x:f>IF(E110=0,0,D110)</x:f>
      </x:c>
    </x:row>
    <x:row r="111" spans="1:10" x14ac:dyDescent="0.25">
      <x:c r="A111" s="82" t="n">
        <x:v>0.2305</x:v>
      </x:c>
      <x:c r="B111" s="118" t="n">
        <x:v>0.1204</x:v>
      </x:c>
      <x:c r="C111" s="118" t="n">
        <x:v>0.3591</x:v>
      </x:c>
      <x:c r="D111" s="118" t="n">
        <x:v>-1.755</x:v>
      </x:c>
      <x:c r="E111" s="82">
        <x:f>IF(B111=MEDIAN($J$1-0.05,$J$1+0.05,B111),B111,0)</x:f>
      </x:c>
      <x:c r="F111" s="82">
        <x:f>IF(E111=0,0,D111)</x:f>
      </x:c>
    </x:row>
    <x:row r="112" spans="1:10" x14ac:dyDescent="0.25">
      <x:c r="A112" s="82" t="n">
        <x:v>0.2345</x:v>
      </x:c>
      <x:c r="B112" s="118" t="n">
        <x:v>0.1199</x:v>
      </x:c>
      <x:c r="C112" s="118" t="n">
        <x:v>0.3591</x:v>
      </x:c>
      <x:c r="D112" s="118" t="n">
        <x:v>-1.419</x:v>
      </x:c>
      <x:c r="E112" s="82">
        <x:f>IF(B112=MEDIAN($J$1-0.05,$J$1+0.05,B112),B112,0)</x:f>
      </x:c>
      <x:c r="F112" s="82">
        <x:f>IF(E112=0,0,D112)</x:f>
      </x:c>
    </x:row>
    <x:row r="113" spans="1:10" x14ac:dyDescent="0.25">
      <x:c r="A113" s="82" t="n">
        <x:v>0.2385</x:v>
      </x:c>
      <x:c r="B113" s="118" t="n">
        <x:v>0.1194</x:v>
      </x:c>
      <x:c r="C113" s="118" t="n">
        <x:v>0.3591</x:v>
      </x:c>
      <x:c r="D113" s="118" t="n">
        <x:v>-1.082</x:v>
      </x:c>
      <x:c r="E113" s="82">
        <x:f>IF(B113=MEDIAN($J$1-0.05,$J$1+0.05,B113),B113,0)</x:f>
      </x:c>
      <x:c r="F113" s="82">
        <x:f>IF(E113=0,0,D113)</x:f>
      </x:c>
    </x:row>
    <x:row r="114" spans="1:10" x14ac:dyDescent="0.25">
      <x:c r="A114" s="82" t="n">
        <x:v>0.2425</x:v>
      </x:c>
      <x:c r="B114" s="118" t="n">
        <x:v>0.1188</x:v>
      </x:c>
      <x:c r="C114" s="118" t="n">
        <x:v>0.3591</x:v>
      </x:c>
      <x:c r="D114" s="118" t="n">
        <x:v>-0.7496</x:v>
      </x:c>
      <x:c r="E114" s="82">
        <x:f>IF(B114=MEDIAN($J$1-0.05,$J$1+0.05,B114),B114,0)</x:f>
      </x:c>
      <x:c r="F114" s="82">
        <x:f>IF(E114=0,0,D114)</x:f>
      </x:c>
    </x:row>
    <x:row r="115" spans="1:10" x14ac:dyDescent="0.25">
      <x:c r="A115" s="82" t="n">
        <x:v>0.2465</x:v>
      </x:c>
      <x:c r="B115" s="118" t="n">
        <x:v>0.1143</x:v>
      </x:c>
      <x:c r="C115" s="118" t="n">
        <x:v>0.3591</x:v>
      </x:c>
      <x:c r="D115" s="118" t="n">
        <x:v>-0.4105</x:v>
      </x:c>
      <x:c r="E115" s="82">
        <x:f>IF(B115=MEDIAN($J$1-0.05,$J$1+0.05,B115),B115,0)</x:f>
      </x:c>
      <x:c r="F115" s="82">
        <x:f>IF(E115=0,0,D115)</x:f>
      </x:c>
    </x:row>
    <x:row r="116" spans="1:10" x14ac:dyDescent="0.25">
      <x:c r="A116" s="82" t="n">
        <x:v>0.2505</x:v>
      </x:c>
      <x:c r="B116" s="118" t="n">
        <x:v>0.1125</x:v>
      </x:c>
      <x:c r="C116" s="118" t="n">
        <x:v>0.3591</x:v>
      </x:c>
      <x:c r="D116" s="118" t="n">
        <x:v>-0.07034</x:v>
      </x:c>
      <x:c r="E116" s="82">
        <x:f>IF(B116=MEDIAN($J$1-0.05,$J$1+0.05,B116),B116,0)</x:f>
      </x:c>
      <x:c r="F116" s="82">
        <x:f>IF(E116=0,0,D116)</x:f>
      </x:c>
    </x:row>
    <x:row r="117" spans="1:10" x14ac:dyDescent="0.25">
      <x:c r="A117" s="82" t="n">
        <x:v>0.2545</x:v>
      </x:c>
      <x:c r="B117" s="118" t="n">
        <x:v>0.1154</x:v>
      </x:c>
      <x:c r="C117" s="118" t="n">
        <x:v>0.3591</x:v>
      </x:c>
      <x:c r="D117" s="118" t="n">
        <x:v>0.2666</x:v>
      </x:c>
      <x:c r="E117" s="82">
        <x:f>IF(B117=MEDIAN($J$1-0.05,$J$1+0.05,B117),B117,0)</x:f>
      </x:c>
      <x:c r="F117" s="82">
        <x:f>IF(E117=0,0,D117)</x:f>
      </x:c>
    </x:row>
    <x:row r="118" spans="1:10" x14ac:dyDescent="0.25">
      <x:c r="A118" s="82" t="n">
        <x:v>0.2585</x:v>
      </x:c>
      <x:c r="B118" s="118" t="n">
        <x:v>0.1239</x:v>
      </x:c>
      <x:c r="C118" s="118" t="n">
        <x:v>0.3591</x:v>
      </x:c>
      <x:c r="D118" s="118" t="n">
        <x:v>0.5916</x:v>
      </x:c>
      <x:c r="E118" s="82">
        <x:f>IF(B118=MEDIAN($J$1-0.05,$J$1+0.05,B118),B118,0)</x:f>
      </x:c>
      <x:c r="F118" s="82">
        <x:f>IF(E118=0,0,D118)</x:f>
      </x:c>
    </x:row>
    <x:row r="119" spans="1:10" x14ac:dyDescent="0.25">
      <x:c r="A119" s="82" t="n">
        <x:v>0.2625</x:v>
      </x:c>
      <x:c r="B119" s="118" t="n">
        <x:v>0.1279</x:v>
      </x:c>
      <x:c r="C119" s="118" t="n">
        <x:v>0.3591</x:v>
      </x:c>
      <x:c r="D119" s="118" t="n">
        <x:v>0.91</x:v>
      </x:c>
      <x:c r="E119" s="82">
        <x:f>IF(B119=MEDIAN($J$1-0.05,$J$1+0.05,B119),B119,0)</x:f>
      </x:c>
      <x:c r="F119" s="82">
        <x:f>IF(E119=0,0,D119)</x:f>
      </x:c>
    </x:row>
    <x:row r="120" spans="1:10" x14ac:dyDescent="0.25">
      <x:c r="A120" s="82" t="n">
        <x:v>0.2665</x:v>
      </x:c>
      <x:c r="B120" s="118" t="n">
        <x:v>0.1272</x:v>
      </x:c>
      <x:c r="C120" s="118" t="n">
        <x:v>0.3591</x:v>
      </x:c>
      <x:c r="D120" s="118" t="n">
        <x:v>1.232</x:v>
      </x:c>
      <x:c r="E120" s="82">
        <x:f>IF(B120=MEDIAN($J$1-0.05,$J$1+0.05,B120),B120,0)</x:f>
      </x:c>
      <x:c r="F120" s="82">
        <x:f>IF(E120=0,0,D120)</x:f>
      </x:c>
    </x:row>
    <x:row r="121" spans="1:10" x14ac:dyDescent="0.25">
      <x:c r="A121" s="82" t="n">
        <x:v>0.2705</x:v>
      </x:c>
      <x:c r="B121" s="118" t="n">
        <x:v>0.1218</x:v>
      </x:c>
      <x:c r="C121" s="118" t="n">
        <x:v>0.3591</x:v>
      </x:c>
      <x:c r="D121" s="118" t="n">
        <x:v>1.565</x:v>
      </x:c>
      <x:c r="E121" s="82">
        <x:f>IF(B121=MEDIAN($J$1-0.05,$J$1+0.05,B121),B121,0)</x:f>
      </x:c>
      <x:c r="F121" s="82">
        <x:f>IF(E121=0,0,D121)</x:f>
      </x:c>
    </x:row>
    <x:row r="122" spans="1:10" x14ac:dyDescent="0.25">
      <x:c r="A122" s="82" t="n">
        <x:v>0.2745</x:v>
      </x:c>
      <x:c r="B122" s="118" t="n">
        <x:v>0.1223</x:v>
      </x:c>
      <x:c r="C122" s="118" t="n">
        <x:v>0.3591</x:v>
      </x:c>
      <x:c r="D122" s="118" t="n">
        <x:v>1.902</x:v>
      </x:c>
      <x:c r="E122" s="82">
        <x:f>IF(B122=MEDIAN($J$1-0.05,$J$1+0.05,B122),B122,0)</x:f>
      </x:c>
      <x:c r="F122" s="82">
        <x:f>IF(E122=0,0,D122)</x:f>
      </x:c>
    </x:row>
    <x:row r="123" spans="1:10" x14ac:dyDescent="0.25">
      <x:c r="A123" s="82" t="n">
        <x:v>0.2785</x:v>
      </x:c>
      <x:c r="B123" s="118" t="n">
        <x:v>0.1249</x:v>
      </x:c>
      <x:c r="C123" s="118" t="n">
        <x:v>0.3591</x:v>
      </x:c>
      <x:c r="D123" s="118" t="n">
        <x:v>2.232</x:v>
      </x:c>
      <x:c r="E123" s="82">
        <x:f>IF(B123=MEDIAN($J$1-0.05,$J$1+0.05,B123),B123,0)</x:f>
      </x:c>
      <x:c r="F123" s="82">
        <x:f>IF(E123=0,0,D123)</x:f>
      </x:c>
    </x:row>
    <x:row r="124" spans="1:10" x14ac:dyDescent="0.25">
      <x:c r="A124" s="82" t="n">
        <x:v>0.2845</x:v>
      </x:c>
      <x:c r="B124" s="118" t="n">
        <x:v>0.1298</x:v>
      </x:c>
      <x:c r="C124" s="118" t="n">
        <x:v>0.3591</x:v>
      </x:c>
      <x:c r="D124" s="118" t="n">
        <x:v>2.717</x:v>
      </x:c>
      <x:c r="E124" s="82">
        <x:f>IF(B124=MEDIAN($J$1-0.05,$J$1+0.05,B124),B124,0)</x:f>
      </x:c>
      <x:c r="F124" s="82">
        <x:f>IF(E124=0,0,D124)</x:f>
      </x:c>
    </x:row>
    <x:row r="125" spans="1:10" x14ac:dyDescent="0.25">
      <x:c r="A125" s="82" t="n">
        <x:v>0.2925</x:v>
      </x:c>
      <x:c r="B125" s="118" t="n">
        <x:v>0.1237</x:v>
      </x:c>
      <x:c r="C125" s="118" t="n">
        <x:v>0.3591</x:v>
      </x:c>
      <x:c r="D125" s="118" t="n">
        <x:v>3.376</x:v>
      </x:c>
      <x:c r="E125" s="82">
        <x:f>IF(B125=MEDIAN($J$1-0.05,$J$1+0.05,B125),B125,0)</x:f>
      </x:c>
      <x:c r="F125" s="82">
        <x:f>IF(E125=0,0,D125)</x:f>
      </x:c>
    </x:row>
    <x:row r="126" spans="1:10" x14ac:dyDescent="0.25">
      <x:c r="A126" s="82" t="n">
        <x:v>0.3005</x:v>
      </x:c>
      <x:c r="B126" s="118" t="n">
        <x:v>0.1155</x:v>
      </x:c>
      <x:c r="C126" s="118" t="n">
        <x:v>0.3591</x:v>
      </x:c>
      <x:c r="D126" s="118" t="n">
        <x:v>4.059</x:v>
      </x:c>
      <x:c r="E126" s="82">
        <x:f>IF(B126=MEDIAN($J$1-0.05,$J$1+0.05,B126),B126,0)</x:f>
      </x:c>
      <x:c r="F126" s="82">
        <x:f>IF(E126=0,0,D126)</x:f>
      </x:c>
    </x:row>
    <x:row r="127" spans="1:10" x14ac:dyDescent="0.25">
      <x:c r="A127" s="82" t="n">
        <x:v>0.3085</x:v>
      </x:c>
      <x:c r="B127" s="118" t="n">
        <x:v>0.1253</x:v>
      </x:c>
      <x:c r="C127" s="118" t="n">
        <x:v>0.3591</x:v>
      </x:c>
      <x:c r="D127" s="118" t="n">
        <x:v>4.725</x:v>
      </x:c>
      <x:c r="E127" s="82">
        <x:f>IF(B127=MEDIAN($J$1-0.05,$J$1+0.05,B127),B127,0)</x:f>
      </x:c>
      <x:c r="F127" s="82">
        <x:f>IF(E127=0,0,D127)</x:f>
      </x:c>
    </x:row>
    <x:row r="128" spans="1:10" x14ac:dyDescent="0.25">
      <x:c r="A128" s="82" t="n">
        <x:v>0.3165</x:v>
      </x:c>
      <x:c r="B128" s="118" t="n">
        <x:v>0.1424</x:v>
      </x:c>
      <x:c r="C128" s="118" t="n">
        <x:v>0.3591</x:v>
      </x:c>
      <x:c r="D128" s="118" t="n">
        <x:v>5.749</x:v>
      </x:c>
      <x:c r="E128" s="82">
        <x:f>IF(B128=MEDIAN($J$1-0.05,$J$1+0.05,B128),B128,0)</x:f>
      </x:c>
      <x:c r="F128" s="82">
        <x:f>IF(E128=0,0,D128)</x:f>
      </x:c>
    </x:row>
    <x:row r="129" spans="1:10" x14ac:dyDescent="0.25">
      <x:c r="A129" s="82" t="n">
        <x:v>0.3245</x:v>
      </x:c>
      <x:c r="B129" s="118" t="n">
        <x:v>0.2518</x:v>
      </x:c>
      <x:c r="C129" s="118" t="n">
        <x:v>0.3591</x:v>
      </x:c>
      <x:c r="D129" s="118" t="n">
        <x:v>7.582</x:v>
      </x:c>
      <x:c r="E129" s="82">
        <x:f>IF(B129=MEDIAN($J$1-0.05,$J$1+0.05,B129),B129,0)</x:f>
      </x:c>
      <x:c r="F129" s="82">
        <x:f>IF(E129=0,0,D129)</x:f>
      </x:c>
    </x:row>
    <x:row r="130" spans="1:10" x14ac:dyDescent="0.25">
      <x:c r="A130" s="82" t="n">
        <x:v>0.3325</x:v>
      </x:c>
      <x:c r="B130" s="82" t="n">
        <x:v>0.4231</x:v>
      </x:c>
      <x:c r="C130" s="118" t="n">
        <x:v>0.3633</x:v>
      </x:c>
      <x:c r="D130" s="118" t="n">
        <x:v>9.728</x:v>
      </x:c>
      <x:c r="E130" s="82">
        <x:f>IF(B130=MEDIAN($J$1-0.05,$J$1+0.05,B130),B130,0)</x:f>
      </x:c>
      <x:c r="F130" s="82">
        <x:f>IF(E130=0,0,D130)</x:f>
      </x:c>
    </x:row>
    <x:row r="131" spans="1:10" x14ac:dyDescent="0.25">
      <x:c r="A131" s="82" t="n">
        <x:v>0.3405</x:v>
      </x:c>
      <x:c r="B131" s="82" t="n">
        <x:v>0.5217</x:v>
      </x:c>
      <x:c r="C131" s="118" t="n">
        <x:v>0.3633</x:v>
      </x:c>
      <x:c r="D131" s="118" t="n">
        <x:v>12.25</x:v>
      </x:c>
      <x:c r="E131" s="82">
        <x:f>IF(B131=MEDIAN($J$1-0.05,$J$1+0.05,B131),B131,0)</x:f>
      </x:c>
      <x:c r="F131" s="82">
        <x:f>IF(E131=0,0,D131)</x:f>
      </x:c>
    </x:row>
    <x:row r="132" spans="1:10" x14ac:dyDescent="0.25">
      <x:c r="A132" s="82" t="n">
        <x:v>0.3485</x:v>
      </x:c>
      <x:c r="B132" s="82" t="n">
        <x:v>0.5579</x:v>
      </x:c>
      <x:c r="C132" s="118" t="n">
        <x:v>0.3633</x:v>
      </x:c>
      <x:c r="D132" s="118" t="n">
        <x:v>15.42</x:v>
      </x:c>
      <x:c r="E132" s="82">
        <x:f>IF(B132=MEDIAN($J$1-0.05,$J$1+0.05,B132),B132,0)</x:f>
      </x:c>
      <x:c r="F132" s="82">
        <x:f>IF(E132=0,0,D132)</x:f>
      </x:c>
    </x:row>
    <x:row r="133" spans="1:10" x14ac:dyDescent="0.25">
      <x:c r="A133" s="82" t="n">
        <x:v>0.3565</x:v>
      </x:c>
      <x:c r="B133" s="118" t="n">
        <x:v>0.6236</x:v>
      </x:c>
      <x:c r="C133" s="118" t="n">
        <x:v>0.3633</x:v>
      </x:c>
      <x:c r="D133" s="118" t="n">
        <x:v>18.99</x:v>
      </x:c>
      <x:c r="E133" s="82">
        <x:f>IF(B133=MEDIAN($J$1-0.05,$J$1+0.05,B133),B133,0)</x:f>
      </x:c>
      <x:c r="F133" s="82">
        <x:f>IF(E133=0,0,D133)</x:f>
      </x:c>
    </x:row>
    <x:row r="134" spans="1:10" x14ac:dyDescent="0.25">
      <x:c r="A134" s="82" t="n">
        <x:v>0.3645</x:v>
      </x:c>
      <x:c r="B134" s="118" t="n">
        <x:v>0.71</x:v>
      </x:c>
      <x:c r="C134" s="118" t="n">
        <x:v>0.3633</x:v>
      </x:c>
      <x:c r="D134" s="118" t="n">
        <x:v>22.73</x:v>
      </x:c>
      <x:c r="E134" s="82">
        <x:f>IF(B134=MEDIAN($J$1-0.05,$J$1+0.05,B134),B134,0)</x:f>
      </x:c>
      <x:c r="F134" s="82">
        <x:f>IF(E134=0,0,D134)</x:f>
      </x:c>
    </x:row>
    <x:row r="135" spans="1:10" x14ac:dyDescent="0.25">
      <x:c r="A135" s="82" t="n">
        <x:v>0.3725</x:v>
      </x:c>
      <x:c r="B135" s="118" t="n">
        <x:v>0.7793</x:v>
      </x:c>
      <x:c r="C135" s="118" t="n">
        <x:v>0.3633</x:v>
      </x:c>
      <x:c r="D135" s="118" t="n">
        <x:v>26.77</x:v>
      </x:c>
      <x:c r="E135" s="82">
        <x:f>IF(B135=MEDIAN($J$1-0.05,$J$1+0.05,B135),B135,0)</x:f>
      </x:c>
      <x:c r="F135" s="82">
        <x:f>IF(E135=0,0,D135)</x:f>
      </x:c>
    </x:row>
    <x:row r="136" spans="1:10" x14ac:dyDescent="0.25">
      <x:c r="A136" s="82" t="n">
        <x:v>0.3805</x:v>
      </x:c>
      <x:c r="B136" s="118" t="n">
        <x:v>0.8568</x:v>
      </x:c>
      <x:c r="C136" s="118" t="n">
        <x:v>0.3633</x:v>
      </x:c>
      <x:c r="D136" s="118" t="n">
        <x:v>30.96</x:v>
      </x:c>
      <x:c r="E136" s="82">
        <x:f>IF(B136=MEDIAN($J$1-0.05,$J$1+0.05,B136),B136,0)</x:f>
      </x:c>
      <x:c r="F136" s="82">
        <x:f>IF(E136=0,0,D136)</x:f>
      </x:c>
    </x:row>
    <x:row r="137" spans="1:10" x14ac:dyDescent="0.25">
      <x:c r="A137" s="82" t="n">
        <x:v>0.3885</x:v>
      </x:c>
      <x:c r="B137" s="118" t="n">
        <x:v>0.9203</x:v>
      </x:c>
      <x:c r="C137" s="118" t="n">
        <x:v>0.3633</x:v>
      </x:c>
      <x:c r="D137" s="118" t="n">
        <x:v>35.3</x:v>
      </x:c>
      <x:c r="E137" s="82">
        <x:f>IF(B137=MEDIAN($J$1-0.05,$J$1+0.05,B137),B137,0)</x:f>
      </x:c>
      <x:c r="F137" s="82">
        <x:f>IF(E137=0,0,D137)</x:f>
      </x:c>
    </x:row>
    <x:row r="138" spans="1:10" x14ac:dyDescent="0.25">
      <x:c r="A138" s="82" t="n">
        <x:v>0.3965</x:v>
      </x:c>
      <x:c r="B138" s="82" t="n">
        <x:v>0.9901</x:v>
      </x:c>
      <x:c r="C138" s="118" t="n">
        <x:v>0.3633</x:v>
      </x:c>
      <x:c r="D138" s="118" t="n">
        <x:v>39.68</x:v>
      </x:c>
      <x:c r="E138" s="82">
        <x:f>IF(B138=MEDIAN($J$1-0.05,$J$1+0.05,B138),B138,0)</x:f>
      </x:c>
      <x:c r="F138" s="82">
        <x:f>IF(E138=0,0,D138)</x:f>
      </x:c>
    </x:row>
    <x:row r="139" spans="1:10" x14ac:dyDescent="0.25">
      <x:c r="A139" s="82" t="n">
        <x:v>0.4045</x:v>
      </x:c>
      <x:c r="B139" s="82" t="n">
        <x:v>1.05</x:v>
      </x:c>
      <x:c r="C139" s="118" t="n">
        <x:v>0.3633</x:v>
      </x:c>
      <x:c r="D139" s="118" t="n">
        <x:v>43.99</x:v>
      </x:c>
      <x:c r="E139" s="82">
        <x:f>IF(B139=MEDIAN($J$1-0.05,$J$1+0.05,B139),B139,0)</x:f>
      </x:c>
      <x:c r="F139" s="82">
        <x:f>IF(E139=0,0,D139)</x:f>
      </x:c>
    </x:row>
    <x:row r="140" spans="1:10" x14ac:dyDescent="0.25">
      <x:c r="A140" s="82" t="n">
        <x:v>0.4125</x:v>
      </x:c>
      <x:c r="B140" s="82" t="n">
        <x:v>1.07</x:v>
      </x:c>
      <x:c r="C140" s="118" t="n">
        <x:v>0.3633</x:v>
      </x:c>
      <x:c r="D140" s="118" t="n">
        <x:v>47.82</x:v>
      </x:c>
      <x:c r="E140" s="82">
        <x:f>IF(B140=MEDIAN($J$1-0.05,$J$1+0.05,B140),B140,0)</x:f>
      </x:c>
      <x:c r="F140" s="82">
        <x:f>IF(E140=0,0,D140)</x:f>
      </x:c>
    </x:row>
    <x:row r="141" spans="1:10" x14ac:dyDescent="0.25">
      <x:c r="A141" s="82" t="n">
        <x:v>0.4205</x:v>
      </x:c>
      <x:c r="B141" s="82" t="n">
        <x:v>0.9085</x:v>
      </x:c>
      <x:c r="C141" s="118" t="n">
        <x:v>0.3633</x:v>
      </x:c>
      <x:c r="D141" s="118" t="n">
        <x:v>49.9</x:v>
      </x:c>
      <x:c r="E141" s="82">
        <x:f>IF(B141=MEDIAN($J$1-0.05,$J$1+0.05,B141),B141,0)</x:f>
      </x:c>
      <x:c r="F141" s="82">
        <x:f>IF(E141=0,0,D141)</x:f>
      </x:c>
    </x:row>
    <x:row r="142" spans="1:10" x14ac:dyDescent="0.25">
      <x:c r="A142" s="82" t="n">
        <x:v>0.4285</x:v>
      </x:c>
      <x:c r="B142" s="82" t="n">
        <x:v>0.7152</x:v>
      </x:c>
      <x:c r="C142" s="118" t="n">
        <x:v>0.3633</x:v>
      </x:c>
      <x:c r="D142" s="118" t="n">
        <x:v>52.47</x:v>
      </x:c>
      <x:c r="E142" s="82">
        <x:f>IF(B142=MEDIAN($J$1-0.05,$J$1+0.05,B142),B142,0)</x:f>
      </x:c>
      <x:c r="F142" s="82">
        <x:f>IF(E142=0,0,D142)</x:f>
      </x:c>
    </x:row>
    <x:row r="143" spans="1:10" x14ac:dyDescent="0.25">
      <x:c r="A143" s="82" t="n">
        <x:v>0.4365</x:v>
      </x:c>
      <x:c r="B143" s="82" t="n">
        <x:v>0.6818</x:v>
      </x:c>
      <x:c r="C143" s="118" t="n">
        <x:v>0.3633</x:v>
      </x:c>
      <x:c r="D143" s="118" t="n">
        <x:v>54.75</x:v>
      </x:c>
      <x:c r="E143" s="82">
        <x:f>IF(B143=MEDIAN($J$1-0.05,$J$1+0.05,B143),B143,0)</x:f>
      </x:c>
      <x:c r="F143" s="82">
        <x:f>IF(E143=0,0,D143)</x:f>
      </x:c>
    </x:row>
    <x:row r="144" spans="1:10" x14ac:dyDescent="0.25">
      <x:c r="A144" s="82" t="n">
        <x:v>0.4445</x:v>
      </x:c>
      <x:c r="B144" s="82" t="n">
        <x:v>0.722</x:v>
      </x:c>
      <x:c r="C144" s="118" t="n">
        <x:v>0.3633</x:v>
      </x:c>
      <x:c r="D144" s="118" t="n">
        <x:v>56.3</x:v>
      </x:c>
      <x:c r="E144" s="82">
        <x:f>IF(B144=MEDIAN($J$1-0.05,$J$1+0.05,B144),B144,0)</x:f>
      </x:c>
      <x:c r="F144" s="82">
        <x:f>IF(E144=0,0,D144)</x:f>
      </x:c>
    </x:row>
    <x:row r="145" spans="1:10" x14ac:dyDescent="0.25">
      <x:c r="A145" s="82" t="n">
        <x:v>0.4525</x:v>
      </x:c>
      <x:c r="B145" s="82" t="n">
        <x:v>0.7283</x:v>
      </x:c>
      <x:c r="C145" s="118" t="n">
        <x:v>0.3633</x:v>
      </x:c>
      <x:c r="D145" s="118" t="n">
        <x:v>57.83</x:v>
      </x:c>
      <x:c r="E145" s="82">
        <x:f>IF(B145=MEDIAN($J$1-0.05,$J$1+0.05,B145),B145,0)</x:f>
      </x:c>
      <x:c r="F145" s="82">
        <x:f>IF(E145=0,0,D145)</x:f>
      </x:c>
    </x:row>
    <x:row r="146" spans="1:10" x14ac:dyDescent="0.25">
      <x:c r="A146" s="82" t="n">
        <x:v>0.4605</x:v>
      </x:c>
      <x:c r="B146" s="82" t="n">
        <x:v>0.7179</x:v>
      </x:c>
      <x:c r="C146" s="118" t="n">
        <x:v>0.3633</x:v>
      </x:c>
      <x:c r="D146" s="118" t="n">
        <x:v>59.54</x:v>
      </x:c>
      <x:c r="E146" s="82">
        <x:f>IF(B146=MEDIAN($J$1-0.05,$J$1+0.05,B146),B146,0)</x:f>
      </x:c>
      <x:c r="F146" s="82">
        <x:f>IF(E146=0,0,D146)</x:f>
      </x:c>
    </x:row>
    <x:row r="147" spans="1:10" x14ac:dyDescent="0.25">
      <x:c r="A147" s="82" t="n">
        <x:v>0.4685</x:v>
      </x:c>
      <x:c r="B147" s="118" t="n">
        <x:v>0.73</x:v>
      </x:c>
      <x:c r="C147" s="118" t="n">
        <x:v>0.3633</x:v>
      </x:c>
      <x:c r="D147" s="118" t="n">
        <x:v>61.16</x:v>
      </x:c>
      <x:c r="E147" s="82">
        <x:f>IF(B147=MEDIAN($J$1-0.05,$J$1+0.05,B147),B147,0)</x:f>
      </x:c>
      <x:c r="F147" s="82">
        <x:f>IF(E147=0,0,D147)</x:f>
      </x:c>
    </x:row>
    <x:row r="148" spans="1:10" x14ac:dyDescent="0.25">
      <x:c r="A148" s="82" t="n">
        <x:v>0.4765</x:v>
      </x:c>
      <x:c r="B148" s="118" t="n">
        <x:v>0.7514</x:v>
      </x:c>
      <x:c r="C148" s="118" t="n">
        <x:v>0.3633</x:v>
      </x:c>
      <x:c r="D148" s="118" t="n">
        <x:v>62.55</x:v>
      </x:c>
      <x:c r="E148" s="82">
        <x:f>IF(B148=MEDIAN($J$1-0.05,$J$1+0.05,B148),B148,0)</x:f>
      </x:c>
      <x:c r="F148" s="82">
        <x:f>IF(E148=0,0,D148)</x:f>
      </x:c>
    </x:row>
    <x:row r="149" spans="1:10" x14ac:dyDescent="0.25">
      <x:c r="A149" s="82" t="n">
        <x:v>0.4845</x:v>
      </x:c>
      <x:c r="B149" s="118" t="n">
        <x:v>0.7519</x:v>
      </x:c>
      <x:c r="C149" s="118" t="n">
        <x:v>0.3633</x:v>
      </x:c>
      <x:c r="D149" s="118" t="n">
        <x:v>64</x:v>
      </x:c>
      <x:c r="E149" s="82">
        <x:f>IF(B149=MEDIAN($J$1-0.05,$J$1+0.05,B149),B149,0)</x:f>
      </x:c>
      <x:c r="F149" s="82">
        <x:f>IF(E149=0,0,D149)</x:f>
      </x:c>
    </x:row>
    <x:row r="150" spans="1:10" x14ac:dyDescent="0.25">
      <x:c r="A150" s="82" t="n">
        <x:v>0.4925</x:v>
      </x:c>
      <x:c r="B150" s="118" t="n">
        <x:v>0.7567</x:v>
      </x:c>
      <x:c r="C150" s="118" t="n">
        <x:v>0.3633</x:v>
      </x:c>
      <x:c r="D150" s="118" t="n">
        <x:v>65.46</x:v>
      </x:c>
      <x:c r="E150" s="82">
        <x:f>IF(B150=MEDIAN($J$1-0.05,$J$1+0.05,B150),B150,0)</x:f>
      </x:c>
      <x:c r="F150" s="82">
        <x:f>IF(E150=0,0,D150)</x:f>
      </x:c>
    </x:row>
    <x:row r="151" spans="1:10" x14ac:dyDescent="0.25">
      <x:c r="A151" s="82" t="n">
        <x:v>0.5005</x:v>
      </x:c>
      <x:c r="B151" s="118" t="n">
        <x:v>0.7579</x:v>
      </x:c>
      <x:c r="C151" s="118" t="n">
        <x:v>0.3633</x:v>
      </x:c>
      <x:c r="D151" s="118" t="n">
        <x:v>66.86</x:v>
      </x:c>
      <x:c r="E151" s="82">
        <x:f>IF(B151=MEDIAN($J$1-0.05,$J$1+0.05,B151),B151,0)</x:f>
      </x:c>
      <x:c r="F151" s="82">
        <x:f>IF(E151=0,0,D151)</x:f>
      </x:c>
    </x:row>
    <x:row r="152" spans="1:10" x14ac:dyDescent="0.25">
      <x:c r="A152" s="82" t="n">
        <x:v>0.5085</x:v>
      </x:c>
      <x:c r="B152" s="118" t="n">
        <x:v>0.7529</x:v>
      </x:c>
      <x:c r="C152" s="118" t="n">
        <x:v>0.3633</x:v>
      </x:c>
      <x:c r="D152" s="118" t="n">
        <x:v>68.36</x:v>
      </x:c>
      <x:c r="E152" s="82">
        <x:f>IF(B152=MEDIAN($J$1-0.05,$J$1+0.05,B152),B152,0)</x:f>
      </x:c>
      <x:c r="F152" s="82">
        <x:f>IF(E152=0,0,D152)</x:f>
      </x:c>
    </x:row>
    <x:row r="153" spans="1:10" x14ac:dyDescent="0.25">
      <x:c r="A153" s="82" t="n">
        <x:v>0.5165</x:v>
      </x:c>
      <x:c r="B153" s="82" t="n">
        <x:v>0.7714</x:v>
      </x:c>
      <x:c r="C153" s="118" t="n">
        <x:v>0.3633</x:v>
      </x:c>
      <x:c r="D153" s="118" t="n">
        <x:v>69.7</x:v>
      </x:c>
      <x:c r="E153" s="82">
        <x:f>IF(B153=MEDIAN($J$1-0.05,$J$1+0.05,B153),B153,0)</x:f>
      </x:c>
      <x:c r="F153" s="82">
        <x:f>IF(E153=0,0,D153)</x:f>
      </x:c>
    </x:row>
    <x:row r="154" spans="1:10" x14ac:dyDescent="0.25">
      <x:c r="A154" s="82" t="n">
        <x:v>0.5245</x:v>
      </x:c>
      <x:c r="B154" s="118" t="n">
        <x:v>0.8242</x:v>
      </x:c>
      <x:c r="C154" s="118" t="n">
        <x:v>0.3633</x:v>
      </x:c>
      <x:c r="D154" s="118" t="n">
        <x:v>72.45</x:v>
      </x:c>
      <x:c r="E154" s="82">
        <x:f>IF(B154=MEDIAN($J$1-0.05,$J$1+0.05,B154),B154,0)</x:f>
      </x:c>
      <x:c r="F154" s="82">
        <x:f>IF(E154=0,0,D154)</x:f>
      </x:c>
    </x:row>
    <x:row r="155" spans="1:10" x14ac:dyDescent="0.25">
      <x:c r="A155" s="82" t="n">
        <x:v>0.5325</x:v>
      </x:c>
      <x:c r="B155" s="118" t="n">
        <x:v>1.638</x:v>
      </x:c>
      <x:c r="C155" s="118" t="n">
        <x:v>0.3633</x:v>
      </x:c>
      <x:c r="D155" s="118" t="n">
        <x:v>82.47</x:v>
      </x:c>
      <x:c r="E155" s="82">
        <x:f>IF(B155=MEDIAN($J$1-0.05,$J$1+0.05,B155),B155,0)</x:f>
      </x:c>
      <x:c r="F155" s="82">
        <x:f>IF(E155=0,0,D155)</x:f>
      </x:c>
    </x:row>
    <x:row r="156" spans="1:10" x14ac:dyDescent="0.25">
      <x:c r="A156" s="82" t="n">
        <x:v>0.5405</x:v>
      </x:c>
      <x:c r="B156" s="118" t="n">
        <x:v>2.555</x:v>
      </x:c>
      <x:c r="C156" s="118" t="n">
        <x:v>0.3633</x:v>
      </x:c>
      <x:c r="D156" s="118" t="n">
        <x:v>87.23</x:v>
      </x:c>
      <x:c r="E156" s="82">
        <x:f>IF(B156=MEDIAN($J$1-0.05,$J$1+0.05,B156),B156,0)</x:f>
      </x:c>
      <x:c r="F156" s="82">
        <x:f>IF(E156=0,0,D156)</x:f>
      </x:c>
    </x:row>
    <x:row r="157" spans="1:10" x14ac:dyDescent="0.25">
      <x:c r="A157" s="82" t="n">
        <x:v>0.5485</x:v>
      </x:c>
      <x:c r="B157" s="118" t="n">
        <x:v>2.523</x:v>
      </x:c>
      <x:c r="C157" s="118" t="n">
        <x:v>0.3633</x:v>
      </x:c>
      <x:c r="D157" s="118" t="n">
        <x:v>91.49</x:v>
      </x:c>
      <x:c r="E157" s="82">
        <x:f>IF(B157=MEDIAN($J$1-0.05,$J$1+0.05,B157),B157,0)</x:f>
      </x:c>
      <x:c r="F157" s="82">
        <x:f>IF(E157=0,0,D157)</x:f>
      </x:c>
    </x:row>
    <x:row r="158" spans="1:10" x14ac:dyDescent="0.25">
      <x:c r="A158" s="82" t="n">
        <x:v>0.5565</x:v>
      </x:c>
      <x:c r="B158" s="118" t="n">
        <x:v>2.229</x:v>
      </x:c>
      <x:c r="C158" s="118" t="n">
        <x:v>0.3633</x:v>
      </x:c>
      <x:c r="D158" s="118" t="n">
        <x:v>97.29</x:v>
      </x:c>
      <x:c r="E158" s="82">
        <x:f>IF(B158=MEDIAN($J$1-0.05,$J$1+0.05,B158),B158,0)</x:f>
      </x:c>
      <x:c r="F158" s="82">
        <x:f>IF(E158=0,0,D158)</x:f>
      </x:c>
    </x:row>
    <x:row r="159" spans="1:10" x14ac:dyDescent="0.25">
      <x:c r="A159" s="82" t="n">
        <x:v>0.5645</x:v>
      </x:c>
      <x:c r="B159" s="118" t="n">
        <x:v>2.081</x:v>
      </x:c>
      <x:c r="C159" s="118" t="n">
        <x:v>0.3633</x:v>
      </x:c>
      <x:c r="D159" s="118" t="n">
        <x:v>99.76</x:v>
      </x:c>
      <x:c r="E159" s="82">
        <x:f>IF(B159=MEDIAN($J$1-0.05,$J$1+0.05,B159),B159,0)</x:f>
      </x:c>
      <x:c r="F159" s="82">
        <x:f>IF(E159=0,0,D159)</x:f>
      </x:c>
    </x:row>
    <x:row r="160" spans="1:10" x14ac:dyDescent="0.25">
      <x:c r="A160" s="82" t="n">
        <x:v>0.5725</x:v>
      </x:c>
      <x:c r="B160" s="118" t="n">
        <x:v>1.875</x:v>
      </x:c>
      <x:c r="C160" s="118" t="n">
        <x:v>0.3655</x:v>
      </x:c>
      <x:c r="D160" s="118" t="n">
        <x:v>101.5</x:v>
      </x:c>
      <x:c r="E160" s="82">
        <x:f>IF(B160=MEDIAN($J$1-0.05,$J$1+0.05,B160),B160,0)</x:f>
      </x:c>
      <x:c r="F160" s="82">
        <x:f>IF(E160=0,0,D160)</x:f>
      </x:c>
    </x:row>
    <x:row r="161" spans="1:10" x14ac:dyDescent="0.25">
      <x:c r="A161" s="82" t="n">
        <x:v>0.5805</x:v>
      </x:c>
      <x:c r="B161" s="118" t="n">
        <x:v>1.718</x:v>
      </x:c>
      <x:c r="C161" s="118" t="n">
        <x:v>0.3655</x:v>
      </x:c>
      <x:c r="D161" s="118" t="n">
        <x:v>102.2</x:v>
      </x:c>
      <x:c r="E161" s="82">
        <x:f>IF(B161=MEDIAN($J$1-0.05,$J$1+0.05,B161),B161,0)</x:f>
      </x:c>
      <x:c r="F161" s="82">
        <x:f>IF(E161=0,0,D161)</x:f>
      </x:c>
    </x:row>
    <x:row r="162" spans="1:10" x14ac:dyDescent="0.25">
      <x:c r="A162" s="82" t="n">
        <x:v>0.5885</x:v>
      </x:c>
      <x:c r="B162" s="118" t="n">
        <x:v>1.567</x:v>
      </x:c>
      <x:c r="C162" s="118" t="n">
        <x:v>0.3655</x:v>
      </x:c>
      <x:c r="D162" s="118" t="n">
        <x:v>102.8</x:v>
      </x:c>
      <x:c r="E162" s="82">
        <x:f>IF(B162=MEDIAN($J$1-0.05,$J$1+0.05,B162),B162,0)</x:f>
      </x:c>
      <x:c r="F162" s="82">
        <x:f>IF(E162=0,0,D162)</x:f>
      </x:c>
    </x:row>
    <x:row r="163" spans="1:10" x14ac:dyDescent="0.25">
      <x:c r="A163" s="82" t="n">
        <x:v>0.5965</x:v>
      </x:c>
      <x:c r="B163" s="118" t="n">
        <x:v>1.467</x:v>
      </x:c>
      <x:c r="C163" s="118" t="n">
        <x:v>0.3655</x:v>
      </x:c>
      <x:c r="D163" s="118" t="n">
        <x:v>103.1</x:v>
      </x:c>
      <x:c r="E163" s="82">
        <x:f>IF(B163=MEDIAN($J$1-0.05,$J$1+0.05,B163),B163,0)</x:f>
      </x:c>
      <x:c r="F163" s="82">
        <x:f>IF(E163=0,0,D163)</x:f>
      </x:c>
    </x:row>
    <x:row r="164" spans="1:10" x14ac:dyDescent="0.25">
      <x:c r="A164" s="82" t="n">
        <x:v>0.6085</x:v>
      </x:c>
      <x:c r="B164" s="118" t="n">
        <x:v>1.349</x:v>
      </x:c>
      <x:c r="C164" s="118" t="n">
        <x:v>0.3655</x:v>
      </x:c>
      <x:c r="D164" s="118" t="n">
        <x:v>103.3</x:v>
      </x:c>
      <x:c r="E164" s="82">
        <x:f>IF(B164=MEDIAN($J$1-0.05,$J$1+0.05,B164),B164,0)</x:f>
      </x:c>
      <x:c r="F164" s="82">
        <x:f>IF(E164=0,0,D164)</x:f>
      </x:c>
    </x:row>
    <x:row r="165" spans="1:10" x14ac:dyDescent="0.25">
      <x:c r="A165" s="82" t="n">
        <x:v>0.6245</x:v>
      </x:c>
      <x:c r="B165" s="118" t="n">
        <x:v>1.195</x:v>
      </x:c>
      <x:c r="C165" s="118" t="n">
        <x:v>0.3655</x:v>
      </x:c>
      <x:c r="D165" s="118" t="n">
        <x:v>102.8</x:v>
      </x:c>
      <x:c r="E165" s="82">
        <x:f>IF(B165=MEDIAN($J$1-0.05,$J$1+0.05,B165),B165,0)</x:f>
      </x:c>
      <x:c r="F165" s="82">
        <x:f>IF(E165=0,0,D165)</x:f>
      </x:c>
    </x:row>
    <x:row r="166" spans="1:10" x14ac:dyDescent="0.25">
      <x:c r="A166" s="82" t="n">
        <x:v>0.6405</x:v>
      </x:c>
      <x:c r="B166" s="118" t="n">
        <x:v>1.02</x:v>
      </x:c>
      <x:c r="C166" s="118" t="n">
        <x:v>0.3655</x:v>
      </x:c>
      <x:c r="D166" s="118" t="n">
        <x:v>102</x:v>
      </x:c>
      <x:c r="E166" s="82">
        <x:f>IF(B166=MEDIAN($J$1-0.05,$J$1+0.05,B166),B166,0)</x:f>
      </x:c>
      <x:c r="F166" s="82">
        <x:f>IF(E166=0,0,D166)</x:f>
      </x:c>
    </x:row>
    <x:row r="167" spans="1:10" x14ac:dyDescent="0.25">
      <x:c r="A167" s="82" t="n">
        <x:v>0.6565</x:v>
      </x:c>
      <x:c r="B167" s="82" t="n">
        <x:v>1.002</x:v>
      </x:c>
      <x:c r="C167" s="118" t="n">
        <x:v>0.3655</x:v>
      </x:c>
      <x:c r="D167" s="118" t="n">
        <x:v>101.4</x:v>
      </x:c>
      <x:c r="E167" s="82">
        <x:f>IF(B167=MEDIAN($J$1-0.05,$J$1+0.05,B167),B167,0)</x:f>
      </x:c>
      <x:c r="F167" s="82">
        <x:f>IF(E167=0,0,D167)</x:f>
      </x:c>
    </x:row>
    <x:row r="168" spans="1:10" x14ac:dyDescent="0.25">
      <x:c r="A168" s="82" t="n">
        <x:v>0.6725</x:v>
      </x:c>
      <x:c r="B168" s="82" t="n">
        <x:v>0.9974</x:v>
      </x:c>
      <x:c r="C168" s="118" t="n">
        <x:v>0.3655</x:v>
      </x:c>
      <x:c r="D168" s="118" t="n">
        <x:v>101.5</x:v>
      </x:c>
      <x:c r="E168" s="82">
        <x:f>IF(B168=MEDIAN($J$1-0.05,$J$1+0.05,B168),B168,0)</x:f>
      </x:c>
      <x:c r="F168" s="82">
        <x:f>IF(E168=0,0,D168)</x:f>
      </x:c>
    </x:row>
    <x:row r="169" spans="1:10" x14ac:dyDescent="0.25">
      <x:c r="A169" s="82" t="n">
        <x:v>0.6885</x:v>
      </x:c>
      <x:c r="B169" s="118" t="n">
        <x:v>0.9975</x:v>
      </x:c>
      <x:c r="C169" s="118" t="n">
        <x:v>0.3655</x:v>
      </x:c>
      <x:c r="D169" s="118" t="n">
        <x:v>101.8</x:v>
      </x:c>
      <x:c r="E169" s="82">
        <x:f>IF(B169=MEDIAN($J$1-0.05,$J$1+0.05,B169),B169,0)</x:f>
      </x:c>
      <x:c r="F169" s="82">
        <x:f>IF(E169=0,0,D169)</x:f>
      </x:c>
    </x:row>
    <x:row r="170" spans="1:10" x14ac:dyDescent="0.25">
      <x:c r="A170" s="82" t="n">
        <x:v>0.7045</x:v>
      </x:c>
      <x:c r="B170" s="118" t="n">
        <x:v>0.9967</x:v>
      </x:c>
      <x:c r="C170" s="118" t="n">
        <x:v>0.3655</x:v>
      </x:c>
      <x:c r="D170" s="118" t="n">
        <x:v>102.1</x:v>
      </x:c>
      <x:c r="E170" s="82">
        <x:f>IF(B170=MEDIAN($J$1-0.05,$J$1+0.05,B170),B170,0)</x:f>
      </x:c>
      <x:c r="F170" s="82">
        <x:f>IF(E170=0,0,D170)</x:f>
      </x:c>
    </x:row>
    <x:row r="171" spans="1:10" x14ac:dyDescent="0.25">
      <x:c r="A171" s="82" t="n">
        <x:v>0.7205</x:v>
      </x:c>
      <x:c r="B171" s="118" t="n">
        <x:v>0.9921</x:v>
      </x:c>
      <x:c r="C171" s="118" t="n">
        <x:v>0.3655</x:v>
      </x:c>
      <x:c r="D171" s="118" t="n">
        <x:v>102.7</x:v>
      </x:c>
      <x:c r="E171" s="82">
        <x:f>IF(B171=MEDIAN($J$1-0.05,$J$1+0.05,B171),B171,0)</x:f>
      </x:c>
      <x:c r="F171" s="82">
        <x:f>IF(E171=0,0,D171)</x:f>
      </x:c>
    </x:row>
    <x:row r="172" spans="1:10" x14ac:dyDescent="0.25">
      <x:c r="A172" s="82" t="n">
        <x:v>0.7365</x:v>
      </x:c>
      <x:c r="B172" s="118" t="n">
        <x:v>0.9965</x:v>
      </x:c>
      <x:c r="C172" s="118" t="n">
        <x:v>0.3655</x:v>
      </x:c>
      <x:c r="D172" s="118" t="n">
        <x:v>103.3</x:v>
      </x:c>
      <x:c r="E172" s="82">
        <x:f>IF(B172=MEDIAN($J$1-0.05,$J$1+0.05,B172),B172,0)</x:f>
      </x:c>
      <x:c r="F172" s="82">
        <x:f>IF(E172=0,0,D172)</x:f>
      </x:c>
    </x:row>
    <x:row r="173" spans="1:10" x14ac:dyDescent="0.25">
      <x:c r="A173" s="82" t="n">
        <x:v>0.7525</x:v>
      </x:c>
      <x:c r="B173" s="118" t="n">
        <x:v>0.9931</x:v>
      </x:c>
      <x:c r="C173" s="118" t="n">
        <x:v>0.3655</x:v>
      </x:c>
      <x:c r="D173" s="118" t="n">
        <x:v>103.9</x:v>
      </x:c>
      <x:c r="E173" s="82">
        <x:f>IF(B173=MEDIAN($J$1-0.05,$J$1+0.05,B173),B173,0)</x:f>
      </x:c>
      <x:c r="F173" s="82">
        <x:f>IF(E173=0,0,D173)</x:f>
      </x:c>
    </x:row>
    <x:row r="174" spans="1:10" x14ac:dyDescent="0.25">
      <x:c r="A174" s="82" t="n">
        <x:v>0.7685</x:v>
      </x:c>
      <x:c r="B174" s="118" t="n">
        <x:v>0.9952</x:v>
      </x:c>
      <x:c r="C174" s="118" t="n">
        <x:v>0.3655</x:v>
      </x:c>
      <x:c r="D174" s="118" t="n">
        <x:v>104.4</x:v>
      </x:c>
      <x:c r="E174" s="82">
        <x:f>IF(B174=MEDIAN($J$1-0.05,$J$1+0.05,B174),B174,0)</x:f>
      </x:c>
      <x:c r="F174" s="82">
        <x:f>IF(E174=0,0,D174)</x:f>
      </x:c>
    </x:row>
    <x:row r="175" spans="1:10" x14ac:dyDescent="0.25">
      <x:c r="A175" s="82" t="n">
        <x:v>0.7845</x:v>
      </x:c>
      <x:c r="B175" s="118" t="n">
        <x:v>0.9963</x:v>
      </x:c>
      <x:c r="C175" s="118" t="n">
        <x:v>0.3655</x:v>
      </x:c>
      <x:c r="D175" s="118" t="n">
        <x:v>104.8</x:v>
      </x:c>
      <x:c r="E175" s="82">
        <x:f>IF(B175=MEDIAN($J$1-0.05,$J$1+0.05,B175),B175,0)</x:f>
      </x:c>
      <x:c r="F175" s="82">
        <x:f>IF(E175=0,0,D175)</x:f>
      </x:c>
    </x:row>
    <x:row r="176" spans="1:10" x14ac:dyDescent="0.25">
      <x:c r="A176" s="82" t="n">
        <x:v>0.8005</x:v>
      </x:c>
      <x:c r="B176" s="118" t="n">
        <x:v>0.9943</x:v>
      </x:c>
      <x:c r="C176" s="118" t="n">
        <x:v>0.3655</x:v>
      </x:c>
      <x:c r="D176" s="118" t="n">
        <x:v>105.4</x:v>
      </x:c>
      <x:c r="E176" s="82">
        <x:f>IF(B176=MEDIAN($J$1-0.05,$J$1+0.05,B176),B176,0)</x:f>
      </x:c>
      <x:c r="F176" s="82">
        <x:f>IF(E176=0,0,D176)</x:f>
      </x:c>
    </x:row>
    <x:row r="177" spans="1:10" x14ac:dyDescent="0.25">
      <x:c r="A177" s="82" t="n">
        <x:v>0.8165</x:v>
      </x:c>
      <x:c r="B177" s="118" t="n">
        <x:v>0.9932</x:v>
      </x:c>
      <x:c r="C177" s="118" t="n">
        <x:v>0.3643</x:v>
      </x:c>
      <x:c r="D177" s="118" t="n">
        <x:v>105.9</x:v>
      </x:c>
      <x:c r="E177" s="82">
        <x:f>IF(B177=MEDIAN($J$1-0.05,$J$1+0.05,B177),B177,0)</x:f>
      </x:c>
      <x:c r="F177" s="82">
        <x:f>IF(E177=0,0,D177)</x:f>
      </x:c>
    </x:row>
    <x:row r="178" spans="1:10" x14ac:dyDescent="0.25">
      <x:c r="A178" s="82" t="n">
        <x:v>0.8325</x:v>
      </x:c>
      <x:c r="B178" s="118" t="n">
        <x:v>0.9965</x:v>
      </x:c>
      <x:c r="C178" s="118" t="n">
        <x:v>0.3643</x:v>
      </x:c>
      <x:c r="D178" s="118" t="n">
        <x:v>106.3</x:v>
      </x:c>
      <x:c r="E178" s="82">
        <x:f>IF(B178=MEDIAN($J$1-0.05,$J$1+0.05,B178),B178,0)</x:f>
      </x:c>
      <x:c r="F178" s="82">
        <x:f>IF(E178=0,0,D178)</x:f>
      </x:c>
    </x:row>
    <x:row r="179" spans="1:10" x14ac:dyDescent="0.25">
      <x:c r="A179" s="82" t="n">
        <x:v>0.8485</x:v>
      </x:c>
      <x:c r="B179" s="118" t="n">
        <x:v>0.998</x:v>
      </x:c>
      <x:c r="C179" s="118" t="n">
        <x:v>0.3643</x:v>
      </x:c>
      <x:c r="D179" s="118" t="n">
        <x:v>106.7</x:v>
      </x:c>
      <x:c r="E179" s="82">
        <x:f>IF(B179=MEDIAN($J$1-0.05,$J$1+0.05,B179),B179,0)</x:f>
      </x:c>
      <x:c r="F179" s="82">
        <x:f>IF(E179=0,0,D179)</x:f>
      </x:c>
    </x:row>
    <x:row r="180" spans="1:10" x14ac:dyDescent="0.25">
      <x:c r="A180" s="82" t="n">
        <x:v>0.8645</x:v>
      </x:c>
      <x:c r="B180" s="82" t="n">
        <x:v>0.9949</x:v>
      </x:c>
      <x:c r="C180" s="118" t="n">
        <x:v>0.3643</x:v>
      </x:c>
      <x:c r="D180" s="118" t="n">
        <x:v>106.9</x:v>
      </x:c>
      <x:c r="E180" s="82">
        <x:f>IF(B180=MEDIAN($J$1-0.05,$J$1+0.05,B180),B180,0)</x:f>
      </x:c>
      <x:c r="F180" s="82">
        <x:f>IF(E180=0,0,D180)</x:f>
      </x:c>
    </x:row>
    <x:row r="181" spans="1:10" x14ac:dyDescent="0.25">
      <x:c r="A181" s="82" t="n">
        <x:v>0.8805</x:v>
      </x:c>
      <x:c r="B181" s="82" t="n">
        <x:v>0.9966</x:v>
      </x:c>
      <x:c r="C181" s="118" t="n">
        <x:v>0.3643</x:v>
      </x:c>
      <x:c r="D181" s="118" t="n">
        <x:v>107.4</x:v>
      </x:c>
      <x:c r="E181" s="82">
        <x:f>IF(B181=MEDIAN($J$1-0.05,$J$1+0.05,B181),B181,0)</x:f>
      </x:c>
      <x:c r="F181" s="82">
        <x:f>IF(E181=0,0,D181)</x:f>
      </x:c>
    </x:row>
    <x:row r="182" spans="1:10" x14ac:dyDescent="0.25">
      <x:c r="A182" s="82" t="n">
        <x:v>0.8965</x:v>
      </x:c>
      <x:c r="B182" s="82" t="n">
        <x:v>0.9966</x:v>
      </x:c>
      <x:c r="C182" s="118" t="n">
        <x:v>0.3643</x:v>
      </x:c>
      <x:c r="D182" s="118" t="n">
        <x:v>107.8</x:v>
      </x:c>
      <x:c r="E182" s="82">
        <x:f>IF(B182=MEDIAN($J$1-0.05,$J$1+0.05,B182),B182,0)</x:f>
      </x:c>
      <x:c r="F182" s="82">
        <x:f>IF(E182=0,0,D182)</x:f>
      </x:c>
    </x:row>
    <x:row r="183" spans="1:10" x14ac:dyDescent="0.25">
      <x:c r="A183" s="82" t="n">
        <x:v>0.9125</x:v>
      </x:c>
      <x:c r="B183" s="118" t="n">
        <x:v>0.9972</x:v>
      </x:c>
      <x:c r="C183" s="118" t="n">
        <x:v>0.3643</x:v>
      </x:c>
      <x:c r="D183" s="118" t="n">
        <x:v>108</x:v>
      </x:c>
      <x:c r="E183" s="82">
        <x:f>IF(B183=MEDIAN($J$1-0.05,$J$1+0.05,B183),B183,0)</x:f>
      </x:c>
      <x:c r="F183" s="82">
        <x:f>IF(E183=0,0,D183)</x:f>
      </x:c>
    </x:row>
    <x:row r="184" spans="1:10" x14ac:dyDescent="0.25">
      <x:c r="A184" s="82" t="n">
        <x:v>0.9285</x:v>
      </x:c>
      <x:c r="B184" s="118" t="n">
        <x:v>0.9988</x:v>
      </x:c>
      <x:c r="C184" s="118" t="n">
        <x:v>0.3643</x:v>
      </x:c>
      <x:c r="D184" s="118" t="n">
        <x:v>108.2</x:v>
      </x:c>
      <x:c r="E184" s="82">
        <x:f>IF(B184=MEDIAN($J$1-0.05,$J$1+0.05,B184),B184,0)</x:f>
      </x:c>
      <x:c r="F184" s="82">
        <x:f>IF(E184=0,0,D184)</x:f>
      </x:c>
    </x:row>
    <x:row r="185" spans="1:10" x14ac:dyDescent="0.25">
      <x:c r="A185" s="82" t="n">
        <x:v>0.9445</x:v>
      </x:c>
      <x:c r="B185" s="118" t="n">
        <x:v>0.997</x:v>
      </x:c>
      <x:c r="C185" s="118" t="n">
        <x:v>0.3643</x:v>
      </x:c>
      <x:c r="D185" s="118" t="n">
        <x:v>108.5</x:v>
      </x:c>
      <x:c r="E185" s="82">
        <x:f>IF(B185=MEDIAN($J$1-0.05,$J$1+0.05,B185),B185,0)</x:f>
      </x:c>
      <x:c r="F185" s="82">
        <x:f>IF(E185=0,0,D185)</x:f>
      </x:c>
    </x:row>
    <x:row r="186" spans="1:10" x14ac:dyDescent="0.25">
      <x:c r="A186" s="82" t="n">
        <x:v>0.9605</x:v>
      </x:c>
      <x:c r="B186" s="118" t="n">
        <x:v>0.9971</x:v>
      </x:c>
      <x:c r="C186" s="118" t="n">
        <x:v>0.3643</x:v>
      </x:c>
      <x:c r="D186" s="118" t="n">
        <x:v>108.7</x:v>
      </x:c>
      <x:c r="E186" s="82">
        <x:f>IF(B186=MEDIAN($J$1-0.05,$J$1+0.05,B186),B186,0)</x:f>
      </x:c>
      <x:c r="F186" s="82">
        <x:f>IF(E186=0,0,D186)</x:f>
      </x:c>
    </x:row>
    <x:row r="187" spans="1:10" x14ac:dyDescent="0.25">
      <x:c r="A187" s="82" t="n">
        <x:v>0.9765</x:v>
      </x:c>
      <x:c r="B187" s="118" t="n">
        <x:v>0.9976</x:v>
      </x:c>
      <x:c r="C187" s="118" t="n">
        <x:v>0.3643</x:v>
      </x:c>
      <x:c r="D187" s="118" t="n">
        <x:v>109</x:v>
      </x:c>
      <x:c r="E187" s="82">
        <x:f>IF(B187=MEDIAN($J$1-0.05,$J$1+0.05,B187),B187,0)</x:f>
      </x:c>
      <x:c r="F187" s="82">
        <x:f>IF(E187=0,0,D187)</x:f>
      </x:c>
    </x:row>
    <x:row r="188" spans="1:10" x14ac:dyDescent="0.25">
      <x:c r="A188" s="82" t="n">
        <x:v>0.9925</x:v>
      </x:c>
      <x:c r="B188" s="118" t="n">
        <x:v>0.9992</x:v>
      </x:c>
      <x:c r="C188" s="118" t="n">
        <x:v>0.3643</x:v>
      </x:c>
      <x:c r="D188" s="118" t="n">
        <x:v>109.1</x:v>
      </x:c>
      <x:c r="E188" s="82">
        <x:f>IF(B188=MEDIAN($J$1-0.05,$J$1+0.05,B188),B188,0)</x:f>
      </x:c>
      <x:c r="F188" s="82">
        <x:f>IF(E188=0,0,D188)</x:f>
      </x:c>
    </x:row>
    <x:row r="189" spans="1:10" x14ac:dyDescent="0.25">
      <x:c r="A189" s="82" t="n">
        <x:v>1.0085</x:v>
      </x:c>
      <x:c r="B189" s="118" t="n">
        <x:v>0.9982</x:v>
      </x:c>
      <x:c r="C189" s="118" t="n">
        <x:v>0.3643</x:v>
      </x:c>
      <x:c r="D189" s="118" t="n">
        <x:v>109.2</x:v>
      </x:c>
      <x:c r="E189" s="82">
        <x:f>IF(B189=MEDIAN($J$1-0.05,$J$1+0.05,B189),B189,0)</x:f>
      </x:c>
      <x:c r="F189" s="82">
        <x:f>IF(E189=0,0,D189)</x:f>
      </x:c>
    </x:row>
    <x:row r="190" spans="1:10" x14ac:dyDescent="0.25">
      <x:c r="A190" s="82" t="n">
        <x:v>1.0245</x:v>
      </x:c>
      <x:c r="B190" s="118" t="n">
        <x:v>0.9987</x:v>
      </x:c>
      <x:c r="C190" s="118" t="n">
        <x:v>0.3643</x:v>
      </x:c>
      <x:c r="D190" s="118" t="n">
        <x:v>109.4</x:v>
      </x:c>
      <x:c r="E190" s="82">
        <x:f>IF(B190=MEDIAN($J$1-0.05,$J$1+0.05,B190),B190,0)</x:f>
      </x:c>
      <x:c r="F190" s="82">
        <x:f>IF(E190=0,0,D190)</x:f>
      </x:c>
    </x:row>
    <x:row r="191" spans="1:10" x14ac:dyDescent="0.25">
      <x:c r="A191" s="82" t="n">
        <x:v>1.0405</x:v>
      </x:c>
      <x:c r="B191" s="118" t="n">
        <x:v>0.9977</x:v>
      </x:c>
      <x:c r="C191" s="118" t="n">
        <x:v>0.3643</x:v>
      </x:c>
      <x:c r="D191" s="118" t="n">
        <x:v>109.7</x:v>
      </x:c>
      <x:c r="E191" s="82">
        <x:f>IF(B191=MEDIAN($J$1-0.05,$J$1+0.05,B191),B191,0)</x:f>
      </x:c>
      <x:c r="F191" s="82">
        <x:f>IF(E191=0,0,D191)</x:f>
      </x:c>
    </x:row>
    <x:row r="192" spans="1:10" x14ac:dyDescent="0.25">
      <x:c r="A192" s="82" t="n">
        <x:v>1.0565</x:v>
      </x:c>
      <x:c r="B192" s="118" t="n">
        <x:v>0.9987</x:v>
      </x:c>
      <x:c r="C192" s="118" t="n">
        <x:v>0.3534</x:v>
      </x:c>
      <x:c r="D192" s="118" t="n">
        <x:v>109.8</x:v>
      </x:c>
      <x:c r="E192" s="82">
        <x:f>IF(B192=MEDIAN($J$1-0.05,$J$1+0.05,B192),B192,0)</x:f>
      </x:c>
      <x:c r="F192" s="82">
        <x:f>IF(E192=0,0,D192)</x:f>
      </x:c>
    </x:row>
    <x:row r="193" spans="1:10" x14ac:dyDescent="0.25">
      <x:c r="A193" s="82" t="n">
        <x:v>1.0725</x:v>
      </x:c>
      <x:c r="B193" s="118" t="n">
        <x:v>0.9998</x:v>
      </x:c>
      <x:c r="C193" s="118" t="n">
        <x:v>0.3534</x:v>
      </x:c>
      <x:c r="D193" s="118" t="n">
        <x:v>109.8</x:v>
      </x:c>
      <x:c r="E193" s="82">
        <x:f>IF(B193=MEDIAN($J$1-0.05,$J$1+0.05,B193),B193,0)</x:f>
      </x:c>
      <x:c r="F193" s="82">
        <x:f>IF(E193=0,0,D193)</x:f>
      </x:c>
    </x:row>
    <x:row r="194" spans="1:10" x14ac:dyDescent="0.25">
      <x:c r="A194" s="82" t="n">
        <x:v>1.0885</x:v>
      </x:c>
      <x:c r="B194" s="118" t="n">
        <x:v>0.9974</x:v>
      </x:c>
      <x:c r="C194" s="118" t="n">
        <x:v>0.3534</x:v>
      </x:c>
      <x:c r="D194" s="118" t="n">
        <x:v>110</x:v>
      </x:c>
      <x:c r="E194" s="82">
        <x:f>IF(B194=MEDIAN($J$1-0.05,$J$1+0.05,B194),B194,0)</x:f>
      </x:c>
      <x:c r="F194" s="82">
        <x:f>IF(E194=0,0,D194)</x:f>
      </x:c>
    </x:row>
    <x:row r="195" spans="1:10" x14ac:dyDescent="0.25">
      <x:c r="A195" s="82" t="n">
        <x:v>1.1045</x:v>
      </x:c>
      <x:c r="B195" s="118" t="n">
        <x:v>0.9994</x:v>
      </x:c>
      <x:c r="C195" s="118" t="n">
        <x:v>0.3534</x:v>
      </x:c>
      <x:c r="D195" s="118" t="n">
        <x:v>110.1</x:v>
      </x:c>
      <x:c r="E195" s="82">
        <x:f>IF(B195=MEDIAN($J$1-0.05,$J$1+0.05,B195),B195,0)</x:f>
      </x:c>
      <x:c r="F195" s="82">
        <x:f>IF(E195=0,0,D195)</x:f>
      </x:c>
    </x:row>
    <x:row r="196" spans="1:10" x14ac:dyDescent="0.25">
      <x:c r="A196" s="82" t="n">
        <x:v>1.1205</x:v>
      </x:c>
      <x:c r="B196" s="118" t="n">
        <x:v>0.9989</x:v>
      </x:c>
      <x:c r="C196" s="118" t="n">
        <x:v>0.3534</x:v>
      </x:c>
      <x:c r="D196" s="118" t="n">
        <x:v>110.2</x:v>
      </x:c>
      <x:c r="E196" s="82">
        <x:f>IF(B196=MEDIAN($J$1-0.05,$J$1+0.05,B196),B196,0)</x:f>
      </x:c>
      <x:c r="F196" s="82">
        <x:f>IF(E196=0,0,D196)</x:f>
      </x:c>
    </x:row>
    <x:row r="197" spans="1:10" x14ac:dyDescent="0.25">
      <x:c r="A197" s="82" t="n">
        <x:v>1.1365</x:v>
      </x:c>
      <x:c r="B197" s="118" t="n">
        <x:v>0.9987</x:v>
      </x:c>
      <x:c r="C197" s="118" t="n">
        <x:v>0.3534</x:v>
      </x:c>
      <x:c r="D197" s="118" t="n">
        <x:v>110.3</x:v>
      </x:c>
      <x:c r="E197" s="82">
        <x:f>IF(B197=MEDIAN($J$1-0.05,$J$1+0.05,B197),B197,0)</x:f>
      </x:c>
      <x:c r="F197" s="82">
        <x:f>IF(E197=0,0,D197)</x:f>
      </x:c>
    </x:row>
    <x:row r="198" spans="1:10" x14ac:dyDescent="0.25">
      <x:c r="A198" s="82" t="n">
        <x:v>1.1525</x:v>
      </x:c>
      <x:c r="B198" s="118" t="n">
        <x:v>1</x:v>
      </x:c>
      <x:c r="C198" s="118" t="n">
        <x:v>0.3534</x:v>
      </x:c>
      <x:c r="D198" s="118" t="n">
        <x:v>110.3</x:v>
      </x:c>
      <x:c r="E198" s="82">
        <x:f>IF(B198=MEDIAN($J$1-0.05,$J$1+0.05,B198),B198,0)</x:f>
      </x:c>
      <x:c r="F198" s="82">
        <x:f>IF(E198=0,0,D198)</x:f>
      </x:c>
    </x:row>
    <x:row r="199" spans="1:10" x14ac:dyDescent="0.25">
      <x:c r="A199" s="82" t="n">
        <x:v>1.1685</x:v>
      </x:c>
      <x:c r="B199" s="118" t="n">
        <x:v>0.9997</x:v>
      </x:c>
      <x:c r="C199" s="118" t="n">
        <x:v>0.3534</x:v>
      </x:c>
      <x:c r="D199" s="118" t="n">
        <x:v>110.4</x:v>
      </x:c>
      <x:c r="E199" s="82">
        <x:f>IF(B199=MEDIAN($J$1-0.05,$J$1+0.05,B199),B199,0)</x:f>
      </x:c>
      <x:c r="F199" s="82">
        <x:f>IF(E199=0,0,D199)</x:f>
      </x:c>
    </x:row>
    <x:row r="200" spans="1:10" x14ac:dyDescent="0.25">
      <x:c r="A200" s="82" t="n">
        <x:v>1.1845</x:v>
      </x:c>
      <x:c r="B200" s="118" t="n">
        <x:v>0.9985</x:v>
      </x:c>
      <x:c r="C200" s="118" t="n">
        <x:v>0.3534</x:v>
      </x:c>
      <x:c r="D200" s="118" t="n">
        <x:v>110.5</x:v>
      </x:c>
      <x:c r="E200" s="82">
        <x:f>IF(B200=MEDIAN($J$1-0.05,$J$1+0.05,B200),B200,0)</x:f>
      </x:c>
      <x:c r="F200" s="82">
        <x:f>IF(E200=0,0,D200)</x:f>
      </x:c>
    </x:row>
    <x:row r="201" spans="1:10" x14ac:dyDescent="0.25">
      <x:c r="A201" s="82" t="n">
        <x:v>1.2005</x:v>
      </x:c>
      <x:c r="B201" s="118" t="n">
        <x:v>0.9993</x:v>
      </x:c>
      <x:c r="C201" s="118" t="n">
        <x:v>0.3534</x:v>
      </x:c>
      <x:c r="D201" s="118" t="n">
        <x:v>110.6</x:v>
      </x:c>
      <x:c r="E201" s="82">
        <x:f>IF(B201=MEDIAN($J$1-0.05,$J$1+0.05,B201),B201,0)</x:f>
      </x:c>
      <x:c r="F201" s="82">
        <x:f>IF(E201=0,0,D201)</x:f>
      </x:c>
    </x:row>
    <x:row r="202" spans="1:10" x14ac:dyDescent="0.25">
      <x:c r="A202" s="82" t="n">
        <x:v>1.2165</x:v>
      </x:c>
      <x:c r="B202" s="118" t="n">
        <x:v>1.002</x:v>
      </x:c>
      <x:c r="C202" s="118" t="n">
        <x:v>0.3534</x:v>
      </x:c>
      <x:c r="D202" s="118" t="n">
        <x:v>110.5</x:v>
      </x:c>
      <x:c r="E202" s="82">
        <x:f>IF(B202=MEDIAN($J$1-0.05,$J$1+0.05,B202),B202,0)</x:f>
      </x:c>
      <x:c r="F202" s="82">
        <x:f>IF(E202=0,0,D202)</x:f>
      </x:c>
    </x:row>
    <x:row r="203" spans="1:10" x14ac:dyDescent="0.25">
      <x:c r="A203" s="82" t="n">
        <x:v>1.2325</x:v>
      </x:c>
      <x:c r="B203" s="118" t="n">
        <x:v>0.9973</x:v>
      </x:c>
      <x:c r="C203" s="118" t="n">
        <x:v>0.3534</x:v>
      </x:c>
      <x:c r="D203" s="118" t="n">
        <x:v>110.6</x:v>
      </x:c>
      <x:c r="E203" s="82">
        <x:f>IF(B203=MEDIAN($J$1-0.05,$J$1+0.05,B203),B203,0)</x:f>
      </x:c>
      <x:c r="F203" s="82">
        <x:f>IF(E203=0,0,D203)</x:f>
      </x:c>
    </x:row>
    <x:row r="204" spans="1:10" x14ac:dyDescent="0.25">
      <x:c r="A204" s="82" t="n">
        <x:v>1.2565</x:v>
      </x:c>
      <x:c r="B204" s="82" t="n">
        <x:v>1</x:v>
      </x:c>
      <x:c r="C204" s="118" t="n">
        <x:v>0.3534</x:v>
      </x:c>
      <x:c r="D204" s="82" t="n">
        <x:v>110.6</x:v>
      </x:c>
      <x:c r="E204" s="82">
        <x:f>IF(B204=MEDIAN($J$1-0.05,$J$1+0.05,B204),B204,0)</x:f>
      </x:c>
      <x:c r="F204" s="82">
        <x:f>IF(E204=0,0,D204)</x:f>
      </x:c>
    </x:row>
    <x:row r="205" spans="1:10" x14ac:dyDescent="0.25">
      <x:c r="A205" s="82" t="n">
        <x:v>1.2885</x:v>
      </x:c>
      <x:c r="B205" s="82" t="n">
        <x:v>1</x:v>
      </x:c>
      <x:c r="C205" s="82" t="n">
        <x:v>0.3534</x:v>
      </x:c>
      <x:c r="D205" s="82" t="n">
        <x:v>110.6</x:v>
      </x:c>
      <x:c r="E205" s="82">
        <x:f>IF(B205=MEDIAN($J$1-0.05,$J$1+0.05,B205),B205,0)</x:f>
      </x:c>
      <x:c r="F205" s="82">
        <x:f>IF(E205=0,0,D205)</x:f>
      </x:c>
    </x:row>
    <x:row r="206" spans="1:10" x14ac:dyDescent="0.25">
      <x:c r="A206" s="82" t="n">
        <x:v>1.3205</x:v>
      </x:c>
      <x:c r="B206" s="82" t="n">
        <x:v>1</x:v>
      </x:c>
      <x:c r="C206" s="82" t="n">
        <x:v>0.3487</x:v>
      </x:c>
      <x:c r="D206" s="82" t="n">
        <x:v>110.6</x:v>
      </x:c>
      <x:c r="E206" s="82">
        <x:f>IF(B206=MEDIAN($J$1-0.05,$J$1+0.05,B206),B206,0)</x:f>
      </x:c>
      <x:c r="F206" s="82">
        <x:f>IF(E206=0,0,D206)</x:f>
      </x:c>
    </x:row>
    <x:row r="207" spans="1:10" x14ac:dyDescent="0.25">
      <x:c r="A207" s="82" t="n">
        <x:v>1.3525</x:v>
      </x:c>
      <x:c r="B207" s="82" t="n">
        <x:v>1.001</x:v>
      </x:c>
      <x:c r="C207" s="82" t="n">
        <x:v>0.3487</x:v>
      </x:c>
      <x:c r="D207" s="82" t="n">
        <x:v>110.6</x:v>
      </x:c>
      <x:c r="E207" s="82">
        <x:f>IF(B207=MEDIAN($J$1-0.05,$J$1+0.05,B207),B207,0)</x:f>
      </x:c>
      <x:c r="F207" s="82">
        <x:f>IF(E207=0,0,D207)</x:f>
      </x:c>
    </x:row>
    <x:row r="208" spans="1:10" x14ac:dyDescent="0.25">
      <x:c r="A208" s="82" t="n">
        <x:v>1.3845</x:v>
      </x:c>
      <x:c r="B208" s="82" t="n">
        <x:v>0.9992</x:v>
      </x:c>
      <x:c r="C208" s="82" t="n">
        <x:v>0.3487</x:v>
      </x:c>
      <x:c r="D208" s="82" t="n">
        <x:v>110.6</x:v>
      </x:c>
      <x:c r="E208" s="82">
        <x:f>IF(B208=MEDIAN($J$1-0.05,$J$1+0.05,B208),B208,0)</x:f>
      </x:c>
      <x:c r="F208" s="82">
        <x:f>IF(E208=0,0,D208)</x:f>
      </x:c>
    </x:row>
    <x:row r="209" spans="1:10" x14ac:dyDescent="0.25">
      <x:c r="A209" s="82" t="n">
        <x:v>1.4165</x:v>
      </x:c>
      <x:c r="B209" s="82" t="n">
        <x:v>1</x:v>
      </x:c>
      <x:c r="C209" s="82" t="n">
        <x:v>0.3487</x:v>
      </x:c>
      <x:c r="D209" s="82" t="n">
        <x:v>110.6</x:v>
      </x:c>
      <x:c r="E209" s="82">
        <x:f>IF(B209=MEDIAN($J$1-0.05,$J$1+0.05,B209),B209,0)</x:f>
      </x:c>
      <x:c r="F209" s="82">
        <x:f>IF(E209=0,0,D209)</x:f>
      </x:c>
    </x:row>
    <x:row r="210" spans="1:10" x14ac:dyDescent="0.25">
      <x:c r="A210" s="82" t="n">
        <x:v>1.4485</x:v>
      </x:c>
      <x:c r="B210" s="82" t="n">
        <x:v>1</x:v>
      </x:c>
      <x:c r="C210" s="82" t="n">
        <x:v>0.3487</x:v>
      </x:c>
      <x:c r="D210" s="82" t="n">
        <x:v>110.5</x:v>
      </x:c>
      <x:c r="E210" s="82">
        <x:f>IF(B210=MEDIAN($J$1-0.05,$J$1+0.05,B210),B210,0)</x:f>
      </x:c>
      <x:c r="F210" s="82">
        <x:f>IF(E210=0,0,D210)</x:f>
      </x:c>
    </x:row>
    <x:row r="211" spans="1:10" x14ac:dyDescent="0.25">
      <x:c r="A211" s="82" t="n">
        <x:v>1.4805</x:v>
      </x:c>
      <x:c r="B211" s="82" t="n">
        <x:v>0.9995</x:v>
      </x:c>
      <x:c r="C211" s="82" t="n">
        <x:v>0.3487</x:v>
      </x:c>
      <x:c r="D211" s="82" t="n">
        <x:v>110.4</x:v>
      </x:c>
      <x:c r="E211" s="82">
        <x:f>IF(B211=MEDIAN($J$1-0.05,$J$1+0.05,B211),B211,0)</x:f>
      </x:c>
      <x:c r="F211" s="82">
        <x:f>IF(E211=0,0,D211)</x:f>
      </x:c>
    </x:row>
    <x:row r="212" spans="1:10" x14ac:dyDescent="0.25">
      <x:c r="A212" s="82" t="n">
        <x:v>1.5125</x:v>
      </x:c>
      <x:c r="B212" s="82" t="n">
        <x:v>1.001</x:v>
      </x:c>
      <x:c r="C212" s="82" t="n">
        <x:v>0.3487</x:v>
      </x:c>
      <x:c r="D212" s="82" t="n">
        <x:v>110.4</x:v>
      </x:c>
      <x:c r="E212" s="82">
        <x:f>IF(B212=MEDIAN($J$1-0.05,$J$1+0.05,B212),B212,0)</x:f>
      </x:c>
      <x:c r="F212" s="82">
        <x:f>IF(E212=0,0,D212)</x:f>
      </x:c>
    </x:row>
    <x:row r="213" spans="1:10" x14ac:dyDescent="0.25">
      <x:c r="A213" s="82" t="n">
        <x:v>1.5445</x:v>
      </x:c>
      <x:c r="B213" s="82" t="n">
        <x:v>1</x:v>
      </x:c>
      <x:c r="C213" s="82" t="n">
        <x:v>0.3475</x:v>
      </x:c>
      <x:c r="D213" s="82" t="n">
        <x:v>110.3</x:v>
      </x:c>
      <x:c r="E213" s="82">
        <x:f>IF(B213=MEDIAN($J$1-0.05,$J$1+0.05,B213),B213,0)</x:f>
      </x:c>
      <x:c r="F213" s="82">
        <x:f>IF(E213=0,0,D213)</x:f>
      </x:c>
    </x:row>
    <x:row r="214" spans="1:10" x14ac:dyDescent="0.25">
      <x:c r="A214" s="82" t="n">
        <x:v>1.5765</x:v>
      </x:c>
      <x:c r="B214" s="82" t="n">
        <x:v>1.001</x:v>
      </x:c>
      <x:c r="C214" s="82" t="n">
        <x:v>0.3475</x:v>
      </x:c>
      <x:c r="D214" s="82" t="n">
        <x:v>110.2</x:v>
      </x:c>
      <x:c r="E214" s="82">
        <x:f>IF(B214=MEDIAN($J$1-0.05,$J$1+0.05,B214),B214,0)</x:f>
      </x:c>
      <x:c r="F214" s="82">
        <x:f>IF(E214=0,0,D214)</x:f>
      </x:c>
    </x:row>
    <x:row r="215" spans="1:10" x14ac:dyDescent="0.25">
      <x:c r="A215" s="82" t="n">
        <x:v>1.6085</x:v>
      </x:c>
      <x:c r="B215" s="82" t="n">
        <x:v>0.9995</x:v>
      </x:c>
      <x:c r="C215" s="82" t="n">
        <x:v>0.3475</x:v>
      </x:c>
      <x:c r="D215" s="82" t="n">
        <x:v>110.1</x:v>
      </x:c>
      <x:c r="E215" s="82">
        <x:f>IF(B215=MEDIAN($J$1-0.05,$J$1+0.05,B215),B215,0)</x:f>
      </x:c>
      <x:c r="F215" s="82">
        <x:f>IF(E215=0,0,D215)</x:f>
      </x:c>
    </x:row>
    <x:row r="216" spans="1:10" x14ac:dyDescent="0.25">
      <x:c r="A216" s="82" t="n">
        <x:v>1.6405</x:v>
      </x:c>
      <x:c r="B216" s="82" t="n">
        <x:v>1.001</x:v>
      </x:c>
      <x:c r="C216" s="82" t="n">
        <x:v>0.3475</x:v>
      </x:c>
      <x:c r="D216" s="82" t="n">
        <x:v>110</x:v>
      </x:c>
      <x:c r="E216" s="82">
        <x:f>IF(B216=MEDIAN($J$1-0.05,$J$1+0.05,B216),B216,0)</x:f>
      </x:c>
      <x:c r="F216" s="82">
        <x:f>IF(E216=0,0,D216)</x:f>
      </x:c>
    </x:row>
    <x:row r="217" spans="1:10" x14ac:dyDescent="0.25">
      <x:c r="A217" s="82" t="n">
        <x:v>1.6725</x:v>
      </x:c>
      <x:c r="B217" s="82" t="n">
        <x:v>0.9996</x:v>
      </x:c>
      <x:c r="C217" s="82" t="n">
        <x:v>0.3475</x:v>
      </x:c>
      <x:c r="D217" s="82" t="n">
        <x:v>109.9</x:v>
      </x:c>
      <x:c r="E217" s="82">
        <x:f>IF(B217=MEDIAN($J$1-0.05,$J$1+0.05,B217),B217,0)</x:f>
      </x:c>
      <x:c r="F217" s="82">
        <x:f>IF(E217=0,0,D217)</x:f>
      </x:c>
    </x:row>
    <x:row r="218" spans="1:10" x14ac:dyDescent="0.25">
      <x:c r="A218" s="82" t="n">
        <x:v>1.7045</x:v>
      </x:c>
      <x:c r="B218" s="82" t="n">
        <x:v>1.001</x:v>
      </x:c>
      <x:c r="C218" s="82" t="n">
        <x:v>0.3475</x:v>
      </x:c>
      <x:c r="D218" s="82" t="n">
        <x:v>109.8</x:v>
      </x:c>
      <x:c r="E218" s="82">
        <x:f>IF(B218=MEDIAN($J$1-0.05,$J$1+0.05,B218),B218,0)</x:f>
      </x:c>
      <x:c r="F218" s="82">
        <x:f>IF(E218=0,0,D218)</x:f>
      </x:c>
    </x:row>
    <x:row r="219" spans="1:10" x14ac:dyDescent="0.25">
      <x:c r="A219" s="82" t="n">
        <x:v>1.7365</x:v>
      </x:c>
      <x:c r="B219" s="82" t="n">
        <x:v>1.001</x:v>
      </x:c>
      <x:c r="C219" s="82" t="n">
        <x:v>0.3475</x:v>
      </x:c>
      <x:c r="D219" s="82" t="n">
        <x:v>109.6</x:v>
      </x:c>
      <x:c r="E219" s="82">
        <x:f>IF(B219=MEDIAN($J$1-0.05,$J$1+0.05,B219),B219,0)</x:f>
      </x:c>
      <x:c r="F219" s="82">
        <x:f>IF(E219=0,0,D219)</x:f>
      </x:c>
    </x:row>
    <x:row r="220" spans="1:10" x14ac:dyDescent="0.25">
      <x:c r="A220" s="82" t="n">
        <x:v>1.7685</x:v>
      </x:c>
      <x:c r="B220" s="82" t="n">
        <x:v>0.9999</x:v>
      </x:c>
      <x:c r="C220" s="82" t="n">
        <x:v>0.3475</x:v>
      </x:c>
      <x:c r="D220" s="82" t="n">
        <x:v>109.6</x:v>
      </x:c>
      <x:c r="E220" s="82">
        <x:f>IF(B220=MEDIAN($J$1-0.05,$J$1+0.05,B220),B220,0)</x:f>
      </x:c>
      <x:c r="F220" s="82">
        <x:f>IF(E220=0,0,D220)</x:f>
      </x:c>
    </x:row>
    <x:row r="221" spans="1:10" x14ac:dyDescent="0.25">
      <x:c r="A221" s="82" t="n">
        <x:v>1.8005</x:v>
      </x:c>
      <x:c r="B221" s="82" t="n">
        <x:v>1.002</x:v>
      </x:c>
      <x:c r="C221" s="82" t="n">
        <x:v>0.3422</x:v>
      </x:c>
      <x:c r="D221" s="82" t="n">
        <x:v>109.4</x:v>
      </x:c>
      <x:c r="E221" s="82">
        <x:f>IF(B221=MEDIAN($J$1-0.05,$J$1+0.05,B221),B221,0)</x:f>
      </x:c>
      <x:c r="F221" s="82">
        <x:f>IF(E221=0,0,D221)</x:f>
      </x:c>
    </x:row>
    <x:row r="222" spans="1:10" x14ac:dyDescent="0.25">
      <x:c r="A222" s="82" t="n">
        <x:v>1.8325</x:v>
      </x:c>
      <x:c r="B222" s="82" t="n">
        <x:v>1</x:v>
      </x:c>
      <x:c r="C222" s="82" t="n">
        <x:v>0.3422</x:v>
      </x:c>
      <x:c r="D222" s="82" t="n">
        <x:v>109.3</x:v>
      </x:c>
      <x:c r="E222" s="82">
        <x:f>IF(B222=MEDIAN($J$1-0.05,$J$1+0.05,B222),B222,0)</x:f>
      </x:c>
      <x:c r="F222" s="82">
        <x:f>IF(E222=0,0,D222)</x:f>
      </x:c>
    </x:row>
    <x:row r="223" spans="1:10" x14ac:dyDescent="0.25">
      <x:c r="A223" s="82" t="n">
        <x:v>1.8645</x:v>
      </x:c>
      <x:c r="B223" s="82" t="n">
        <x:v>1</x:v>
      </x:c>
      <x:c r="C223" s="82" t="n">
        <x:v>0.3422</x:v>
      </x:c>
      <x:c r="D223" s="82" t="n">
        <x:v>109.2</x:v>
      </x:c>
      <x:c r="E223" s="82">
        <x:f>IF(B223=MEDIAN($J$1-0.05,$J$1+0.05,B223),B223,0)</x:f>
      </x:c>
      <x:c r="F223" s="82">
        <x:f>IF(E223=0,0,D223)</x:f>
      </x:c>
    </x:row>
    <x:row r="224" spans="1:10" x14ac:dyDescent="0.25">
      <x:c r="A224" s="82" t="n">
        <x:v>1.8965</x:v>
      </x:c>
      <x:c r="B224" s="82" t="n">
        <x:v>1</x:v>
      </x:c>
      <x:c r="C224" s="82" t="n">
        <x:v>0.3422</x:v>
      </x:c>
      <x:c r="D224" s="82" t="n">
        <x:v>109.1</x:v>
      </x:c>
      <x:c r="E224" s="82">
        <x:f>IF(B224=MEDIAN($J$1-0.05,$J$1+0.05,B224),B224,0)</x:f>
      </x:c>
      <x:c r="F224" s="82">
        <x:f>IF(E224=0,0,D224)</x:f>
      </x:c>
    </x:row>
    <x:row r="225" spans="1:10" x14ac:dyDescent="0.25">
      <x:c r="A225" s="82" t="n">
        <x:v>1.9285</x:v>
      </x:c>
      <x:c r="B225" s="82" t="n">
        <x:v>1.001</x:v>
      </x:c>
      <x:c r="C225" s="82" t="n">
        <x:v>0.3422</x:v>
      </x:c>
      <x:c r="D225" s="82" t="n">
        <x:v>109</x:v>
      </x:c>
      <x:c r="E225" s="82">
        <x:f>IF(B225=MEDIAN($J$1-0.05,$J$1+0.05,B225),B225,0)</x:f>
      </x:c>
      <x:c r="F225" s="82">
        <x:f>IF(E225=0,0,D225)</x:f>
      </x:c>
    </x:row>
    <x:row r="226" spans="1:10" x14ac:dyDescent="0.25">
      <x:c r="A226" s="82" t="n">
        <x:v>1.9605</x:v>
      </x:c>
      <x:c r="B226" s="82" t="n">
        <x:v>1</x:v>
      </x:c>
      <x:c r="C226" s="82" t="n">
        <x:v>0.3422</x:v>
      </x:c>
      <x:c r="D226" s="82" t="n">
        <x:v>108.8</x:v>
      </x:c>
      <x:c r="E226" s="82">
        <x:f>IF(B226=MEDIAN($J$1-0.05,$J$1+0.05,B226),B226,0)</x:f>
      </x:c>
      <x:c r="F226" s="82">
        <x:f>IF(E226=0,0,D226)</x:f>
      </x:c>
    </x:row>
    <x:row r="227" spans="1:10" x14ac:dyDescent="0.25">
      <x:c r="A227" s="82" t="n">
        <x:v>1.9925</x:v>
      </x:c>
      <x:c r="B227" s="82" t="n">
        <x:v>1</x:v>
      </x:c>
      <x:c r="C227" s="82" t="n">
        <x:v>0.3422</x:v>
      </x:c>
      <x:c r="D227" s="82" t="n">
        <x:v>108.9</x:v>
      </x:c>
      <x:c r="E227" s="82">
        <x:f>IF(B227=MEDIAN($J$1-0.05,$J$1+0.05,B227),B227,0)</x:f>
      </x:c>
      <x:c r="F227" s="82">
        <x:f>IF(E227=0,0,D227)</x:f>
      </x:c>
    </x:row>
    <x:row r="228" spans="1:10" x14ac:dyDescent="0.25">
      <x:c r="A228" s="82" t="n">
        <x:v>2.0245</x:v>
      </x:c>
      <x:c r="B228" s="82" t="n">
        <x:v>1</x:v>
      </x:c>
      <x:c r="C228" s="118" t="n">
        <x:v>0.3422</x:v>
      </x:c>
      <x:c r="D228" s="82" t="n">
        <x:v>108.7</x:v>
      </x:c>
      <x:c r="E228" s="82">
        <x:f>IF(B228=MEDIAN($J$1-0.05,$J$1+0.05,B228),B228,0)</x:f>
      </x:c>
      <x:c r="F228" s="82">
        <x:f>IF(E228=0,0,D228)</x:f>
      </x:c>
    </x:row>
    <x:row r="229" spans="1:10" x14ac:dyDescent="0.25">
      <x:c r="A229" s="82" t="n">
        <x:v>2.0565</x:v>
      </x:c>
      <x:c r="B229" s="82" t="n">
        <x:v>1</x:v>
      </x:c>
      <x:c r="C229" s="118" t="n">
        <x:v>0.3378</x:v>
      </x:c>
      <x:c r="D229" s="82" t="n">
        <x:v>108.6</x:v>
      </x:c>
      <x:c r="E229" s="82">
        <x:f>IF(B229=MEDIAN($J$1-0.05,$J$1+0.05,B229),B229,0)</x:f>
      </x:c>
      <x:c r="F229" s="82">
        <x:f>IF(E229=0,0,D229)</x:f>
      </x:c>
    </x:row>
    <x:row r="230" spans="1:10" x14ac:dyDescent="0.25">
      <x:c r="A230" s="82" t="n">
        <x:v>2.0885</x:v>
      </x:c>
      <x:c r="B230" s="82" t="n">
        <x:v>1.001</x:v>
      </x:c>
      <x:c r="C230" s="118" t="n">
        <x:v>0.3378</x:v>
      </x:c>
      <x:c r="D230" s="82" t="n">
        <x:v>108.5</x:v>
      </x:c>
      <x:c r="E230" s="82">
        <x:f>IF(B230=MEDIAN($J$1-0.05,$J$1+0.05,B230),B230,0)</x:f>
      </x:c>
      <x:c r="F230" s="82">
        <x:f>IF(E230=0,0,D230)</x:f>
      </x:c>
    </x:row>
    <x:row r="231" spans="1:10" x14ac:dyDescent="0.25">
      <x:c r="A231" s="82" t="n">
        <x:v>2.1205</x:v>
      </x:c>
      <x:c r="B231" s="82" t="n">
        <x:v>1</x:v>
      </x:c>
      <x:c r="C231" s="118" t="n">
        <x:v>0.3378</x:v>
      </x:c>
      <x:c r="D231" s="82" t="n">
        <x:v>108.4</x:v>
      </x:c>
      <x:c r="E231" s="82">
        <x:f>IF(B231=MEDIAN($J$1-0.05,$J$1+0.05,B231),B231,0)</x:f>
      </x:c>
      <x:c r="F231" s="82">
        <x:f>IF(E231=0,0,D231)</x:f>
      </x:c>
    </x:row>
    <x:row r="232" spans="1:10" x14ac:dyDescent="0.25">
      <x:c r="A232" s="82" t="n">
        <x:v>2.1525</x:v>
      </x:c>
      <x:c r="B232" s="82" t="n">
        <x:v>1.002</x:v>
      </x:c>
      <x:c r="C232" s="118" t="n">
        <x:v>0.3378</x:v>
      </x:c>
      <x:c r="D232" s="82" t="n">
        <x:v>108.3</x:v>
      </x:c>
      <x:c r="E232" s="82">
        <x:f>IF(B232=MEDIAN($J$1-0.05,$J$1+0.05,B232),B232,0)</x:f>
      </x:c>
      <x:c r="F232" s="82">
        <x:f>IF(E232=0,0,D232)</x:f>
      </x:c>
    </x:row>
    <x:row r="233" spans="1:10" x14ac:dyDescent="0.25">
      <x:c r="A233" s="82" t="n">
        <x:v>2.1845</x:v>
      </x:c>
      <x:c r="B233" s="82" t="n">
        <x:v>0.9993</x:v>
      </x:c>
      <x:c r="C233" s="118" t="n">
        <x:v>0.3378</x:v>
      </x:c>
      <x:c r="D233" s="82" t="n">
        <x:v>108.2</x:v>
      </x:c>
      <x:c r="E233" s="82">
        <x:f>IF(B233=MEDIAN($J$1-0.05,$J$1+0.05,B233),B233,0)</x:f>
      </x:c>
      <x:c r="F233" s="82">
        <x:f>IF(E233=0,0,D233)</x:f>
      </x:c>
    </x:row>
    <x:row r="234" spans="1:10" x14ac:dyDescent="0.25">
      <x:c r="A234" s="82" t="n">
        <x:v>2.2165</x:v>
      </x:c>
      <x:c r="B234" s="82" t="n">
        <x:v>1.001</x:v>
      </x:c>
      <x:c r="C234" s="118" t="n">
        <x:v>0.3378</x:v>
      </x:c>
      <x:c r="D234" s="82" t="n">
        <x:v>108.1</x:v>
      </x:c>
      <x:c r="E234" s="82">
        <x:f>IF(B234=MEDIAN($J$1-0.05,$J$1+0.05,B234),B234,0)</x:f>
      </x:c>
      <x:c r="F234" s="82">
        <x:f>IF(E234=0,0,D234)</x:f>
      </x:c>
    </x:row>
    <x:row r="235" spans="1:10" x14ac:dyDescent="0.25">
      <x:c r="A235" s="82" t="n">
        <x:v>2.2485</x:v>
      </x:c>
      <x:c r="B235" s="82" t="n">
        <x:v>0.9997</x:v>
      </x:c>
      <x:c r="C235" s="118" t="n">
        <x:v>0.3378</x:v>
      </x:c>
      <x:c r="D235" s="82" t="n">
        <x:v>108</x:v>
      </x:c>
      <x:c r="E235" s="82">
        <x:f>IF(B235=MEDIAN($J$1-0.05,$J$1+0.05,B235),B235,0)</x:f>
      </x:c>
      <x:c r="F235" s="82">
        <x:f>IF(E235=0,0,D235)</x:f>
      </x:c>
    </x:row>
    <x:row r="236" spans="1:10" x14ac:dyDescent="0.25">
      <x:c r="A236" s="82" t="n">
        <x:v>2.2805</x:v>
      </x:c>
      <x:c r="B236" s="82" t="n">
        <x:v>0.9998</x:v>
      </x:c>
      <x:c r="C236" s="118" t="n">
        <x:v>0.3371</x:v>
      </x:c>
      <x:c r="D236" s="82" t="n">
        <x:v>108</x:v>
      </x:c>
      <x:c r="E236" s="82">
        <x:f>IF(B236=MEDIAN($J$1-0.05,$J$1+0.05,B236),B236,0)</x:f>
      </x:c>
      <x:c r="F236" s="82">
        <x:f>IF(E236=0,0,D236)</x:f>
      </x:c>
    </x:row>
    <x:row r="237" spans="1:10" x14ac:dyDescent="0.25">
      <x:c r="A237" s="82" t="n">
        <x:v>2.3125</x:v>
      </x:c>
      <x:c r="B237" s="82" t="n">
        <x:v>1.001</x:v>
      </x:c>
      <x:c r="C237" s="118" t="n">
        <x:v>0.3371</x:v>
      </x:c>
      <x:c r="D237" s="82" t="n">
        <x:v>107.9</x:v>
      </x:c>
      <x:c r="E237" s="82">
        <x:f>IF(B237=MEDIAN($J$1-0.05,$J$1+0.05,B237),B237,0)</x:f>
      </x:c>
      <x:c r="F237" s="82">
        <x:f>IF(E237=0,0,D237)</x:f>
      </x:c>
    </x:row>
    <x:row r="238" spans="1:10" x14ac:dyDescent="0.25">
      <x:c r="A238" s="82" t="n">
        <x:v>2.3445</x:v>
      </x:c>
      <x:c r="B238" s="82" t="n">
        <x:v>1</x:v>
      </x:c>
      <x:c r="C238" s="118" t="n">
        <x:v>0.3371</x:v>
      </x:c>
      <x:c r="D238" s="82" t="n">
        <x:v>107.8</x:v>
      </x:c>
      <x:c r="E238" s="82">
        <x:f>IF(B238=MEDIAN($J$1-0.05,$J$1+0.05,B238),B238,0)</x:f>
      </x:c>
      <x:c r="F238" s="82">
        <x:f>IF(E238=0,0,D238)</x:f>
      </x:c>
    </x:row>
    <x:row r="239" spans="1:10" x14ac:dyDescent="0.25">
      <x:c r="A239" s="82" t="n">
        <x:v>2.3765</x:v>
      </x:c>
      <x:c r="B239" s="82" t="n">
        <x:v>1.001</x:v>
      </x:c>
      <x:c r="C239" s="118" t="n">
        <x:v>0.3371</x:v>
      </x:c>
      <x:c r="D239" s="82" t="n">
        <x:v>107.8</x:v>
      </x:c>
      <x:c r="E239" s="82">
        <x:f>IF(B239=MEDIAN($J$1-0.05,$J$1+0.05,B239),B239,0)</x:f>
      </x:c>
      <x:c r="F239" s="82">
        <x:f>IF(E239=0,0,D239)</x:f>
      </x:c>
    </x:row>
    <x:row r="240" spans="1:10" x14ac:dyDescent="0.25">
      <x:c r="A240" s="82" t="n">
        <x:v>2.4085</x:v>
      </x:c>
      <x:c r="B240" s="82" t="n">
        <x:v>1</x:v>
      </x:c>
      <x:c r="C240" s="118" t="n">
        <x:v>0.3371</x:v>
      </x:c>
      <x:c r="D240" s="82" t="n">
        <x:v>107.7</x:v>
      </x:c>
      <x:c r="E240" s="82">
        <x:f>IF(B240=MEDIAN($J$1-0.05,$J$1+0.05,B240),B240,0)</x:f>
      </x:c>
      <x:c r="F240" s="82">
        <x:f>IF(E240=0,0,D240)</x:f>
      </x:c>
    </x:row>
    <x:row r="241" spans="1:10" x14ac:dyDescent="0.25">
      <x:c r="A241" s="82" t="n">
        <x:v>2.4405</x:v>
      </x:c>
      <x:c r="B241" s="82" t="n">
        <x:v>1.001</x:v>
      </x:c>
      <x:c r="C241" s="118" t="n">
        <x:v>0.3371</x:v>
      </x:c>
      <x:c r="D241" s="82" t="n">
        <x:v>107.6</x:v>
      </x:c>
      <x:c r="E241" s="82">
        <x:f>IF(B241=MEDIAN($J$1-0.05,$J$1+0.05,B241),B241,0)</x:f>
      </x:c>
      <x:c r="F241" s="82">
        <x:f>IF(E241=0,0,D241)</x:f>
      </x:c>
    </x:row>
    <x:row r="242" spans="1:10" x14ac:dyDescent="0.25">
      <x:c r="A242" s="82" t="n">
        <x:v>2.4725</x:v>
      </x:c>
      <x:c r="B242" s="82" t="n">
        <x:v>0.9997</x:v>
      </x:c>
      <x:c r="C242" s="118" t="n">
        <x:v>0.3371</x:v>
      </x:c>
      <x:c r="D242" s="82" t="n">
        <x:v>107.5</x:v>
      </x:c>
      <x:c r="E242" s="82">
        <x:f>IF(B242=MEDIAN($J$1-0.05,$J$1+0.05,B242),B242,0)</x:f>
      </x:c>
      <x:c r="F242" s="82">
        <x:f>IF(E242=0,0,D242)</x:f>
      </x:c>
    </x:row>
    <x:row r="243" spans="1:10" x14ac:dyDescent="0.25">
      <x:c r="A243" s="82" t="n">
        <x:v>2.5045</x:v>
      </x:c>
      <x:c r="B243" s="82" t="n">
        <x:v>1.001</x:v>
      </x:c>
      <x:c r="C243" s="118" t="n">
        <x:v>0.3371</x:v>
      </x:c>
      <x:c r="D243" s="82" t="n">
        <x:v>107.4</x:v>
      </x:c>
      <x:c r="E243" s="82">
        <x:f>IF(B243=MEDIAN($J$1-0.05,$J$1+0.05,B243),B243,0)</x:f>
      </x:c>
      <x:c r="F243" s="82">
        <x:f>IF(E243=0,0,D243)</x:f>
      </x:c>
    </x:row>
    <x:row r="244" spans="1:10" x14ac:dyDescent="0.25">
      <x:c r="A244" s="82" t="n">
        <x:v>2.5525</x:v>
      </x:c>
      <x:c r="B244" s="82" t="n">
        <x:v>0.9998</x:v>
      </x:c>
      <x:c r="C244" s="118" t="n">
        <x:v>0.3354</x:v>
      </x:c>
      <x:c r="D244" s="82" t="n">
        <x:v>107.4</x:v>
      </x:c>
      <x:c r="E244" s="82">
        <x:f>IF(B244=MEDIAN($J$1-0.05,$J$1+0.05,B244),B244,0)</x:f>
      </x:c>
      <x:c r="F244" s="82">
        <x:f>IF(E244=0,0,D244)</x:f>
      </x:c>
    </x:row>
    <x:row r="245" spans="1:10" x14ac:dyDescent="0.25">
      <x:c r="A245" s="82" t="n">
        <x:v>2.6165</x:v>
      </x:c>
      <x:c r="B245" s="82" t="n">
        <x:v>1</x:v>
      </x:c>
      <x:c r="C245" s="118" t="n">
        <x:v>0.3354</x:v>
      </x:c>
      <x:c r="D245" s="82" t="n">
        <x:v>107.3</x:v>
      </x:c>
      <x:c r="E245" s="82">
        <x:f>IF(B245=MEDIAN($J$1-0.05,$J$1+0.05,B245),B245,0)</x:f>
      </x:c>
      <x:c r="F245" s="82">
        <x:f>IF(E245=0,0,D245)</x:f>
      </x:c>
    </x:row>
    <x:row r="246" spans="1:10" x14ac:dyDescent="0.25">
      <x:c r="A246" s="82" t="n">
        <x:v>2.6805</x:v>
      </x:c>
      <x:c r="B246" s="82" t="n">
        <x:v>1</x:v>
      </x:c>
      <x:c r="C246" s="118" t="n">
        <x:v>0.3354</x:v>
      </x:c>
      <x:c r="D246" s="82" t="n">
        <x:v>107.1</x:v>
      </x:c>
      <x:c r="E246" s="82">
        <x:f>IF(B246=MEDIAN($J$1-0.05,$J$1+0.05,B246),B246,0)</x:f>
      </x:c>
      <x:c r="F246" s="82">
        <x:f>IF(E246=0,0,D246)</x:f>
      </x:c>
    </x:row>
    <x:row r="247" spans="1:10" x14ac:dyDescent="0.25">
      <x:c r="A247" s="82" t="n">
        <x:v>2.7445</x:v>
      </x:c>
      <x:c r="B247" s="82" t="n">
        <x:v>1</x:v>
      </x:c>
      <x:c r="C247" s="118" t="n">
        <x:v>0.3329</x:v>
      </x:c>
      <x:c r="D247" s="82" t="n">
        <x:v>107</x:v>
      </x:c>
      <x:c r="E247" s="82">
        <x:f>IF(B247=MEDIAN($J$1-0.05,$J$1+0.05,B247),B247,0)</x:f>
      </x:c>
      <x:c r="F247" s="82">
        <x:f>IF(E247=0,0,D247)</x:f>
      </x:c>
    </x:row>
    <x:row r="248" spans="1:10" x14ac:dyDescent="0.25">
      <x:c r="A248" s="82" t="n">
        <x:v>2.8085</x:v>
      </x:c>
      <x:c r="B248" s="82" t="n">
        <x:v>1</x:v>
      </x:c>
      <x:c r="C248" s="118" t="n">
        <x:v>0.3329</x:v>
      </x:c>
      <x:c r="D248" s="82" t="n">
        <x:v>106.9</x:v>
      </x:c>
      <x:c r="E248" s="82">
        <x:f>IF(B248=MEDIAN($J$1-0.05,$J$1+0.05,B248),B248,0)</x:f>
      </x:c>
      <x:c r="F248" s="82">
        <x:f>IF(E248=0,0,D248)</x:f>
      </x:c>
    </x:row>
    <x:row r="249" spans="1:10" x14ac:dyDescent="0.25">
      <x:c r="A249" s="82" t="n">
        <x:v>2.8725</x:v>
      </x:c>
      <x:c r="B249" s="82" t="n">
        <x:v>1</x:v>
      </x:c>
      <x:c r="C249" s="118" t="n">
        <x:v>0.3329</x:v>
      </x:c>
      <x:c r="D249" s="82" t="n">
        <x:v>106.8</x:v>
      </x:c>
      <x:c r="E249" s="82">
        <x:f>IF(B249=MEDIAN($J$1-0.05,$J$1+0.05,B249),B249,0)</x:f>
      </x:c>
      <x:c r="F249" s="82">
        <x:f>IF(E249=0,0,D249)</x:f>
      </x:c>
    </x:row>
    <x:row r="250" spans="1:10" x14ac:dyDescent="0.25">
      <x:c r="A250" s="82" t="n">
        <x:v>2.9365</x:v>
      </x:c>
      <x:c r="B250" s="82" t="n">
        <x:v>1</x:v>
      </x:c>
      <x:c r="C250" s="118" t="n">
        <x:v>0.3329</x:v>
      </x:c>
      <x:c r="D250" s="82" t="n">
        <x:v>106.7</x:v>
      </x:c>
      <x:c r="E250" s="82">
        <x:f>IF(B250=MEDIAN($J$1-0.05,$J$1+0.05,B250),B250,0)</x:f>
      </x:c>
      <x:c r="F250" s="82">
        <x:f>IF(E250=0,0,D250)</x:f>
      </x:c>
    </x:row>
    <x:row r="251" spans="1:10" x14ac:dyDescent="0.25">
      <x:c r="A251" s="82" t="n">
        <x:v>3.0005</x:v>
      </x:c>
      <x:c r="B251" s="82" t="n">
        <x:v>1</x:v>
      </x:c>
      <x:c r="C251" s="118" t="n">
        <x:v>0.332</x:v>
      </x:c>
      <x:c r="D251" s="82" t="n">
        <x:v>106.6</x:v>
      </x:c>
      <x:c r="E251" s="82">
        <x:f>IF(B251=MEDIAN($J$1-0.05,$J$1+0.05,B251),B251,0)</x:f>
      </x:c>
      <x:c r="F251" s="82">
        <x:f>IF(E251=0,0,D251)</x:f>
      </x:c>
    </x:row>
    <x:row r="252" spans="1:10" x14ac:dyDescent="0.25">
      <x:c r="A252" s="82" t="n">
        <x:v>3.0645</x:v>
      </x:c>
      <x:c r="B252" s="82" t="n">
        <x:v>1</x:v>
      </x:c>
      <x:c r="C252" s="118" t="n">
        <x:v>0.332</x:v>
      </x:c>
      <x:c r="D252" s="82" t="n">
        <x:v>106.6</x:v>
      </x:c>
      <x:c r="E252" s="82">
        <x:f>IF(B252=MEDIAN($J$1-0.05,$J$1+0.05,B252),B252,0)</x:f>
      </x:c>
      <x:c r="F252" s="82">
        <x:f>IF(E252=0,0,D252)</x:f>
      </x:c>
    </x:row>
    <x:row r="253" spans="1:10" x14ac:dyDescent="0.25">
      <x:c r="A253" s="82" t="n">
        <x:v>3.1285</x:v>
      </x:c>
      <x:c r="B253" s="82" t="n">
        <x:v>1</x:v>
      </x:c>
      <x:c r="C253" s="118" t="n">
        <x:v>0.332</x:v>
      </x:c>
      <x:c r="D253" s="82" t="n">
        <x:v>106.4</x:v>
      </x:c>
      <x:c r="E253" s="82">
        <x:f>IF(B253=MEDIAN($J$1-0.05,$J$1+0.05,B253),B253,0)</x:f>
      </x:c>
      <x:c r="F253" s="82">
        <x:f>IF(E253=0,0,D253)</x:f>
      </x:c>
    </x:row>
    <x:row r="254" spans="1:10" x14ac:dyDescent="0.25">
      <x:c r="A254" s="82" t="n">
        <x:v>3.1925</x:v>
      </x:c>
      <x:c r="B254" s="82" t="n">
        <x:v>1.001</x:v>
      </x:c>
      <x:c r="C254" s="118" t="n">
        <x:v>0.332</x:v>
      </x:c>
      <x:c r="D254" s="82" t="n">
        <x:v>106.4</x:v>
      </x:c>
      <x:c r="E254" s="82">
        <x:f>IF(B254=MEDIAN($J$1-0.05,$J$1+0.05,B254),B254,0)</x:f>
      </x:c>
      <x:c r="F254" s="82">
        <x:f>IF(E254=0,0,D254)</x:f>
      </x:c>
    </x:row>
    <x:row r="255" spans="1:10" x14ac:dyDescent="0.25">
      <x:c r="A255" s="82" t="n">
        <x:v>3.2565</x:v>
      </x:c>
      <x:c r="B255" s="82" t="n">
        <x:v>0.9999</x:v>
      </x:c>
      <x:c r="C255" s="118" t="n">
        <x:v>0.3319</x:v>
      </x:c>
      <x:c r="D255" s="82" t="n">
        <x:v>106.3</x:v>
      </x:c>
      <x:c r="E255" s="82">
        <x:f>IF(B255=MEDIAN($J$1-0.05,$J$1+0.05,B255),B255,0)</x:f>
      </x:c>
      <x:c r="F255" s="82">
        <x:f>IF(E255=0,0,D255)</x:f>
      </x:c>
    </x:row>
    <x:row r="256" spans="1:10" x14ac:dyDescent="0.25">
      <x:c r="A256" s="82" t="n">
        <x:v>3.3205</x:v>
      </x:c>
      <x:c r="B256" s="82" t="n">
        <x:v>1</x:v>
      </x:c>
      <x:c r="C256" s="118" t="n">
        <x:v>0.3319</x:v>
      </x:c>
      <x:c r="D256" s="82" t="n">
        <x:v>106.3</x:v>
      </x:c>
      <x:c r="E256" s="82">
        <x:f>IF(B256=MEDIAN($J$1-0.05,$J$1+0.05,B256),B256,0)</x:f>
      </x:c>
      <x:c r="F256" s="82">
        <x:f>IF(E256=0,0,D256)</x:f>
      </x:c>
    </x:row>
    <x:row r="257" spans="1:10" x14ac:dyDescent="0.25">
      <x:c r="A257" s="82" t="n">
        <x:v>3.3845</x:v>
      </x:c>
      <x:c r="B257" s="82" t="n">
        <x:v>1</x:v>
      </x:c>
      <x:c r="C257" s="118" t="n">
        <x:v>0.3319</x:v>
      </x:c>
      <x:c r="D257" s="82" t="n">
        <x:v>106.2</x:v>
      </x:c>
      <x:c r="E257" s="82">
        <x:f>IF(B257=MEDIAN($J$1-0.05,$J$1+0.05,B257),B257,0)</x:f>
      </x:c>
      <x:c r="F257" s="82">
        <x:f>IF(E257=0,0,D257)</x:f>
      </x:c>
    </x:row>
    <x:row r="258" spans="1:10" x14ac:dyDescent="0.25">
      <x:c r="A258" s="82" t="n">
        <x:v>3.4485</x:v>
      </x:c>
      <x:c r="B258" s="82" t="n">
        <x:v>1</x:v>
      </x:c>
      <x:c r="C258" s="118" t="n">
        <x:v>0.3319</x:v>
      </x:c>
      <x:c r="D258" s="82" t="n">
        <x:v>106.1</x:v>
      </x:c>
      <x:c r="E258" s="82">
        <x:f>IF(B258=MEDIAN($J$1-0.05,$J$1+0.05,B258),B258,0)</x:f>
      </x:c>
      <x:c r="F258" s="82">
        <x:f>IF(E258=0,0,D258)</x:f>
      </x:c>
    </x:row>
    <x:row r="259" spans="1:10" x14ac:dyDescent="0.25">
      <x:c r="A259" s="82" t="n">
        <x:v>3.5125</x:v>
      </x:c>
      <x:c r="B259" s="82" t="n">
        <x:v>0.9998</x:v>
      </x:c>
      <x:c r="C259" s="118" t="n">
        <x:v>0.3276</x:v>
      </x:c>
      <x:c r="D259" s="82" t="n">
        <x:v>106.1</x:v>
      </x:c>
      <x:c r="E259" s="82">
        <x:f>IF(B259=MEDIAN($J$1-0.05,$J$1+0.05,B259),B259,0)</x:f>
      </x:c>
      <x:c r="F259" s="82">
        <x:f>IF(E259=0,0,D259)</x:f>
      </x:c>
    </x:row>
    <x:row r="260" spans="1:10" x14ac:dyDescent="0.25">
      <x:c r="A260" s="82" t="n">
        <x:v>3.5765</x:v>
      </x:c>
      <x:c r="B260" s="82" t="n">
        <x:v>1</x:v>
      </x:c>
      <x:c r="C260" s="118" t="n">
        <x:v>0.3276</x:v>
      </x:c>
      <x:c r="D260" s="82" t="n">
        <x:v>106</x:v>
      </x:c>
      <x:c r="E260" s="82">
        <x:f>IF(B260=MEDIAN($J$1-0.05,$J$1+0.05,B260),B260,0)</x:f>
      </x:c>
      <x:c r="F260" s="82">
        <x:f>IF(E260=0,0,D260)</x:f>
      </x:c>
    </x:row>
    <x:row r="261" spans="1:10" x14ac:dyDescent="0.25">
      <x:c r="A261" s="82" t="n">
        <x:v>3.6405</x:v>
      </x:c>
      <x:c r="B261" s="82" t="n">
        <x:v>1</x:v>
      </x:c>
      <x:c r="C261" s="118" t="n">
        <x:v>0.3276</x:v>
      </x:c>
      <x:c r="D261" s="82" t="n">
        <x:v>105.9</x:v>
      </x:c>
      <x:c r="E261" s="82">
        <x:f>IF(B261=MEDIAN($J$1-0.05,$J$1+0.05,B261),B261,0)</x:f>
      </x:c>
      <x:c r="F261" s="82">
        <x:f>IF(E261=0,0,D261)</x:f>
      </x:c>
    </x:row>
    <x:row r="262" spans="1:10" x14ac:dyDescent="0.25">
      <x:c r="A262" s="82" t="n">
        <x:v>3.7045</x:v>
      </x:c>
      <x:c r="B262" s="82" t="n">
        <x:v>1</x:v>
      </x:c>
      <x:c r="C262" s="118" t="n">
        <x:v>0.3276</x:v>
      </x:c>
      <x:c r="D262" s="82" t="n">
        <x:v>105.9</x:v>
      </x:c>
      <x:c r="E262" s="82">
        <x:f>IF(B262=MEDIAN($J$1-0.05,$J$1+0.05,B262),B262,0)</x:f>
      </x:c>
      <x:c r="F262" s="82">
        <x:f>IF(E262=0,0,D262)</x:f>
      </x:c>
    </x:row>
    <x:row r="263" spans="1:10" x14ac:dyDescent="0.25">
      <x:c r="A263" s="82" t="n">
        <x:v>3.7685</x:v>
      </x:c>
      <x:c r="B263" s="82" t="n">
        <x:v>1</x:v>
      </x:c>
      <x:c r="C263" s="118" t="n">
        <x:v>0.3293</x:v>
      </x:c>
      <x:c r="D263" s="82" t="n">
        <x:v>105.9</x:v>
      </x:c>
      <x:c r="E263" s="82">
        <x:f>IF(B263=MEDIAN($J$1-0.05,$J$1+0.05,B263),B263,0)</x:f>
      </x:c>
      <x:c r="F263" s="82">
        <x:f>IF(E263=0,0,D263)</x:f>
      </x:c>
    </x:row>
    <x:row r="264" spans="1:10" x14ac:dyDescent="0.25">
      <x:c r="A264" s="82" t="n">
        <x:v>3.8325</x:v>
      </x:c>
      <x:c r="B264" s="82" t="n">
        <x:v>1</x:v>
      </x:c>
      <x:c r="C264" s="118" t="n">
        <x:v>0.3293</x:v>
      </x:c>
      <x:c r="D264" s="82" t="n">
        <x:v>105.8</x:v>
      </x:c>
      <x:c r="E264" s="82">
        <x:f>IF(B264=MEDIAN($J$1-0.05,$J$1+0.05,B264),B264,0)</x:f>
      </x:c>
      <x:c r="F264" s="82">
        <x:f>IF(E264=0,0,D264)</x:f>
      </x:c>
    </x:row>
    <x:row r="265" spans="1:10" x14ac:dyDescent="0.25">
      <x:c r="A265" s="82" t="n">
        <x:v>3.8965</x:v>
      </x:c>
      <x:c r="B265" s="82" t="n">
        <x:v>0.9995</x:v>
      </x:c>
      <x:c r="C265" s="118" t="n">
        <x:v>0.3293</x:v>
      </x:c>
      <x:c r="D265" s="82" t="n">
        <x:v>105.8</x:v>
      </x:c>
      <x:c r="E265" s="82">
        <x:f>IF(B265=MEDIAN($J$1-0.05,$J$1+0.05,B265),B265,0)</x:f>
      </x:c>
      <x:c r="F265" s="82">
        <x:f>IF(E265=0,0,D265)</x:f>
      </x:c>
    </x:row>
    <x:row r="266" spans="1:10" x14ac:dyDescent="0.25">
      <x:c r="A266" s="82" t="n">
        <x:v>3.9605</x:v>
      </x:c>
      <x:c r="B266" s="82" t="n">
        <x:v>1.001</x:v>
      </x:c>
      <x:c r="C266" s="118" t="n">
        <x:v>0.328</x:v>
      </x:c>
      <x:c r="D266" s="82" t="n">
        <x:v>105.7</x:v>
      </x:c>
      <x:c r="E266" s="82">
        <x:f>IF(B266=MEDIAN($J$1-0.05,$J$1+0.05,B266),B266,0)</x:f>
      </x:c>
      <x:c r="F266" s="82">
        <x:f>IF(E266=0,0,D266)</x:f>
      </x:c>
    </x:row>
    <x:row r="267" spans="1:10" x14ac:dyDescent="0.25">
      <x:c r="A267" s="82" t="n">
        <x:v>4.0245</x:v>
      </x:c>
      <x:c r="B267" s="82" t="n">
        <x:v>0.9998</x:v>
      </x:c>
      <x:c r="C267" s="118" t="n">
        <x:v>0.328</x:v>
      </x:c>
      <x:c r="D267" s="82" t="n">
        <x:v>105.7</x:v>
      </x:c>
      <x:c r="E267" s="82">
        <x:f>IF(B267=MEDIAN($J$1-0.05,$J$1+0.05,B267),B267,0)</x:f>
      </x:c>
      <x:c r="F267" s="82">
        <x:f>IF(E267=0,0,D267)</x:f>
      </x:c>
    </x:row>
    <x:row r="268" spans="1:10" x14ac:dyDescent="0.25">
      <x:c r="A268" s="82" t="n">
        <x:v>4.0885</x:v>
      </x:c>
      <x:c r="B268" s="82" t="n">
        <x:v>0.9998</x:v>
      </x:c>
      <x:c r="C268" s="118" t="n">
        <x:v>0.328</x:v>
      </x:c>
      <x:c r="D268" s="82" t="n">
        <x:v>105.6</x:v>
      </x:c>
      <x:c r="E268" s="82">
        <x:f>IF(B268=MEDIAN($J$1-0.05,$J$1+0.05,B268),B268,0)</x:f>
      </x:c>
      <x:c r="F268" s="82">
        <x:f>IF(E268=0,0,D268)</x:f>
      </x:c>
    </x:row>
    <x:row r="269" spans="1:10" x14ac:dyDescent="0.25">
      <x:c r="A269" s="82" t="n">
        <x:v>4.1525</x:v>
      </x:c>
      <x:c r="B269" s="82" t="n">
        <x:v>1</x:v>
      </x:c>
      <x:c r="C269" s="118" t="n">
        <x:v>0.328</x:v>
      </x:c>
      <x:c r="D269" s="82" t="n">
        <x:v>105.6</x:v>
      </x:c>
      <x:c r="E269" s="82">
        <x:f>IF(B269=MEDIAN($J$1-0.05,$J$1+0.05,B269),B269,0)</x:f>
      </x:c>
      <x:c r="F269" s="82">
        <x:f>IF(E269=0,0,D269)</x:f>
      </x:c>
    </x:row>
    <x:row r="270" spans="1:10" x14ac:dyDescent="0.25">
      <x:c r="A270" s="82" t="n">
        <x:v>4.2165</x:v>
      </x:c>
      <x:c r="B270" s="82" t="n">
        <x:v>1</x:v>
      </x:c>
      <x:c r="C270" s="118" t="n">
        <x:v>0.328</x:v>
      </x:c>
      <x:c r="D270" s="82" t="n">
        <x:v>105.5</x:v>
      </x:c>
      <x:c r="E270" s="82">
        <x:f>IF(B270=MEDIAN($J$1-0.05,$J$1+0.05,B270),B270,0)</x:f>
      </x:c>
      <x:c r="F270" s="82">
        <x:f>IF(E270=0,0,D270)</x:f>
      </x:c>
    </x:row>
    <x:row r="271" spans="1:10" x14ac:dyDescent="0.25">
      <x:c r="A271" s="82" t="n">
        <x:v>4.2805</x:v>
      </x:c>
      <x:c r="B271" s="82" t="n">
        <x:v>0.9997</x:v>
      </x:c>
      <x:c r="C271" s="118" t="n">
        <x:v>0.3276</x:v>
      </x:c>
      <x:c r="D271" s="82" t="n">
        <x:v>105.5</x:v>
      </x:c>
      <x:c r="E271" s="82">
        <x:f>IF(B271=MEDIAN($J$1-0.05,$J$1+0.05,B271),B271,0)</x:f>
      </x:c>
      <x:c r="F271" s="82">
        <x:f>IF(E271=0,0,D271)</x:f>
      </x:c>
    </x:row>
    <x:row r="272" spans="1:10" x14ac:dyDescent="0.25">
      <x:c r="A272" s="82" t="n">
        <x:v>4.3445</x:v>
      </x:c>
      <x:c r="B272" s="82" t="n">
        <x:v>1.001</x:v>
      </x:c>
      <x:c r="C272" s="118" t="n">
        <x:v>0.3276</x:v>
      </x:c>
      <x:c r="D272" s="82" t="n">
        <x:v>105.5</x:v>
      </x:c>
      <x:c r="E272" s="82">
        <x:f>IF(B272=MEDIAN($J$1-0.05,$J$1+0.05,B272),B272,0)</x:f>
      </x:c>
      <x:c r="F272" s="82">
        <x:f>IF(E272=0,0,D272)</x:f>
      </x:c>
    </x:row>
    <x:row r="273" spans="1:10" x14ac:dyDescent="0.25">
      <x:c r="A273" s="82" t="n">
        <x:v>4.4085</x:v>
      </x:c>
      <x:c r="B273" s="82" t="n">
        <x:v>0.9999</x:v>
      </x:c>
      <x:c r="C273" s="118" t="n">
        <x:v>0.3276</x:v>
      </x:c>
      <x:c r="D273" s="82" t="n">
        <x:v>105.5</x:v>
      </x:c>
      <x:c r="E273" s="82">
        <x:f>IF(B273=MEDIAN($J$1-0.05,$J$1+0.05,B273),B273,0)</x:f>
      </x:c>
      <x:c r="F273" s="82">
        <x:f>IF(E273=0,0,D273)</x:f>
      </x:c>
    </x:row>
    <x:row r="274" spans="1:10" x14ac:dyDescent="0.25">
      <x:c r="A274" s="82" t="n">
        <x:v>4.4725</x:v>
      </x:c>
      <x:c r="B274" s="82" t="n">
        <x:v>0.9998</x:v>
      </x:c>
      <x:c r="C274" s="118" t="n">
        <x:v>0.3276</x:v>
      </x:c>
      <x:c r="D274" s="82" t="n">
        <x:v>105.4</x:v>
      </x:c>
      <x:c r="E274" s="82">
        <x:f>IF(B274=MEDIAN($J$1-0.05,$J$1+0.05,B274),B274,0)</x:f>
      </x:c>
      <x:c r="F274" s="82">
        <x:f>IF(E274=0,0,D274)</x:f>
      </x:c>
    </x:row>
    <x:row r="275" spans="1:10" x14ac:dyDescent="0.25">
      <x:c r="A275" s="82" t="n">
        <x:v>4.5365</x:v>
      </x:c>
      <x:c r="B275" s="82" t="n">
        <x:v>1</x:v>
      </x:c>
      <x:c r="C275" s="118" t="n">
        <x:v>0.3289</x:v>
      </x:c>
      <x:c r="D275" s="82" t="n">
        <x:v>105.4</x:v>
      </x:c>
      <x:c r="E275" s="82">
        <x:f>IF(B275=MEDIAN($J$1-0.05,$J$1+0.05,B275),B275,0)</x:f>
      </x:c>
      <x:c r="F275" s="82">
        <x:f>IF(E275=0,0,D275)</x:f>
      </x:c>
    </x:row>
    <x:row r="276" spans="1:10" x14ac:dyDescent="0.25">
      <x:c r="A276" s="82" t="n">
        <x:v>4.6005</x:v>
      </x:c>
      <x:c r="B276" s="82" t="n">
        <x:v>0.9999</x:v>
      </x:c>
      <x:c r="C276" s="118" t="n">
        <x:v>0.3289</x:v>
      </x:c>
      <x:c r="D276" s="82" t="n">
        <x:v>105.4</x:v>
      </x:c>
      <x:c r="E276" s="82">
        <x:f>IF(B276=MEDIAN($J$1-0.05,$J$1+0.05,B276),B276,0)</x:f>
      </x:c>
      <x:c r="F276" s="82">
        <x:f>IF(E276=0,0,D276)</x:f>
      </x:c>
    </x:row>
    <x:row r="277" spans="1:10" x14ac:dyDescent="0.25">
      <x:c r="A277" s="82" t="n">
        <x:v>4.6645</x:v>
      </x:c>
      <x:c r="B277" s="82" t="n">
        <x:v>0.9998</x:v>
      </x:c>
      <x:c r="C277" s="118" t="n">
        <x:v>0.3289</x:v>
      </x:c>
      <x:c r="D277" s="82" t="n">
        <x:v>105.3</x:v>
      </x:c>
      <x:c r="E277" s="82">
        <x:f>IF(B277=MEDIAN($J$1-0.05,$J$1+0.05,B277),B277,0)</x:f>
      </x:c>
      <x:c r="F277" s="82">
        <x:f>IF(E277=0,0,D277)</x:f>
      </x:c>
    </x:row>
    <x:row r="278" spans="1:10" x14ac:dyDescent="0.25">
      <x:c r="A278" s="82" t="n">
        <x:v>4.7285</x:v>
      </x:c>
      <x:c r="B278" s="82" t="n">
        <x:v>1</x:v>
      </x:c>
      <x:c r="C278" s="118" t="n">
        <x:v>0.3278</x:v>
      </x:c>
      <x:c r="D278" s="82" t="n">
        <x:v>105.3</x:v>
      </x:c>
      <x:c r="E278" s="82">
        <x:f>IF(B278=MEDIAN($J$1-0.05,$J$1+0.05,B278),B278,0)</x:f>
      </x:c>
      <x:c r="F278" s="82">
        <x:f>IF(E278=0,0,D278)</x:f>
      </x:c>
    </x:row>
    <x:row r="279" spans="1:10" x14ac:dyDescent="0.25">
      <x:c r="A279" s="82" t="n">
        <x:v>4.7925</x:v>
      </x:c>
      <x:c r="B279" s="82" t="n">
        <x:v>1</x:v>
      </x:c>
      <x:c r="C279" s="118" t="n">
        <x:v>0.3278</x:v>
      </x:c>
      <x:c r="D279" s="82" t="n">
        <x:v>105.3</x:v>
      </x:c>
      <x:c r="E279" s="82">
        <x:f>IF(B279=MEDIAN($J$1-0.05,$J$1+0.05,B279),B279,0)</x:f>
      </x:c>
      <x:c r="F279" s="82">
        <x:f>IF(E279=0,0,D279)</x:f>
      </x:c>
    </x:row>
    <x:row r="280" spans="1:10" x14ac:dyDescent="0.25">
      <x:c r="A280" s="82" t="n">
        <x:v>4.8565</x:v>
      </x:c>
      <x:c r="B280" s="82" t="n">
        <x:v>0.9997</x:v>
      </x:c>
      <x:c r="C280" s="118" t="n">
        <x:v>0.3278</x:v>
      </x:c>
      <x:c r="D280" s="82" t="n">
        <x:v>105.2</x:v>
      </x:c>
      <x:c r="E280" s="82">
        <x:f>IF(B280=MEDIAN($J$1-0.05,$J$1+0.05,B280),B280,0)</x:f>
      </x:c>
      <x:c r="F280" s="82">
        <x:f>IF(E280=0,0,D280)</x:f>
      </x:c>
    </x:row>
    <x:row r="281" spans="1:10" x14ac:dyDescent="0.25">
      <x:c r="A281" s="82" t="n">
        <x:v>4.9205</x:v>
      </x:c>
      <x:c r="B281" s="82" t="n">
        <x:v>1</x:v>
      </x:c>
      <x:c r="C281" s="118" t="n">
        <x:v>0.3278</x:v>
      </x:c>
      <x:c r="D281" s="82" t="n">
        <x:v>105.2</x:v>
      </x:c>
      <x:c r="E281" s="82">
        <x:f>IF(B281=MEDIAN($J$1-0.05,$J$1+0.05,B281),B281,0)</x:f>
      </x:c>
      <x:c r="F281" s="82">
        <x:f>IF(E281=0,0,D281)</x:f>
      </x:c>
    </x:row>
    <x:row r="282" spans="1:10" x14ac:dyDescent="0.25">
      <x:c r="A282" s="82" t="n">
        <x:v>4.9845</x:v>
      </x:c>
      <x:c r="B282" s="82" t="n">
        <x:v>1</x:v>
      </x:c>
      <x:c r="C282" s="118" t="n">
        <x:v>0.3289</x:v>
      </x:c>
      <x:c r="D282" s="82" t="n">
        <x:v>105.2</x:v>
      </x:c>
      <x:c r="E282" s="82">
        <x:f>IF(B282=MEDIAN($J$1-0.05,$J$1+0.05,B282),B282,0)</x:f>
      </x:c>
      <x:c r="F282" s="82">
        <x:f>IF(E282=0,0,D282)</x:f>
      </x:c>
    </x:row>
    <x:row r="283" spans="1:10" x14ac:dyDescent="0.25">
      <x:c r="A283" s="82" t="n">
        <x:v>5.0485</x:v>
      </x:c>
      <x:c r="B283" s="82" t="n">
        <x:v>0.9998</x:v>
      </x:c>
      <x:c r="C283" s="118" t="n">
        <x:v>0.3289</x:v>
      </x:c>
      <x:c r="D283" s="82" t="n">
        <x:v>105.2</x:v>
      </x:c>
      <x:c r="E283" s="82">
        <x:f>IF(B283=MEDIAN($J$1-0.05,$J$1+0.05,B283),B283,0)</x:f>
      </x:c>
      <x:c r="F283" s="82">
        <x:f>IF(E283=0,0,D283)</x:f>
      </x:c>
    </x:row>
    <x:row r="284" spans="1:10" x14ac:dyDescent="0.25">
      <x:c r="A284" s="82" t="n">
        <x:v>5.1445</x:v>
      </x:c>
      <x:c r="B284" s="82" t="n">
        <x:v>0.9998</x:v>
      </x:c>
      <x:c r="C284" s="118" t="n">
        <x:v>0.3289</x:v>
      </x:c>
      <x:c r="D284" s="82" t="n">
        <x:v>105.2</x:v>
      </x:c>
      <x:c r="E284" s="82">
        <x:f>IF(B284=MEDIAN($J$1-0.05,$J$1+0.05,B284),B284,0)</x:f>
      </x:c>
      <x:c r="F284" s="82">
        <x:f>IF(E284=0,0,D284)</x:f>
      </x:c>
    </x:row>
    <x:row r="285" spans="1:10" x14ac:dyDescent="0.25">
      <x:c r="A285" s="82" t="n">
        <x:v>5.2725</x:v>
      </x:c>
      <x:c r="B285" s="82" t="n">
        <x:v>1</x:v>
      </x:c>
      <x:c r="C285" s="118" t="n">
        <x:v>0.3286</x:v>
      </x:c>
      <x:c r="D285" s="82" t="n">
        <x:v>105.1</x:v>
      </x:c>
      <x:c r="E285" s="82">
        <x:f>IF(B285=MEDIAN($J$1-0.05,$J$1+0.05,B285),B285,0)</x:f>
      </x:c>
      <x:c r="F285" s="82">
        <x:f>IF(E285=0,0,D285)</x:f>
      </x:c>
    </x:row>
    <x:row r="286" spans="1:10" x14ac:dyDescent="0.25">
      <x:c r="A286" s="82" t="n">
        <x:v>5.4005</x:v>
      </x:c>
      <x:c r="B286" s="82" t="n">
        <x:v>0.9998</x:v>
      </x:c>
      <x:c r="C286" s="118" t="n">
        <x:v>0.3286</x:v>
      </x:c>
      <x:c r="D286" s="82" t="n">
        <x:v>105.1</x:v>
      </x:c>
      <x:c r="E286" s="82">
        <x:f>IF(B286=MEDIAN($J$1-0.05,$J$1+0.05,B286),B286,0)</x:f>
      </x:c>
      <x:c r="F286" s="82">
        <x:f>IF(E286=0,0,D286)</x:f>
      </x:c>
    </x:row>
    <x:row r="287" spans="1:10" x14ac:dyDescent="0.25">
      <x:c r="A287" s="82" t="n">
        <x:v>5.5285</x:v>
      </x:c>
      <x:c r="B287" s="82" t="n">
        <x:v>1</x:v>
      </x:c>
      <x:c r="C287" s="118" t="n">
        <x:v>0.3297</x:v>
      </x:c>
      <x:c r="D287" s="82" t="n">
        <x:v>105.1</x:v>
      </x:c>
      <x:c r="E287" s="82">
        <x:f>IF(B287=MEDIAN($J$1-0.05,$J$1+0.05,B287),B287,0)</x:f>
      </x:c>
      <x:c r="F287" s="82">
        <x:f>IF(E287=0,0,D287)</x:f>
      </x:c>
    </x:row>
    <x:row r="288" spans="1:10" x14ac:dyDescent="0.25">
      <x:c r="A288" s="82" t="n">
        <x:v>5.6565</x:v>
      </x:c>
      <x:c r="B288" s="82" t="n">
        <x:v>1</x:v>
      </x:c>
      <x:c r="C288" s="118" t="n">
        <x:v>0.3297</x:v>
      </x:c>
      <x:c r="D288" s="82" t="n">
        <x:v>105</x:v>
      </x:c>
      <x:c r="E288" s="82">
        <x:f>IF(B288=MEDIAN($J$1-0.05,$J$1+0.05,B288),B288,0)</x:f>
      </x:c>
      <x:c r="F288" s="82">
        <x:f>IF(E288=0,0,D288)</x:f>
      </x:c>
    </x:row>
    <x:row r="289" spans="1:10" x14ac:dyDescent="0.25">
      <x:c r="A289" s="82" t="n">
        <x:v>5.7845</x:v>
      </x:c>
      <x:c r="B289" s="82" t="n">
        <x:v>0.9999</x:v>
      </x:c>
      <x:c r="C289" s="118" t="n">
        <x:v>0.3268</x:v>
      </x:c>
      <x:c r="D289" s="82" t="n">
        <x:v>105</x:v>
      </x:c>
      <x:c r="E289" s="82">
        <x:f>IF(B289=MEDIAN($J$1-0.05,$J$1+0.05,B289),B289,0)</x:f>
      </x:c>
      <x:c r="F289" s="82">
        <x:f>IF(E289=0,0,D289)</x:f>
      </x:c>
    </x:row>
    <x:row r="290" spans="1:10" x14ac:dyDescent="0.25">
      <x:c r="A290" s="82" t="n">
        <x:v>5.9125</x:v>
      </x:c>
      <x:c r="B290" s="82" t="n">
        <x:v>1</x:v>
      </x:c>
      <x:c r="C290" s="118" t="n">
        <x:v>0.3266</x:v>
      </x:c>
      <x:c r="D290" s="82" t="n">
        <x:v>105</x:v>
      </x:c>
      <x:c r="E290" s="82">
        <x:f>IF(B290=MEDIAN($J$1-0.05,$J$1+0.05,B290),B290,0)</x:f>
      </x:c>
      <x:c r="F290" s="82">
        <x:f>IF(E290=0,0,D290)</x:f>
      </x:c>
    </x:row>
    <x:row r="291" spans="1:10" x14ac:dyDescent="0.25">
      <x:c r="A291" s="82" t="n">
        <x:v>6.0405</x:v>
      </x:c>
      <x:c r="B291" s="82" t="n">
        <x:v>1</x:v>
      </x:c>
      <x:c r="C291" s="118" t="n">
        <x:v>0.3266</x:v>
      </x:c>
      <x:c r="D291" s="82" t="n">
        <x:v>104.9</x:v>
      </x:c>
      <x:c r="E291" s="82">
        <x:f>IF(B291=MEDIAN($J$1-0.05,$J$1+0.05,B291),B291,0)</x:f>
      </x:c>
      <x:c r="F291" s="82">
        <x:f>IF(E291=0,0,D291)</x:f>
      </x:c>
    </x:row>
    <x:row r="292" spans="1:10" x14ac:dyDescent="0.25">
      <x:c r="A292" s="82" t="n">
        <x:v>6.1685</x:v>
      </x:c>
      <x:c r="B292" s="82" t="n">
        <x:v>0.9998</x:v>
      </x:c>
      <x:c r="C292" s="118" t="n">
        <x:v>0.3295</x:v>
      </x:c>
      <x:c r="D292" s="82" t="n">
        <x:v>104.9</x:v>
      </x:c>
      <x:c r="E292" s="82">
        <x:f>IF(B292=MEDIAN($J$1-0.05,$J$1+0.05,B292),B292,0)</x:f>
      </x:c>
      <x:c r="F292" s="82">
        <x:f>IF(E292=0,0,D292)</x:f>
      </x:c>
    </x:row>
    <x:row r="293" spans="1:10" x14ac:dyDescent="0.25">
      <x:c r="A293" s="82" t="n">
        <x:v>6.2965</x:v>
      </x:c>
      <x:c r="B293" s="82" t="n">
        <x:v>1</x:v>
      </x:c>
      <x:c r="C293" s="118" t="n">
        <x:v>0.3295</x:v>
      </x:c>
      <x:c r="D293" s="82" t="n">
        <x:v>104.9</x:v>
      </x:c>
      <x:c r="E293" s="82">
        <x:f>IF(B293=MEDIAN($J$1-0.05,$J$1+0.05,B293),B293,0)</x:f>
      </x:c>
      <x:c r="F293" s="82">
        <x:f>IF(E293=0,0,D293)</x:f>
      </x:c>
    </x:row>
    <x:row r="294" spans="1:10" x14ac:dyDescent="0.25">
      <x:c r="A294" s="82" t="n">
        <x:v>6.4245</x:v>
      </x:c>
      <x:c r="B294" s="82" t="n">
        <x:v>1</x:v>
      </x:c>
      <x:c r="C294" s="118" t="n">
        <x:v>0.3293</x:v>
      </x:c>
      <x:c r="D294" s="82" t="n">
        <x:v>104.9</x:v>
      </x:c>
      <x:c r="E294" s="82">
        <x:f>IF(B294=MEDIAN($J$1-0.05,$J$1+0.05,B294),B294,0)</x:f>
      </x:c>
      <x:c r="F294" s="82">
        <x:f>IF(E294=0,0,D294)</x:f>
      </x:c>
    </x:row>
    <x:row r="295" spans="1:10" x14ac:dyDescent="0.25">
      <x:c r="A295" s="82" t="n">
        <x:v>6.5525</x:v>
      </x:c>
      <x:c r="B295" s="82" t="n">
        <x:v>1</x:v>
      </x:c>
      <x:c r="C295" s="118" t="n">
        <x:v>0.3293</x:v>
      </x:c>
      <x:c r="D295" s="82" t="n">
        <x:v>104.9</x:v>
      </x:c>
      <x:c r="E295" s="82">
        <x:f>IF(B295=MEDIAN($J$1-0.05,$J$1+0.05,B295),B295,0)</x:f>
      </x:c>
      <x:c r="F295" s="82">
        <x:f>IF(E295=0,0,D295)</x:f>
      </x:c>
    </x:row>
    <x:row r="296" spans="1:10" x14ac:dyDescent="0.25">
      <x:c r="A296" s="82" t="n">
        <x:v>6.6805</x:v>
      </x:c>
      <x:c r="B296" s="82" t="n">
        <x:v>1</x:v>
      </x:c>
      <x:c r="C296" s="118" t="n">
        <x:v>0.3276</x:v>
      </x:c>
      <x:c r="D296" s="82" t="n">
        <x:v>104.8</x:v>
      </x:c>
      <x:c r="E296" s="82">
        <x:f>IF(B296=MEDIAN($J$1-0.05,$J$1+0.05,B296),B296,0)</x:f>
      </x:c>
      <x:c r="F296" s="82">
        <x:f>IF(E296=0,0,D296)</x:f>
      </x:c>
    </x:row>
    <x:row r="297" spans="1:10" x14ac:dyDescent="0.25">
      <x:c r="A297" s="82" t="n">
        <x:v>6.8085</x:v>
      </x:c>
      <x:c r="B297" s="82" t="n">
        <x:v>0.9996</x:v>
      </x:c>
      <x:c r="C297" s="118" t="n">
        <x:v>0.3276</x:v>
      </x:c>
      <x:c r="D297" s="82" t="n">
        <x:v>104.8</x:v>
      </x:c>
      <x:c r="E297" s="82">
        <x:f>IF(B297=MEDIAN($J$1-0.05,$J$1+0.05,B297),B297,0)</x:f>
      </x:c>
      <x:c r="F297" s="82">
        <x:f>IF(E297=0,0,D297)</x:f>
      </x:c>
    </x:row>
    <x:row r="298" spans="1:10" x14ac:dyDescent="0.25">
      <x:c r="A298" s="82" t="n">
        <x:v>6.9365</x:v>
      </x:c>
      <x:c r="B298" s="82" t="n">
        <x:v>1</x:v>
      </x:c>
      <x:c r="C298" s="118" t="n">
        <x:v>0.3284</x:v>
      </x:c>
      <x:c r="D298" s="82" t="n">
        <x:v>104.8</x:v>
      </x:c>
      <x:c r="E298" s="82">
        <x:f>IF(B298=MEDIAN($J$1-0.05,$J$1+0.05,B298),B298,0)</x:f>
      </x:c>
      <x:c r="F298" s="82">
        <x:f>IF(E298=0,0,D298)</x:f>
      </x:c>
    </x:row>
    <x:row r="299" spans="1:10" x14ac:dyDescent="0.25">
      <x:c r="A299" s="82" t="n">
        <x:v>7.0645</x:v>
      </x:c>
      <x:c r="B299" s="82" t="n">
        <x:v>0.9999</x:v>
      </x:c>
      <x:c r="C299" s="118" t="n">
        <x:v>0.3284</x:v>
      </x:c>
      <x:c r="D299" s="82" t="n">
        <x:v>104.8</x:v>
      </x:c>
      <x:c r="E299" s="82">
        <x:f>IF(B299=MEDIAN($J$1-0.05,$J$1+0.05,B299),B299,0)</x:f>
      </x:c>
      <x:c r="F299" s="82">
        <x:f>IF(E299=0,0,D299)</x:f>
      </x:c>
    </x:row>
    <x:row r="300" spans="1:10" x14ac:dyDescent="0.25">
      <x:c r="A300" s="82" t="n">
        <x:v>7.1925</x:v>
      </x:c>
      <x:c r="B300" s="82" t="n">
        <x:v>1</x:v>
      </x:c>
      <x:c r="C300" s="118" t="n">
        <x:v>0.3282</x:v>
      </x:c>
      <x:c r="D300" s="82" t="n">
        <x:v>104.8</x:v>
      </x:c>
      <x:c r="E300" s="82">
        <x:f>IF(B300=MEDIAN($J$1-0.05,$J$1+0.05,B300),B300,0)</x:f>
      </x:c>
      <x:c r="F300" s="82">
        <x:f>IF(E300=0,0,D300)</x:f>
      </x:c>
    </x:row>
    <x:row r="301" spans="1:10" x14ac:dyDescent="0.25">
      <x:c r="A301" s="82" t="n">
        <x:v>7.3205</x:v>
      </x:c>
      <x:c r="B301" s="82" t="n">
        <x:v>0.9997</x:v>
      </x:c>
      <x:c r="C301" s="118" t="n">
        <x:v>0.3282</x:v>
      </x:c>
      <x:c r="D301" s="82" t="n">
        <x:v>104.8</x:v>
      </x:c>
      <x:c r="E301" s="82">
        <x:f>IF(B301=MEDIAN($J$1-0.05,$J$1+0.05,B301),B301,0)</x:f>
      </x:c>
      <x:c r="F301" s="82">
        <x:f>IF(E301=0,0,D301)</x:f>
      </x:c>
    </x:row>
    <x:row r="302" spans="1:10" x14ac:dyDescent="0.25">
      <x:c r="A302" s="82" t="n">
        <x:v>7.4485</x:v>
      </x:c>
      <x:c r="B302" s="82" t="n">
        <x:v>1</x:v>
      </x:c>
      <x:c r="C302" s="118" t="n">
        <x:v>0.3297</x:v>
      </x:c>
      <x:c r="D302" s="82" t="n">
        <x:v>104.7</x:v>
      </x:c>
      <x:c r="E302" s="82">
        <x:f>IF(B302=MEDIAN($J$1-0.05,$J$1+0.05,B302),B302,0)</x:f>
      </x:c>
      <x:c r="F302" s="82">
        <x:f>IF(E302=0,0,D302)</x:f>
      </x:c>
    </x:row>
    <x:row r="303" spans="1:10" x14ac:dyDescent="0.25">
      <x:c r="A303" s="82" t="n">
        <x:v>7.5765</x:v>
      </x:c>
      <x:c r="B303" s="82" t="n">
        <x:v>1</x:v>
      </x:c>
      <x:c r="C303" s="118" t="n">
        <x:v>0.3297</x:v>
      </x:c>
      <x:c r="D303" s="82" t="n">
        <x:v>104.8</x:v>
      </x:c>
      <x:c r="E303" s="82">
        <x:f>IF(B303=MEDIAN($J$1-0.05,$J$1+0.05,B303),B303,0)</x:f>
      </x:c>
      <x:c r="F303" s="82">
        <x:f>IF(E303=0,0,D303)</x:f>
      </x:c>
    </x:row>
    <x:row r="304" spans="1:10" x14ac:dyDescent="0.25">
      <x:c r="A304" s="82" t="n">
        <x:v>7.7045</x:v>
      </x:c>
      <x:c r="B304" s="82" t="n">
        <x:v>1</x:v>
      </x:c>
      <x:c r="C304" s="118" t="n">
        <x:v>0.3286</x:v>
      </x:c>
      <x:c r="D304" s="82" t="n">
        <x:v>104.7</x:v>
      </x:c>
      <x:c r="E304" s="82">
        <x:f>IF(B304=MEDIAN($J$1-0.05,$J$1+0.05,B304),B304,0)</x:f>
      </x:c>
      <x:c r="F304" s="82">
        <x:f>IF(E304=0,0,D304)</x:f>
      </x:c>
    </x:row>
    <x:row r="305" spans="1:10" x14ac:dyDescent="0.25">
      <x:c r="A305" s="82" t="n">
        <x:v>7.8325</x:v>
      </x:c>
      <x:c r="B305" s="82" t="n">
        <x:v>0.9996</x:v>
      </x:c>
      <x:c r="C305" s="118" t="n">
        <x:v>0.3286</x:v>
      </x:c>
      <x:c r="D305" s="82" t="n">
        <x:v>104.7</x:v>
      </x:c>
      <x:c r="E305" s="82">
        <x:f>IF(B305=MEDIAN($J$1-0.05,$J$1+0.05,B305),B305,0)</x:f>
      </x:c>
      <x:c r="F305" s="82">
        <x:f>IF(E305=0,0,D305)</x:f>
      </x:c>
    </x:row>
    <x:row r="306" spans="1:10" x14ac:dyDescent="0.25">
      <x:c r="A306" s="82" t="n">
        <x:v>7.9605</x:v>
      </x:c>
      <x:c r="B306" s="82" t="n">
        <x:v>1</x:v>
      </x:c>
      <x:c r="C306" s="118" t="n">
        <x:v>0.3257</x:v>
      </x:c>
      <x:c r="D306" s="82" t="n">
        <x:v>104.7</x:v>
      </x:c>
      <x:c r="E306" s="82">
        <x:f>IF(B306=MEDIAN($J$1-0.05,$J$1+0.05,B306),B306,0)</x:f>
      </x:c>
      <x:c r="F306" s="82">
        <x:f>IF(E306=0,0,D306)</x:f>
      </x:c>
    </x:row>
    <x:row r="307" spans="1:10" x14ac:dyDescent="0.25">
      <x:c r="A307" s="82" t="n">
        <x:v>8.0885</x:v>
      </x:c>
      <x:c r="B307" s="82" t="n">
        <x:v>1</x:v>
      </x:c>
      <x:c r="C307" s="118" t="n">
        <x:v>0.3257</x:v>
      </x:c>
      <x:c r="D307" s="82" t="n">
        <x:v>104.7</x:v>
      </x:c>
      <x:c r="E307" s="82">
        <x:f>IF(B307=MEDIAN($J$1-0.05,$J$1+0.05,B307),B307,0)</x:f>
      </x:c>
      <x:c r="F307" s="82">
        <x:f>IF(E307=0,0,D307)</x:f>
      </x:c>
    </x:row>
    <x:row r="308" spans="1:10" x14ac:dyDescent="0.25">
      <x:c r="A308" s="82" t="n">
        <x:v>8.2165</x:v>
      </x:c>
      <x:c r="B308" s="82" t="n">
        <x:v>0.9999</x:v>
      </x:c>
      <x:c r="C308" s="118" t="n">
        <x:v>0.3274</x:v>
      </x:c>
      <x:c r="D308" s="82" t="n">
        <x:v>104.7</x:v>
      </x:c>
      <x:c r="E308" s="82">
        <x:f>IF(B308=MEDIAN($J$1-0.05,$J$1+0.05,B308),B308,0)</x:f>
      </x:c>
      <x:c r="F308" s="82">
        <x:f>IF(E308=0,0,D308)</x:f>
      </x:c>
    </x:row>
    <x:row r="309" spans="1:10" x14ac:dyDescent="0.25">
      <x:c r="A309" s="82" t="n">
        <x:v>8.3445</x:v>
      </x:c>
      <x:c r="B309" s="82" t="n">
        <x:v>0.9999</x:v>
      </x:c>
      <x:c r="C309" s="118" t="n">
        <x:v>0.3274</x:v>
      </x:c>
      <x:c r="D309" s="82" t="n">
        <x:v>104.7</x:v>
      </x:c>
      <x:c r="E309" s="82">
        <x:f>IF(B309=MEDIAN($J$1-0.05,$J$1+0.05,B309),B309,0)</x:f>
      </x:c>
      <x:c r="F309" s="82">
        <x:f>IF(E309=0,0,D309)</x:f>
      </x:c>
    </x:row>
    <x:row r="310" spans="1:10" x14ac:dyDescent="0.25">
      <x:c r="A310" s="82" t="n">
        <x:v>8.4725</x:v>
      </x:c>
      <x:c r="B310" s="82" t="n">
        <x:v>0.9999</x:v>
      </x:c>
      <x:c r="C310" s="118" t="n">
        <x:v>0.3274</x:v>
      </x:c>
      <x:c r="D310" s="82" t="n">
        <x:v>104.7</x:v>
      </x:c>
      <x:c r="E310" s="82">
        <x:f>IF(B310=MEDIAN($J$1-0.05,$J$1+0.05,B310),B310,0)</x:f>
      </x:c>
      <x:c r="F310" s="82">
        <x:f>IF(E310=0,0,D310)</x:f>
      </x:c>
    </x:row>
    <x:row r="311" spans="1:10" x14ac:dyDescent="0.25">
      <x:c r="A311" s="82" t="n">
        <x:v>8.6005</x:v>
      </x:c>
      <x:c r="B311" s="82" t="n">
        <x:v>1</x:v>
      </x:c>
      <x:c r="C311" s="118" t="n">
        <x:v>0.3274</x:v>
      </x:c>
      <x:c r="D311" s="82" t="n">
        <x:v>104.7</x:v>
      </x:c>
      <x:c r="E311" s="82">
        <x:f>IF(B311=MEDIAN($J$1-0.05,$J$1+0.05,B311),B311,0)</x:f>
      </x:c>
      <x:c r="F311" s="82">
        <x:f>IF(E311=0,0,D311)</x:f>
      </x:c>
    </x:row>
    <x:row r="312" spans="1:10" x14ac:dyDescent="0.25">
      <x:c r="A312" s="82" t="n">
        <x:v>8.7285</x:v>
      </x:c>
      <x:c r="B312" s="82" t="n">
        <x:v>1</x:v>
      </x:c>
      <x:c r="C312" s="118" t="n">
        <x:v>0.3265</x:v>
      </x:c>
      <x:c r="D312" s="82" t="n">
        <x:v>104.6</x:v>
      </x:c>
      <x:c r="E312" s="82">
        <x:f>IF(B312=MEDIAN($J$1-0.05,$J$1+0.05,B312),B312,0)</x:f>
      </x:c>
      <x:c r="F312" s="82">
        <x:f>IF(E312=0,0,D312)</x:f>
      </x:c>
    </x:row>
    <x:row r="313" spans="1:10" x14ac:dyDescent="0.25">
      <x:c r="A313" s="82" t="n">
        <x:v>8.8565</x:v>
      </x:c>
      <x:c r="B313" s="82" t="n">
        <x:v>0.9998</x:v>
      </x:c>
      <x:c r="C313" s="118" t="n">
        <x:v>0.3246</x:v>
      </x:c>
      <x:c r="D313" s="82" t="n">
        <x:v>104.6</x:v>
      </x:c>
      <x:c r="E313" s="82">
        <x:f>IF(B313=MEDIAN($J$1-0.05,$J$1+0.05,B313),B313,0)</x:f>
      </x:c>
      <x:c r="F313" s="82">
        <x:f>IF(E313=0,0,D313)</x:f>
      </x:c>
    </x:row>
    <x:row r="314" spans="1:10" x14ac:dyDescent="0.25">
      <x:c r="A314" s="82" t="n">
        <x:v>8.9845</x:v>
      </x:c>
      <x:c r="B314" s="82" t="n">
        <x:v>1</x:v>
      </x:c>
      <x:c r="C314" s="118" t="n">
        <x:v>0.3246</x:v>
      </x:c>
      <x:c r="D314" s="82" t="n">
        <x:v>104.6</x:v>
      </x:c>
      <x:c r="E314" s="82">
        <x:f>IF(B314=MEDIAN($J$1-0.05,$J$1+0.05,B314),B314,0)</x:f>
      </x:c>
      <x:c r="F314" s="82">
        <x:f>IF(E314=0,0,D314)</x:f>
      </x:c>
    </x:row>
    <x:row r="315" spans="1:10" x14ac:dyDescent="0.25">
      <x:c r="A315" s="82" t="n">
        <x:v>9.1125</x:v>
      </x:c>
      <x:c r="B315" s="82" t="n">
        <x:v>1</x:v>
      </x:c>
      <x:c r="C315" s="118" t="n">
        <x:v>0.3255</x:v>
      </x:c>
      <x:c r="D315" s="82" t="n">
        <x:v>104.6</x:v>
      </x:c>
      <x:c r="E315" s="82">
        <x:f>IF(B315=MEDIAN($J$1-0.05,$J$1+0.05,B315),B315,0)</x:f>
      </x:c>
      <x:c r="F315" s="82">
        <x:f>IF(E315=0,0,D315)</x:f>
      </x:c>
    </x:row>
    <x:row r="316" spans="1:10" x14ac:dyDescent="0.25">
      <x:c r="A316" s="82" t="n">
        <x:v>9.2405</x:v>
      </x:c>
      <x:c r="B316" s="82" t="n">
        <x:v>1</x:v>
      </x:c>
      <x:c r="C316" s="118" t="n">
        <x:v>0.3255</x:v>
      </x:c>
      <x:c r="D316" s="82" t="n">
        <x:v>104.6</x:v>
      </x:c>
      <x:c r="E316" s="82">
        <x:f>IF(B316=MEDIAN($J$1-0.05,$J$1+0.05,B316),B316,0)</x:f>
      </x:c>
      <x:c r="F316" s="82">
        <x:f>IF(E316=0,0,D316)</x:f>
      </x:c>
    </x:row>
    <x:row r="317" spans="1:10" x14ac:dyDescent="0.25">
      <x:c r="A317" s="82" t="n">
        <x:v>9.3685</x:v>
      </x:c>
      <x:c r="B317" s="82" t="n">
        <x:v>0.9999</x:v>
      </x:c>
      <x:c r="C317" s="118" t="n">
        <x:v>0.3274</x:v>
      </x:c>
      <x:c r="D317" s="82" t="n">
        <x:v>104.6</x:v>
      </x:c>
      <x:c r="E317" s="82">
        <x:f>IF(B317=MEDIAN($J$1-0.05,$J$1+0.05,B317),B317,0)</x:f>
      </x:c>
      <x:c r="F317" s="82">
        <x:f>IF(E317=0,0,D317)</x:f>
      </x:c>
    </x:row>
    <x:row r="318" spans="1:10" x14ac:dyDescent="0.25">
      <x:c r="A318" s="82" t="n">
        <x:v>9.4965</x:v>
      </x:c>
      <x:c r="B318" s="82" t="n">
        <x:v>1</x:v>
      </x:c>
      <x:c r="C318" s="118" t="n">
        <x:v>0.3274</x:v>
      </x:c>
      <x:c r="D318" s="82" t="n">
        <x:v>104.6</x:v>
      </x:c>
      <x:c r="E318" s="82">
        <x:f>IF(B318=MEDIAN($J$1-0.05,$J$1+0.05,B318),B318,0)</x:f>
      </x:c>
      <x:c r="F318" s="82">
        <x:f>IF(E318=0,0,D318)</x:f>
      </x:c>
    </x:row>
    <x:row r="319" spans="1:10" x14ac:dyDescent="0.25">
      <x:c r="A319" s="82" t="n">
        <x:v>9.6245</x:v>
      </x:c>
      <x:c r="B319" s="82" t="n">
        <x:v>0.9998</x:v>
      </x:c>
      <x:c r="C319" s="118" t="n">
        <x:v>0.3255</x:v>
      </x:c>
      <x:c r="D319" s="82" t="n">
        <x:v>104.6</x:v>
      </x:c>
      <x:c r="E319" s="82">
        <x:f>IF(B319=MEDIAN($J$1-0.05,$J$1+0.05,B319),B319,0)</x:f>
      </x:c>
      <x:c r="F319" s="82">
        <x:f>IF(E319=0,0,D319)</x:f>
      </x:c>
    </x:row>
    <x:row r="320" spans="1:10" x14ac:dyDescent="0.25">
      <x:c r="A320" s="82" t="n">
        <x:v>9.7525</x:v>
      </x:c>
      <x:c r="B320" s="82" t="n">
        <x:v>1</x:v>
      </x:c>
      <x:c r="C320" s="118" t="n">
        <x:v>0.3255</x:v>
      </x:c>
      <x:c r="D320" s="82" t="n">
        <x:v>104.6</x:v>
      </x:c>
      <x:c r="E320" s="82">
        <x:f>IF(B320=MEDIAN($J$1-0.05,$J$1+0.05,B320),B320,0)</x:f>
      </x:c>
      <x:c r="F320" s="82">
        <x:f>IF(E320=0,0,D320)</x:f>
      </x:c>
    </x:row>
    <x:row r="321" spans="1:10" x14ac:dyDescent="0.25">
      <x:c r="A321" s="82" t="n">
        <x:v>9.8805</x:v>
      </x:c>
      <x:c r="B321" s="82" t="n">
        <x:v>1</x:v>
      </x:c>
      <x:c r="C321" s="118" t="n">
        <x:v>0.3261</x:v>
      </x:c>
      <x:c r="D321" s="82" t="n">
        <x:v>104.6</x:v>
      </x:c>
      <x:c r="E321" s="82">
        <x:f>IF(B321=MEDIAN($J$1-0.05,$J$1+0.05,B321),B321,0)</x:f>
      </x:c>
      <x:c r="F321" s="82">
        <x:f>IF(E321=0,0,D321)</x:f>
      </x:c>
    </x:row>
    <x:row r="322" spans="1:10" x14ac:dyDescent="0.25">
      <x:c r="A322" s="82" t="n">
        <x:v>10.009</x:v>
      </x:c>
      <x:c r="B322" s="82" t="n">
        <x:v>0.9998</x:v>
      </x:c>
      <x:c r="C322" s="118" t="n">
        <x:v>0.3261</x:v>
      </x:c>
      <x:c r="D322" s="82" t="n">
        <x:v>104.6</x:v>
      </x:c>
      <x:c r="E322" s="82">
        <x:f>IF(B322=MEDIAN($J$1-0.05,$J$1+0.05,B322),B322,0)</x:f>
      </x:c>
      <x:c r="F322" s="82">
        <x:f>IF(E322=0,0,D322)</x:f>
      </x:c>
    </x:row>
    <x:row r="323" spans="1:10" x14ac:dyDescent="0.25">
      <x:c r="A323" s="82" t="n">
        <x:v>10.137</x:v>
      </x:c>
      <x:c r="B323" s="82" t="n">
        <x:v>1</x:v>
      </x:c>
      <x:c r="C323" s="118" t="n">
        <x:v>0.3255</x:v>
      </x:c>
      <x:c r="D323" s="82" t="n">
        <x:v>104.6</x:v>
      </x:c>
      <x:c r="E323" s="82">
        <x:f>IF(B323=MEDIAN($J$1-0.05,$J$1+0.05,B323),B323,0)</x:f>
      </x:c>
      <x:c r="F323" s="82">
        <x:f>IF(E323=0,0,D323)</x:f>
      </x:c>
    </x:row>
    <x:row r="324" spans="1:10" x14ac:dyDescent="0.25">
      <x:c r="A324" s="82" t="n">
        <x:v>10.328</x:v>
      </x:c>
      <x:c r="B324" s="82" t="n">
        <x:v>1</x:v>
      </x:c>
      <x:c r="C324" s="118" t="n">
        <x:v>0.3253</x:v>
      </x:c>
      <x:c r="D324" s="82" t="n">
        <x:v>104.5</x:v>
      </x:c>
      <x:c r="E324" s="82">
        <x:f>IF(B324=MEDIAN($J$1-0.05,$J$1+0.05,B324),B324,0)</x:f>
      </x:c>
      <x:c r="F324" s="82">
        <x:f>IF(E324=0,0,D324)</x:f>
      </x:c>
    </x:row>
    <x:row r="325" spans="1:10" x14ac:dyDescent="0.25">
      <x:c r="A325" s="82" t="n">
        <x:v>10.585</x:v>
      </x:c>
      <x:c r="B325" s="82" t="n">
        <x:v>0.9999</x:v>
      </x:c>
      <x:c r="C325" s="118" t="n">
        <x:v>0.3263</x:v>
      </x:c>
      <x:c r="D325" s="82" t="n">
        <x:v>104.5</x:v>
      </x:c>
      <x:c r="E325" s="82">
        <x:f>IF(B325=MEDIAN($J$1-0.05,$J$1+0.05,B325),B325,0)</x:f>
      </x:c>
      <x:c r="F325" s="82">
        <x:f>IF(E325=0,0,D325)</x:f>
      </x:c>
    </x:row>
    <x:row r="326" spans="1:10" x14ac:dyDescent="0.25">
      <x:c r="A326" s="82" t="n">
        <x:v>10.84</x:v>
      </x:c>
      <x:c r="B326" s="82" t="n">
        <x:v>1</x:v>
      </x:c>
      <x:c r="C326" s="118" t="n">
        <x:v>0.3265</x:v>
      </x:c>
      <x:c r="D326" s="82" t="n">
        <x:v>104.5</x:v>
      </x:c>
      <x:c r="E326" s="82">
        <x:f>IF(B326=MEDIAN($J$1-0.05,$J$1+0.05,B326),B326,0)</x:f>
      </x:c>
      <x:c r="F326" s="82">
        <x:f>IF(E326=0,0,D326)</x:f>
      </x:c>
    </x:row>
    <x:row r="327" spans="1:10" x14ac:dyDescent="0.25">
      <x:c r="A327" s="82" t="n">
        <x:v>11.097</x:v>
      </x:c>
      <x:c r="B327" s="82" t="n">
        <x:v>1</x:v>
      </x:c>
      <x:c r="C327" s="118" t="n">
        <x:v>0.3244</x:v>
      </x:c>
      <x:c r="D327" s="82" t="n">
        <x:v>104.5</x:v>
      </x:c>
      <x:c r="E327" s="82">
        <x:f>IF(B327=MEDIAN($J$1-0.05,$J$1+0.05,B327),B327,0)</x:f>
      </x:c>
      <x:c r="F327" s="82">
        <x:f>IF(E327=0,0,D327)</x:f>
      </x:c>
    </x:row>
    <x:row r="328" spans="1:10" x14ac:dyDescent="0.25">
      <x:c r="A328" s="82" t="n">
        <x:v>11.352</x:v>
      </x:c>
      <x:c r="B328" s="82" t="n">
        <x:v>0.9999</x:v>
      </x:c>
      <x:c r="C328" s="118" t="n">
        <x:v>0.3263</x:v>
      </x:c>
      <x:c r="D328" s="82" t="n">
        <x:v>104.5</x:v>
      </x:c>
      <x:c r="E328" s="82">
        <x:f>IF(B328=MEDIAN($J$1-0.05,$J$1+0.05,B328),B328,0)</x:f>
      </x:c>
      <x:c r="F328" s="82">
        <x:f>IF(E328=0,0,D328)</x:f>
      </x:c>
    </x:row>
    <x:row r="329" spans="1:10" x14ac:dyDescent="0.25">
      <x:c r="A329" s="82" t="n">
        <x:v>11.608</x:v>
      </x:c>
      <x:c r="B329" s="82" t="n">
        <x:v>0.9999</x:v>
      </x:c>
      <x:c r="C329" s="118" t="n">
        <x:v>0.3255</x:v>
      </x:c>
      <x:c r="D329" s="82" t="n">
        <x:v>104.5</x:v>
      </x:c>
      <x:c r="E329" s="82">
        <x:f>IF(B329=MEDIAN($J$1-0.05,$J$1+0.05,B329),B329,0)</x:f>
      </x:c>
      <x:c r="F329" s="82">
        <x:f>IF(E329=0,0,D329)</x:f>
      </x:c>
    </x:row>
    <x:row r="330" spans="1:10" x14ac:dyDescent="0.25">
      <x:c r="A330" s="82" t="n">
        <x:v>11.865</x:v>
      </x:c>
      <x:c r="B330" s="82" t="n">
        <x:v>1</x:v>
      </x:c>
      <x:c r="C330" s="118" t="n">
        <x:v>0.3242</x:v>
      </x:c>
      <x:c r="D330" s="82" t="n">
        <x:v>104.5</x:v>
      </x:c>
      <x:c r="E330" s="82">
        <x:f>IF(B330=MEDIAN($J$1-0.05,$J$1+0.05,B330),B330,0)</x:f>
      </x:c>
      <x:c r="F330" s="82">
        <x:f>IF(E330=0,0,D330)</x:f>
      </x:c>
    </x:row>
    <x:row r="331" spans="1:10" x14ac:dyDescent="0.25">
      <x:c r="A331" s="82" t="n">
        <x:v>12.12</x:v>
      </x:c>
      <x:c r="B331" s="82" t="n">
        <x:v>0.9998</x:v>
      </x:c>
      <x:c r="C331" s="118" t="n">
        <x:v>0.3255</x:v>
      </x:c>
      <x:c r="D331" s="82" t="n">
        <x:v>104.5</x:v>
      </x:c>
      <x:c r="E331" s="82">
        <x:f>IF(B331=MEDIAN($J$1-0.05,$J$1+0.05,B331),B331,0)</x:f>
      </x:c>
      <x:c r="F331" s="82">
        <x:f>IF(E331=0,0,D331)</x:f>
      </x:c>
    </x:row>
    <x:row r="332" spans="1:10" x14ac:dyDescent="0.25">
      <x:c r="A332" s="82" t="n">
        <x:v>12.377</x:v>
      </x:c>
      <x:c r="B332" s="82" t="n">
        <x:v>1</x:v>
      </x:c>
      <x:c r="C332" s="118" t="n">
        <x:v>0.3255</x:v>
      </x:c>
      <x:c r="D332" s="82" t="n">
        <x:v>104.5</x:v>
      </x:c>
      <x:c r="E332" s="82">
        <x:f>IF(B332=MEDIAN($J$1-0.05,$J$1+0.05,B332),B332,0)</x:f>
      </x:c>
      <x:c r="F332" s="82">
        <x:f>IF(E332=0,0,D332)</x:f>
      </x:c>
    </x:row>
    <x:row r="333" spans="1:10" x14ac:dyDescent="0.25">
      <x:c r="A333" s="82" t="n">
        <x:v>12.632</x:v>
      </x:c>
      <x:c r="B333" s="82" t="n">
        <x:v>1</x:v>
      </x:c>
      <x:c r="C333" s="118" t="n">
        <x:v>0.3245</x:v>
      </x:c>
      <x:c r="D333" s="82" t="n">
        <x:v>104.5</x:v>
      </x:c>
      <x:c r="E333" s="82">
        <x:f>IF(B333=MEDIAN($J$1-0.05,$J$1+0.05,B333),B333,0)</x:f>
      </x:c>
      <x:c r="F333" s="82">
        <x:f>IF(E333=0,0,D333)</x:f>
      </x:c>
    </x:row>
    <x:row r="334" spans="1:10" x14ac:dyDescent="0.25">
      <x:c r="A334" s="82" t="n">
        <x:v>12.889</x:v>
      </x:c>
      <x:c r="B334" s="82" t="n">
        <x:v>0.9999</x:v>
      </x:c>
      <x:c r="C334" s="82" t="n">
        <x:v>0.3234</x:v>
      </x:c>
      <x:c r="D334" s="82" t="n">
        <x:v>104.5</x:v>
      </x:c>
      <x:c r="E334" s="82">
        <x:f>IF(B334=MEDIAN($J$1-0.05,$J$1+0.05,B334),B334,0)</x:f>
      </x:c>
      <x:c r="F334" s="82">
        <x:f>IF(E334=0,0,D334)</x:f>
      </x:c>
    </x:row>
    <x:row r="335" spans="1:10" x14ac:dyDescent="0.25">
      <x:c r="A335" s="82" t="n">
        <x:v>13.144</x:v>
      </x:c>
      <x:c r="B335" s="82" t="n">
        <x:v>1</x:v>
      </x:c>
      <x:c r="C335" s="82" t="n">
        <x:v>0.3253</x:v>
      </x:c>
      <x:c r="D335" s="82" t="n">
        <x:v>104.5</x:v>
      </x:c>
      <x:c r="E335" s="82">
        <x:f>IF(B335=MEDIAN($J$1-0.05,$J$1+0.05,B335),B335,0)</x:f>
      </x:c>
      <x:c r="F335" s="82">
        <x:f>IF(E335=0,0,D335)</x:f>
      </x:c>
    </x:row>
    <x:row r="336" spans="1:10" x14ac:dyDescent="0.25">
      <x:c r="A336" s="82" t="n">
        <x:v>13.401</x:v>
      </x:c>
      <x:c r="B336" s="82" t="n">
        <x:v>1</x:v>
      </x:c>
      <x:c r="C336" s="82" t="n">
        <x:v>0.3236</x:v>
      </x:c>
      <x:c r="D336" s="82" t="n">
        <x:v>104.4</x:v>
      </x:c>
      <x:c r="E336" s="82">
        <x:f>IF(B336=MEDIAN($J$1-0.05,$J$1+0.05,B336),B336,0)</x:f>
      </x:c>
      <x:c r="F336" s="82">
        <x:f>IF(E336=0,0,D336)</x:f>
      </x:c>
    </x:row>
    <x:row r="337" spans="1:10" x14ac:dyDescent="0.25">
      <x:c r="A337" s="82" t="n">
        <x:v>13.656</x:v>
      </x:c>
      <x:c r="B337" s="82" t="n">
        <x:v>0.9999</x:v>
      </x:c>
      <x:c r="C337" s="118" t="n">
        <x:v>0.3244</x:v>
      </x:c>
      <x:c r="D337" s="82" t="n">
        <x:v>104.4</x:v>
      </x:c>
      <x:c r="E337" s="82">
        <x:f>IF(B337=MEDIAN($J$1-0.05,$J$1+0.05,B337),B337,0)</x:f>
      </x:c>
      <x:c r="F337" s="82">
        <x:f>IF(E337=0,0,D337)</x:f>
      </x:c>
    </x:row>
    <x:row r="338" spans="1:10" x14ac:dyDescent="0.25">
      <x:c r="A338" s="82" t="n">
        <x:v>13.913</x:v>
      </x:c>
      <x:c r="B338" s="82" t="n">
        <x:v>1</x:v>
      </x:c>
      <x:c r="C338" s="82" t="n">
        <x:v>0.3221</x:v>
      </x:c>
      <x:c r="D338" s="82" t="n">
        <x:v>104.4</x:v>
      </x:c>
      <x:c r="E338" s="82">
        <x:f>IF(B338=MEDIAN($J$1-0.05,$J$1+0.05,B338),B338,0)</x:f>
      </x:c>
      <x:c r="F338" s="82">
        <x:f>IF(E338=0,0,D338)</x:f>
      </x:c>
    </x:row>
    <x:row r="339" spans="1:10" x14ac:dyDescent="0.25">
      <x:c r="A339" s="82" t="n">
        <x:v>14.168</x:v>
      </x:c>
      <x:c r="B339" s="82" t="n">
        <x:v>1</x:v>
      </x:c>
      <x:c r="C339" s="82" t="n">
        <x:v>0.3236</x:v>
      </x:c>
      <x:c r="D339" s="82" t="n">
        <x:v>104.4</x:v>
      </x:c>
      <x:c r="E339" s="82">
        <x:f>IF(B339=MEDIAN($J$1-0.05,$J$1+0.05,B339),B339,0)</x:f>
      </x:c>
      <x:c r="F339" s="82">
        <x:f>IF(E339=0,0,D339)</x:f>
      </x:c>
    </x:row>
    <x:row r="340" spans="1:10" x14ac:dyDescent="0.25">
      <x:c r="A340" s="82" t="n">
        <x:v>14.425</x:v>
      </x:c>
      <x:c r="B340" s="82" t="n">
        <x:v>1</x:v>
      </x:c>
      <x:c r="C340" s="82" t="n">
        <x:v>0.3234</x:v>
      </x:c>
      <x:c r="D340" s="82" t="n">
        <x:v>104.4</x:v>
      </x:c>
      <x:c r="E340" s="82">
        <x:f>IF(B340=MEDIAN($J$1-0.05,$J$1+0.05,B340),B340,0)</x:f>
      </x:c>
      <x:c r="F340" s="82">
        <x:f>IF(E340=0,0,D340)</x:f>
      </x:c>
    </x:row>
    <x:row r="341" spans="1:10" x14ac:dyDescent="0.25">
      <x:c r="A341" s="82" t="n">
        <x:v>14.681</x:v>
      </x:c>
      <x:c r="B341" s="82" t="n">
        <x:v>1</x:v>
      </x:c>
      <x:c r="C341" s="118" t="n">
        <x:v>0.3234</x:v>
      </x:c>
      <x:c r="D341" s="82" t="n">
        <x:v>104.4</x:v>
      </x:c>
      <x:c r="E341" s="82">
        <x:f>IF(B341=MEDIAN($J$1-0.05,$J$1+0.05,B341),B341,0)</x:f>
      </x:c>
      <x:c r="F341" s="82">
        <x:f>IF(E341=0,0,D341)</x:f>
      </x:c>
    </x:row>
    <x:row r="342" spans="1:10" x14ac:dyDescent="0.25">
      <x:c r="A342" s="82" t="n">
        <x:v>14.936</x:v>
      </x:c>
      <x:c r="B342" s="82" t="n">
        <x:v>0.9999</x:v>
      </x:c>
      <x:c r="C342" s="82" t="n">
        <x:v>0.3223</x:v>
      </x:c>
      <x:c r="D342" s="82" t="n">
        <x:v>104.4</x:v>
      </x:c>
      <x:c r="E342" s="82">
        <x:f>IF(B342=MEDIAN($J$1-0.05,$J$1+0.05,B342),B342,0)</x:f>
      </x:c>
      <x:c r="F342" s="82">
        <x:f>IF(E342=0,0,D342)</x:f>
      </x:c>
    </x:row>
    <x:row r="343" spans="1:10" x14ac:dyDescent="0.25">
      <x:c r="A343" s="82" t="n">
        <x:v>15.193</x:v>
      </x:c>
      <x:c r="B343" s="82" t="n">
        <x:v>0.9998</x:v>
      </x:c>
      <x:c r="C343" s="82" t="n">
        <x:v>0.3202</x:v>
      </x:c>
      <x:c r="D343" s="82" t="n">
        <x:v>104.4</x:v>
      </x:c>
      <x:c r="E343" s="82">
        <x:f>IF(B343=MEDIAN($J$1-0.05,$J$1+0.05,B343),B343,0)</x:f>
      </x:c>
      <x:c r="F343" s="82">
        <x:f>IF(E343=0,0,D343)</x:f>
      </x:c>
    </x:row>
    <x:row r="344" spans="1:10" x14ac:dyDescent="0.25">
      <x:c r="A344" s="82" t="n">
        <x:v>15.448</x:v>
      </x:c>
      <x:c r="B344" s="82" t="n">
        <x:v>1</x:v>
      </x:c>
      <x:c r="C344" s="82" t="n">
        <x:v>0.3208</x:v>
      </x:c>
      <x:c r="D344" s="82" t="n">
        <x:v>104.3</x:v>
      </x:c>
      <x:c r="E344" s="82">
        <x:f>IF(B344=MEDIAN($J$1-0.05,$J$1+0.05,B344),B344,0)</x:f>
      </x:c>
      <x:c r="F344" s="82">
        <x:f>IF(E344=0,0,D344)</x:f>
      </x:c>
    </x:row>
    <x:row r="345" spans="1:10" x14ac:dyDescent="0.25">
      <x:c r="A345" s="82" t="n">
        <x:v>15.705</x:v>
      </x:c>
      <x:c r="B345" s="82" t="n">
        <x:v>1</x:v>
      </x:c>
      <x:c r="C345" s="118" t="n">
        <x:v>0.3225</x:v>
      </x:c>
      <x:c r="D345" s="82" t="n">
        <x:v>104.3</x:v>
      </x:c>
      <x:c r="E345" s="82">
        <x:f>IF(B345=MEDIAN($J$1-0.05,$J$1+0.05,B345),B345,0)</x:f>
      </x:c>
      <x:c r="F345" s="82">
        <x:f>IF(E345=0,0,D345)</x:f>
      </x:c>
    </x:row>
    <x:row r="346" spans="1:10" x14ac:dyDescent="0.25">
      <x:c r="A346" s="82" t="n">
        <x:v>15.96</x:v>
      </x:c>
      <x:c r="B346" s="82" t="n">
        <x:v>0.9999</x:v>
      </x:c>
      <x:c r="C346" s="118" t="n">
        <x:v>0.3227</x:v>
      </x:c>
      <x:c r="D346" s="82" t="n">
        <x:v>104.3</x:v>
      </x:c>
      <x:c r="E346" s="82">
        <x:f>IF(B346=MEDIAN($J$1-0.05,$J$1+0.05,B346),B346,0)</x:f>
      </x:c>
      <x:c r="F346" s="82">
        <x:f>IF(E346=0,0,D346)</x:f>
      </x:c>
    </x:row>
    <x:row r="347" spans="1:10" x14ac:dyDescent="0.25">
      <x:c r="A347" s="82" t="n">
        <x:v>16.216</x:v>
      </x:c>
      <x:c r="B347" s="82" t="n">
        <x:v>1</x:v>
      </x:c>
      <x:c r="C347" s="82" t="n">
        <x:v>0.3227</x:v>
      </x:c>
      <x:c r="D347" s="82" t="n">
        <x:v>104.3</x:v>
      </x:c>
      <x:c r="E347" s="82">
        <x:f>IF(B347=MEDIAN($J$1-0.05,$J$1+0.05,B347),B347,0)</x:f>
      </x:c>
      <x:c r="F347" s="82">
        <x:f>IF(E347=0,0,D347)</x:f>
      </x:c>
    </x:row>
    <x:row r="348" spans="1:10" x14ac:dyDescent="0.25">
      <x:c r="A348" s="82" t="n">
        <x:v>16.472</x:v>
      </x:c>
      <x:c r="B348" s="82" t="n">
        <x:v>0.9999</x:v>
      </x:c>
      <x:c r="C348" s="118" t="n">
        <x:v>0.324</x:v>
      </x:c>
      <x:c r="D348" s="82" t="n">
        <x:v>104.3</x:v>
      </x:c>
      <x:c r="E348" s="82">
        <x:f>IF(B348=MEDIAN($J$1-0.05,$J$1+0.05,B348),B348,0)</x:f>
      </x:c>
      <x:c r="F348" s="82">
        <x:f>IF(E348=0,0,D348)</x:f>
      </x:c>
    </x:row>
    <x:row r="349" spans="1:10" x14ac:dyDescent="0.25">
      <x:c r="A349" s="82" t="n">
        <x:v>16.729</x:v>
      </x:c>
      <x:c r="B349" s="82" t="n">
        <x:v>0.9999</x:v>
      </x:c>
      <x:c r="C349" s="118" t="n">
        <x:v>0.3227</x:v>
      </x:c>
      <x:c r="D349" s="82" t="n">
        <x:v>104.3</x:v>
      </x:c>
      <x:c r="E349" s="82">
        <x:f>IF(B349=MEDIAN($J$1-0.05,$J$1+0.05,B349),B349,0)</x:f>
      </x:c>
      <x:c r="F349" s="82">
        <x:f>IF(E349=0,0,D349)</x:f>
      </x:c>
    </x:row>
    <x:row r="350" spans="1:10" x14ac:dyDescent="0.25">
      <x:c r="A350" s="82" t="n">
        <x:v>16.985</x:v>
      </x:c>
      <x:c r="B350" s="82" t="n">
        <x:v>1</x:v>
      </x:c>
      <x:c r="C350" s="118" t="n">
        <x:v>0.3217</x:v>
      </x:c>
      <x:c r="D350" s="82" t="n">
        <x:v>104.3</x:v>
      </x:c>
      <x:c r="E350" s="82">
        <x:f>IF(B350=MEDIAN($J$1-0.05,$J$1+0.05,B350),B350,0)</x:f>
      </x:c>
      <x:c r="F350" s="82">
        <x:f>IF(E350=0,0,D350)</x:f>
      </x:c>
    </x:row>
    <x:row r="351" spans="1:10" x14ac:dyDescent="0.25">
      <x:c r="A351" s="82" t="n">
        <x:v>17.24</x:v>
      </x:c>
      <x:c r="B351" s="82" t="n">
        <x:v>1</x:v>
      </x:c>
      <x:c r="C351" s="82" t="n">
        <x:v>0.3236</x:v>
      </x:c>
      <x:c r="D351" s="82" t="n">
        <x:v>104.3</x:v>
      </x:c>
      <x:c r="E351" s="82">
        <x:f>IF(B351=MEDIAN($J$1-0.05,$J$1+0.05,B351),B351,0)</x:f>
      </x:c>
      <x:c r="F351" s="82">
        <x:f>IF(E351=0,0,D351)</x:f>
      </x:c>
    </x:row>
    <x:row r="352" spans="1:10" x14ac:dyDescent="0.25">
      <x:c r="A352" s="82" t="n">
        <x:v>17.497</x:v>
      </x:c>
      <x:c r="B352" s="82" t="n">
        <x:v>0.9999</x:v>
      </x:c>
      <x:c r="C352" s="82" t="n">
        <x:v>0.3227</x:v>
      </x:c>
      <x:c r="D352" s="82" t="n">
        <x:v>104.2</x:v>
      </x:c>
      <x:c r="E352" s="82">
        <x:f>IF(B352=MEDIAN($J$1-0.05,$J$1+0.05,B352),B352,0)</x:f>
      </x:c>
      <x:c r="F352" s="82">
        <x:f>IF(E352=0,0,D352)</x:f>
      </x:c>
    </x:row>
    <x:row r="353" spans="1:10" x14ac:dyDescent="0.25">
      <x:c r="A353" s="82" t="n">
        <x:v>17.753</x:v>
      </x:c>
      <x:c r="B353" s="82" t="n">
        <x:v>1</x:v>
      </x:c>
      <x:c r="C353" s="118" t="n">
        <x:v>0.3229</x:v>
      </x:c>
      <x:c r="D353" s="82" t="n">
        <x:v>104.2</x:v>
      </x:c>
      <x:c r="E353" s="82">
        <x:f>IF(B353=MEDIAN($J$1-0.05,$J$1+0.05,B353),B353,0)</x:f>
      </x:c>
      <x:c r="F353" s="82">
        <x:f>IF(E353=0,0,D353)</x:f>
      </x:c>
    </x:row>
    <x:row r="354" spans="1:10" x14ac:dyDescent="0.25">
      <x:c r="A354" s="82" t="n">
        <x:v>18.008</x:v>
      </x:c>
      <x:c r="B354" s="82" t="n">
        <x:v>0.9999</x:v>
      </x:c>
      <x:c r="C354" s="118" t="n">
        <x:v>0.3217</x:v>
      </x:c>
      <x:c r="D354" s="82" t="n">
        <x:v>104.3</x:v>
      </x:c>
      <x:c r="E354" s="82">
        <x:f>IF(B354=MEDIAN($J$1-0.05,$J$1+0.05,B354),B354,0)</x:f>
      </x:c>
      <x:c r="F354" s="82">
        <x:f>IF(E354=0,0,D354)</x:f>
      </x:c>
    </x:row>
    <x:row r="355" spans="1:10" x14ac:dyDescent="0.25">
      <x:c r="A355" s="82" t="n">
        <x:v>18.264</x:v>
      </x:c>
      <x:c r="B355" s="82" t="n">
        <x:v>1</x:v>
      </x:c>
      <x:c r="C355" s="82" t="n">
        <x:v>0.3227</x:v>
      </x:c>
      <x:c r="D355" s="82" t="n">
        <x:v>104.2</x:v>
      </x:c>
      <x:c r="E355" s="82">
        <x:f>IF(B355=MEDIAN($J$1-0.05,$J$1+0.05,B355),B355,0)</x:f>
      </x:c>
      <x:c r="F355" s="82">
        <x:f>IF(E355=0,0,D355)</x:f>
      </x:c>
    </x:row>
    <x:row r="356" spans="1:10" x14ac:dyDescent="0.25">
      <x:c r="A356" s="82" t="n">
        <x:v>18.521</x:v>
      </x:c>
      <x:c r="B356" s="82" t="n">
        <x:v>0.9999</x:v>
      </x:c>
      <x:c r="C356" s="118" t="n">
        <x:v>0.3196</x:v>
      </x:c>
      <x:c r="D356" s="82" t="n">
        <x:v>104.2</x:v>
      </x:c>
      <x:c r="E356" s="82">
        <x:f>IF(B356=MEDIAN($J$1-0.05,$J$1+0.05,B356),B356,0)</x:f>
      </x:c>
      <x:c r="F356" s="82">
        <x:f>IF(E356=0,0,D356)</x:f>
      </x:c>
    </x:row>
    <x:row r="357" spans="1:10" x14ac:dyDescent="0.25">
      <x:c r="A357" s="82" t="n">
        <x:v>18.777</x:v>
      </x:c>
      <x:c r="B357" s="82" t="n">
        <x:v>0.9999</x:v>
      </x:c>
      <x:c r="C357" s="118" t="n">
        <x:v>0.3225</x:v>
      </x:c>
      <x:c r="D357" s="82" t="n">
        <x:v>104.2</x:v>
      </x:c>
      <x:c r="E357" s="82">
        <x:f>IF(B357=MEDIAN($J$1-0.05,$J$1+0.05,B357),B357,0)</x:f>
      </x:c>
      <x:c r="F357" s="82">
        <x:f>IF(E357=0,0,D357)</x:f>
      </x:c>
    </x:row>
    <x:row r="358" spans="1:10" x14ac:dyDescent="0.25">
      <x:c r="A358" s="82" t="n">
        <x:v>19.032</x:v>
      </x:c>
      <x:c r="B358" s="82" t="n">
        <x:v>1</x:v>
      </x:c>
      <x:c r="C358" s="118" t="n">
        <x:v>0.3216</x:v>
      </x:c>
      <x:c r="D358" s="82" t="n">
        <x:v>104.2</x:v>
      </x:c>
      <x:c r="E358" s="82">
        <x:f>IF(B358=MEDIAN($J$1-0.05,$J$1+0.05,B358),B358,0)</x:f>
      </x:c>
      <x:c r="F358" s="82">
        <x:f>IF(E358=0,0,D358)</x:f>
      </x:c>
    </x:row>
    <x:row r="359" spans="1:10" x14ac:dyDescent="0.25">
      <x:c r="A359" s="82" t="n">
        <x:v>19.288</x:v>
      </x:c>
      <x:c r="B359" s="82" t="n">
        <x:v>1</x:v>
      </x:c>
      <x:c r="C359" s="82" t="n">
        <x:v>0.3227</x:v>
      </x:c>
      <x:c r="D359" s="82" t="n">
        <x:v>104.2</x:v>
      </x:c>
      <x:c r="E359" s="82">
        <x:f>IF(B359=MEDIAN($J$1-0.05,$J$1+0.05,B359),B359,0)</x:f>
      </x:c>
      <x:c r="F359" s="82">
        <x:f>IF(E359=0,0,D359)</x:f>
      </x:c>
    </x:row>
    <x:row r="360" spans="1:10" x14ac:dyDescent="0.25">
      <x:c r="A360" s="82" t="n">
        <x:v>19.545</x:v>
      </x:c>
      <x:c r="B360" s="82" t="n">
        <x:v>0.9999</x:v>
      </x:c>
      <x:c r="C360" s="118" t="n">
        <x:v>0.3204</x:v>
      </x:c>
      <x:c r="D360" s="82" t="n">
        <x:v>104.2</x:v>
      </x:c>
      <x:c r="E360" s="82">
        <x:f>IF(B360=MEDIAN($J$1-0.05,$J$1+0.05,B360),B360,0)</x:f>
      </x:c>
      <x:c r="F360" s="82">
        <x:f>IF(E360=0,0,D360)</x:f>
      </x:c>
    </x:row>
    <x:row r="361" spans="1:10" x14ac:dyDescent="0.25">
      <x:c r="A361" s="82" t="n">
        <x:v>19.801</x:v>
      </x:c>
      <x:c r="B361" s="82" t="n">
        <x:v>1</x:v>
      </x:c>
      <x:c r="C361" s="118" t="n">
        <x:v>0.3219</x:v>
      </x:c>
      <x:c r="D361" s="82" t="n">
        <x:v>104.2</x:v>
      </x:c>
      <x:c r="E361" s="82">
        <x:f>IF(B361=MEDIAN($J$1-0.05,$J$1+0.05,B361),B361,0)</x:f>
      </x:c>
      <x:c r="F361" s="82">
        <x:f>IF(E361=0,0,D361)</x:f>
      </x:c>
    </x:row>
    <x:row r="362" spans="1:10" x14ac:dyDescent="0.25">
      <x:c r="A362" s="82" t="n">
        <x:v>20.056</x:v>
      </x:c>
      <x:c r="B362" s="82" t="n">
        <x:v>0.9999</x:v>
      </x:c>
      <x:c r="C362" s="118" t="n">
        <x:v>0.3191</x:v>
      </x:c>
      <x:c r="D362" s="82" t="n">
        <x:v>104.2</x:v>
      </x:c>
      <x:c r="E362" s="82">
        <x:f>IF(B362=MEDIAN($J$1-0.05,$J$1+0.05,B362),B362,0)</x:f>
      </x:c>
      <x:c r="F362" s="82">
        <x:f>IF(E362=0,0,D362)</x:f>
      </x:c>
    </x:row>
    <x:row r="363" spans="1:10" x14ac:dyDescent="0.25">
      <x:c r="A363" s="82" t="n">
        <x:v>20.313</x:v>
      </x:c>
      <x:c r="B363" s="82" t="n">
        <x:v>0.9999</x:v>
      </x:c>
      <x:c r="C363" s="118" t="n">
        <x:v>0.3217</x:v>
      </x:c>
      <x:c r="D363" s="82" t="n">
        <x:v>104.1</x:v>
      </x:c>
      <x:c r="E363" s="82">
        <x:f>IF(B363=MEDIAN($J$1-0.05,$J$1+0.05,B363),B363,0)</x:f>
      </x:c>
      <x:c r="F363" s="82">
        <x:f>IF(E363=0,0,D363)</x:f>
      </x:c>
    </x:row>
    <x:row r="364" spans="1:10" x14ac:dyDescent="0.25">
      <x:c r="A364" s="82" t="n">
        <x:v>20.697</x:v>
      </x:c>
      <x:c r="B364" s="82" t="n">
        <x:v>1</x:v>
      </x:c>
      <x:c r="C364" s="118" t="n">
        <x:v>0.3236</x:v>
      </x:c>
      <x:c r="D364" s="82" t="n">
        <x:v>104.1</x:v>
      </x:c>
      <x:c r="E364" s="82">
        <x:f>IF(B364=MEDIAN($J$1-0.05,$J$1+0.05,B364),B364,0)</x:f>
      </x:c>
      <x:c r="F364" s="82">
        <x:f>IF(E364=0,0,D364)</x:f>
      </x:c>
    </x:row>
    <x:row r="365" spans="1:10" x14ac:dyDescent="0.25">
      <x:c r="A365" s="82" t="n">
        <x:v>21.208</x:v>
      </x:c>
      <x:c r="B365" s="82" t="n">
        <x:v>1</x:v>
      </x:c>
      <x:c r="C365" s="118" t="n">
        <x:v>0.3214</x:v>
      </x:c>
      <x:c r="D365" s="82" t="n">
        <x:v>104.1</x:v>
      </x:c>
      <x:c r="E365" s="82">
        <x:f>IF(B365=MEDIAN($J$1-0.05,$J$1+0.05,B365),B365,0)</x:f>
      </x:c>
      <x:c r="F365" s="82">
        <x:f>IF(E365=0,0,D365)</x:f>
      </x:c>
    </x:row>
    <x:row r="366" spans="1:10" x14ac:dyDescent="0.25">
      <x:c r="A366" s="82" t="n">
        <x:v>21.721</x:v>
      </x:c>
      <x:c r="B366" s="82" t="n">
        <x:v>1</x:v>
      </x:c>
      <x:c r="C366" s="118" t="n">
        <x:v>0.3192</x:v>
      </x:c>
      <x:c r="D366" s="82" t="n">
        <x:v>104.1</x:v>
      </x:c>
      <x:c r="E366" s="82">
        <x:f>IF(B366=MEDIAN($J$1-0.05,$J$1+0.05,B366),B366,0)</x:f>
      </x:c>
      <x:c r="F366" s="82">
        <x:f>IF(E366=0,0,D366)</x:f>
      </x:c>
    </x:row>
    <x:row r="367" spans="1:10" x14ac:dyDescent="0.25">
      <x:c r="A367" s="82" t="n">
        <x:v>22.233</x:v>
      </x:c>
      <x:c r="B367" s="82" t="n">
        <x:v>0.9999</x:v>
      </x:c>
      <x:c r="C367" s="118" t="n">
        <x:v>0.3185</x:v>
      </x:c>
      <x:c r="D367" s="82" t="n">
        <x:v>104.1</x:v>
      </x:c>
      <x:c r="E367" s="82">
        <x:f>IF(B367=MEDIAN($J$1-0.05,$J$1+0.05,B367),B367,0)</x:f>
      </x:c>
      <x:c r="F367" s="82">
        <x:f>IF(E367=0,0,D367)</x:f>
      </x:c>
    </x:row>
    <x:row r="368" spans="1:10" x14ac:dyDescent="0.25">
      <x:c r="A368" s="82" t="n">
        <x:v>22.744</x:v>
      </x:c>
      <x:c r="B368" s="82" t="n">
        <x:v>1</x:v>
      </x:c>
      <x:c r="C368" s="82" t="n">
        <x:v>0.3194</x:v>
      </x:c>
      <x:c r="D368" s="82" t="n">
        <x:v>104.1</x:v>
      </x:c>
      <x:c r="E368" s="82">
        <x:f>IF(B368=MEDIAN($J$1-0.05,$J$1+0.05,B368),B368,0)</x:f>
      </x:c>
      <x:c r="F368" s="82">
        <x:f>IF(E368=0,0,D368)</x:f>
      </x:c>
    </x:row>
    <x:row r="369" spans="1:10" x14ac:dyDescent="0.25">
      <x:c r="A369" s="82" t="n">
        <x:v>23.257</x:v>
      </x:c>
      <x:c r="B369" s="82" t="n">
        <x:v>1</x:v>
      </x:c>
      <x:c r="C369" s="118" t="n">
        <x:v>0.3195</x:v>
      </x:c>
      <x:c r="D369" s="82" t="n">
        <x:v>104</x:v>
      </x:c>
      <x:c r="E369" s="82">
        <x:f>IF(B369=MEDIAN($J$1-0.05,$J$1+0.05,B369),B369,0)</x:f>
      </x:c>
      <x:c r="F369" s="82">
        <x:f>IF(E369=0,0,D369)</x:f>
      </x:c>
    </x:row>
    <x:row r="370" spans="1:10" x14ac:dyDescent="0.25">
      <x:c r="A370" s="82" t="n">
        <x:v>23.768</x:v>
      </x:c>
      <x:c r="B370" s="82" t="n">
        <x:v>1</x:v>
      </x:c>
      <x:c r="C370" s="118" t="n">
        <x:v>0.3172</x:v>
      </x:c>
      <x:c r="D370" s="82" t="n">
        <x:v>104</x:v>
      </x:c>
      <x:c r="E370" s="82">
        <x:f>IF(B370=MEDIAN($J$1-0.05,$J$1+0.05,B370),B370,0)</x:f>
      </x:c>
      <x:c r="F370" s="82">
        <x:f>IF(E370=0,0,D370)</x:f>
      </x:c>
    </x:row>
    <x:row r="371" spans="1:10" x14ac:dyDescent="0.25">
      <x:c r="A371" s="82" t="n">
        <x:v>24.281</x:v>
      </x:c>
      <x:c r="B371" s="82" t="n">
        <x:v>1</x:v>
      </x:c>
      <x:c r="C371" s="118" t="n">
        <x:v>0.3164</x:v>
      </x:c>
      <x:c r="D371" s="82" t="n">
        <x:v>104</x:v>
      </x:c>
      <x:c r="E371" s="82">
        <x:f>IF(B371=MEDIAN($J$1-0.05,$J$1+0.05,B371),B371,0)</x:f>
      </x:c>
      <x:c r="F371" s="82">
        <x:f>IF(E371=0,0,D371)</x:f>
      </x:c>
    </x:row>
    <x:row r="372" spans="1:10" x14ac:dyDescent="0.25">
      <x:c r="A372" s="82" t="n">
        <x:v>24.792</x:v>
      </x:c>
      <x:c r="B372" s="82" t="n">
        <x:v>1</x:v>
      </x:c>
      <x:c r="C372" s="118" t="n">
        <x:v>0.317</x:v>
      </x:c>
      <x:c r="D372" s="82" t="n">
        <x:v>104</x:v>
      </x:c>
      <x:c r="E372" s="82">
        <x:f>IF(B372=MEDIAN($J$1-0.05,$J$1+0.05,B372),B372,0)</x:f>
      </x:c>
      <x:c r="F372" s="82">
        <x:f>IF(E372=0,0,D372)</x:f>
      </x:c>
    </x:row>
    <x:row r="373" spans="1:10" x14ac:dyDescent="0.25">
      <x:c r="A373" s="82" t="n">
        <x:v>25.305</x:v>
      </x:c>
      <x:c r="B373" s="82" t="n">
        <x:v>0.9999</x:v>
      </x:c>
      <x:c r="C373" s="118" t="n">
        <x:v>0.3151</x:v>
      </x:c>
      <x:c r="D373" s="82" t="n">
        <x:v>103.9</x:v>
      </x:c>
      <x:c r="E373" s="82">
        <x:f>IF(B373=MEDIAN($J$1-0.05,$J$1+0.05,B373),B373,0)</x:f>
      </x:c>
      <x:c r="F373" s="82">
        <x:f>IF(E373=0,0,D373)</x:f>
      </x:c>
    </x:row>
    <x:row r="374" spans="1:10" x14ac:dyDescent="0.25">
      <x:c r="A374" s="82" t="n">
        <x:v>25.816</x:v>
      </x:c>
      <x:c r="B374" s="82" t="n">
        <x:v>1</x:v>
      </x:c>
      <x:c r="C374" s="118" t="n">
        <x:v>0.3134</x:v>
      </x:c>
      <x:c r="D374" s="82" t="n">
        <x:v>103.9</x:v>
      </x:c>
      <x:c r="E374" s="82">
        <x:f>IF(B374=MEDIAN($J$1-0.05,$J$1+0.05,B374),B374,0)</x:f>
      </x:c>
      <x:c r="F374" s="82">
        <x:f>IF(E374=0,0,D374)</x:f>
      </x:c>
    </x:row>
    <x:row r="375" spans="1:10" x14ac:dyDescent="0.25">
      <x:c r="A375" s="82" t="n">
        <x:v>26.329</x:v>
      </x:c>
      <x:c r="B375" s="82" t="n">
        <x:v>1</x:v>
      </x:c>
      <x:c r="C375" s="118" t="n">
        <x:v>0.3181</x:v>
      </x:c>
      <x:c r="D375" s="82" t="n">
        <x:v>103.9</x:v>
      </x:c>
      <x:c r="E375" s="82">
        <x:f>IF(B375=MEDIAN($J$1-0.05,$J$1+0.05,B375),B375,0)</x:f>
      </x:c>
      <x:c r="F375" s="82">
        <x:f>IF(E375=0,0,D375)</x:f>
      </x:c>
    </x:row>
    <x:row r="376" spans="1:10" x14ac:dyDescent="0.25">
      <x:c r="A376" s="82" t="n">
        <x:v>26.84</x:v>
      </x:c>
      <x:c r="B376" s="82" t="n">
        <x:v>0.9999</x:v>
      </x:c>
      <x:c r="C376" s="118" t="n">
        <x:v>0.3144</x:v>
      </x:c>
      <x:c r="D376" s="82" t="n">
        <x:v>103.9</x:v>
      </x:c>
      <x:c r="E376" s="82">
        <x:f>IF(B376=MEDIAN($J$1-0.05,$J$1+0.05,B376),B376,0)</x:f>
      </x:c>
      <x:c r="F376" s="82">
        <x:f>IF(E376=0,0,D376)</x:f>
      </x:c>
    </x:row>
    <x:row r="377" spans="1:10" x14ac:dyDescent="0.25">
      <x:c r="A377" s="82" t="n">
        <x:v>27.353</x:v>
      </x:c>
      <x:c r="B377" s="82" t="n">
        <x:v>1</x:v>
      </x:c>
      <x:c r="C377" s="118" t="n">
        <x:v>0.3136</x:v>
      </x:c>
      <x:c r="D377" s="82" t="n">
        <x:v>103.8</x:v>
      </x:c>
      <x:c r="E377" s="82">
        <x:f>IF(B377=MEDIAN($J$1-0.05,$J$1+0.05,B377),B377,0)</x:f>
      </x:c>
      <x:c r="F377" s="82">
        <x:f>IF(E377=0,0,D377)</x:f>
      </x:c>
    </x:row>
    <x:row r="378" spans="1:10" x14ac:dyDescent="0.25">
      <x:c r="A378" s="82" t="n">
        <x:v>27.865</x:v>
      </x:c>
      <x:c r="B378" s="82" t="n">
        <x:v>1</x:v>
      </x:c>
      <x:c r="C378" s="118" t="n">
        <x:v>0.3151</x:v>
      </x:c>
      <x:c r="D378" s="82" t="n">
        <x:v>103.8</x:v>
      </x:c>
      <x:c r="E378" s="82">
        <x:f>IF(B378=MEDIAN($J$1-0.05,$J$1+0.05,B378),B378,0)</x:f>
      </x:c>
      <x:c r="F378" s="82">
        <x:f>IF(E378=0,0,D378)</x:f>
      </x:c>
    </x:row>
    <x:row r="379" spans="1:10" x14ac:dyDescent="0.25">
      <x:c r="A379" s="82" t="n">
        <x:v>28.376</x:v>
      </x:c>
      <x:c r="B379" s="82" t="n">
        <x:v>1</x:v>
      </x:c>
      <x:c r="C379" s="118" t="n">
        <x:v>0.3121</x:v>
      </x:c>
      <x:c r="D379" s="82" t="n">
        <x:v>103.8</x:v>
      </x:c>
      <x:c r="E379" s="82">
        <x:f>IF(B379=MEDIAN($J$1-0.05,$J$1+0.05,B379),B379,0)</x:f>
      </x:c>
      <x:c r="F379" s="82">
        <x:f>IF(E379=0,0,D379)</x:f>
      </x:c>
    </x:row>
    <x:row r="380" spans="1:10" x14ac:dyDescent="0.25">
      <x:c r="A380" s="82" t="n">
        <x:v>28.889</x:v>
      </x:c>
      <x:c r="B380" s="82" t="n">
        <x:v>1</x:v>
      </x:c>
      <x:c r="C380" s="118" t="n">
        <x:v>0.314</x:v>
      </x:c>
      <x:c r="D380" s="82" t="n">
        <x:v>103.8</x:v>
      </x:c>
      <x:c r="E380" s="82">
        <x:f>IF(B380=MEDIAN($J$1-0.05,$J$1+0.05,B380),B380,0)</x:f>
      </x:c>
      <x:c r="F380" s="82">
        <x:f>IF(E380=0,0,D380)</x:f>
      </x:c>
    </x:row>
    <x:row r="381" spans="1:10" x14ac:dyDescent="0.25">
      <x:c r="A381" s="82" t="n">
        <x:v>29.4</x:v>
      </x:c>
      <x:c r="B381" s="82" t="n">
        <x:v>1</x:v>
      </x:c>
      <x:c r="C381" s="118" t="n">
        <x:v>0.3113</x:v>
      </x:c>
      <x:c r="D381" s="82" t="n">
        <x:v>103.7</x:v>
      </x:c>
      <x:c r="E381" s="82">
        <x:f>IF(B381=MEDIAN($J$1-0.05,$J$1+0.05,B381),B381,0)</x:f>
      </x:c>
      <x:c r="F381" s="82">
        <x:f>IF(E381=0,0,D381)</x:f>
      </x:c>
    </x:row>
    <x:row r="382" spans="1:10" x14ac:dyDescent="0.25">
      <x:c r="A382" s="82" t="n">
        <x:v>29.913</x:v>
      </x:c>
      <x:c r="B382" s="82" t="n">
        <x:v>1</x:v>
      </x:c>
      <x:c r="C382" s="118" t="n">
        <x:v>0.3119</x:v>
      </x:c>
      <x:c r="D382" s="82" t="n">
        <x:v>103.7</x:v>
      </x:c>
      <x:c r="E382" s="82">
        <x:f>IF(B382=MEDIAN($J$1-0.05,$J$1+0.05,B382),B382,0)</x:f>
      </x:c>
      <x:c r="F382" s="82">
        <x:f>IF(E382=0,0,D382)</x:f>
      </x:c>
    </x:row>
    <x:row r="383" spans="1:10" x14ac:dyDescent="0.25">
      <x:c r="A383" s="82" t="n">
        <x:v>30.424</x:v>
      </x:c>
      <x:c r="B383" s="82" t="n">
        <x:v>1</x:v>
      </x:c>
      <x:c r="C383" s="82" t="n">
        <x:v>0.3122</x:v>
      </x:c>
      <x:c r="D383" s="82" t="n">
        <x:v>103.7</x:v>
      </x:c>
      <x:c r="E383" s="82">
        <x:f>IF(B383=MEDIAN($J$1-0.05,$J$1+0.05,B383),B383,0)</x:f>
      </x:c>
      <x:c r="F383" s="82">
        <x:f>IF(E383=0,0,D383)</x:f>
      </x:c>
    </x:row>
    <x:row r="384" spans="1:10" x14ac:dyDescent="0.25">
      <x:c r="A384" s="82" t="n">
        <x:v>30.937</x:v>
      </x:c>
      <x:c r="B384" s="82" t="n">
        <x:v>1</x:v>
      </x:c>
      <x:c r="C384" s="82" t="n">
        <x:v>0.3127</x:v>
      </x:c>
      <x:c r="D384" s="82" t="n">
        <x:v>103.6</x:v>
      </x:c>
      <x:c r="E384" s="82">
        <x:f>IF(B384=MEDIAN($J$1-0.05,$J$1+0.05,B384),B384,0)</x:f>
      </x:c>
      <x:c r="F384" s="82">
        <x:f>IF(E384=0,0,D384)</x:f>
      </x:c>
    </x:row>
    <x:row r="385" spans="1:10" x14ac:dyDescent="0.25">
      <x:c r="A385" s="82" t="n">
        <x:v>31.448</x:v>
      </x:c>
      <x:c r="B385" s="82" t="n">
        <x:v>1</x:v>
      </x:c>
      <x:c r="C385" s="82" t="n">
        <x:v>0.3126</x:v>
      </x:c>
      <x:c r="D385" s="82" t="n">
        <x:v>103.6</x:v>
      </x:c>
      <x:c r="E385" s="82">
        <x:f>IF(B385=MEDIAN($J$1-0.05,$J$1+0.05,B385),B385,0)</x:f>
      </x:c>
      <x:c r="F385" s="82">
        <x:f>IF(E385=0,0,D385)</x:f>
      </x:c>
    </x:row>
    <x:row r="386" spans="1:10" x14ac:dyDescent="0.25">
      <x:c r="A386" s="82" t="n">
        <x:v>31.961</x:v>
      </x:c>
      <x:c r="B386" s="82" t="n">
        <x:v>0.9999</x:v>
      </x:c>
      <x:c r="C386" s="82" t="n">
        <x:v>0.3105</x:v>
      </x:c>
      <x:c r="D386" s="82" t="n">
        <x:v>103.5</x:v>
      </x:c>
      <x:c r="E386" s="82">
        <x:f>IF(B386=MEDIAN($J$1-0.05,$J$1+0.05,B386),B386,0)</x:f>
      </x:c>
      <x:c r="F386" s="82">
        <x:f>IF(E386=0,0,D386)</x:f>
      </x:c>
    </x:row>
    <x:row r="387" spans="1:10" x14ac:dyDescent="0.25">
      <x:c r="A387" s="82" t="n">
        <x:v>32.472</x:v>
      </x:c>
      <x:c r="B387" s="82" t="n">
        <x:v>1</x:v>
      </x:c>
      <x:c r="C387" s="82" t="n">
        <x:v>0.3122</x:v>
      </x:c>
      <x:c r="D387" s="82" t="n">
        <x:v>103.5</x:v>
      </x:c>
      <x:c r="E387" s="82">
        <x:f>IF(B387=MEDIAN($J$1-0.05,$J$1+0.05,B387),B387,0)</x:f>
      </x:c>
      <x:c r="F387" s="82">
        <x:f>IF(E387=0,0,D387)</x:f>
      </x:c>
    </x:row>
    <x:row r="388" spans="1:10" x14ac:dyDescent="0.25">
      <x:c r="A388" s="82" t="n">
        <x:v>32.985</x:v>
      </x:c>
      <x:c r="B388" s="82" t="n">
        <x:v>1</x:v>
      </x:c>
      <x:c r="C388" s="118" t="n">
        <x:v>0.3102</x:v>
      </x:c>
      <x:c r="D388" s="82" t="n">
        <x:v>103.5</x:v>
      </x:c>
      <x:c r="E388" s="82">
        <x:f>IF(B388=MEDIAN($J$1-0.05,$J$1+0.05,B388),B388,0)</x:f>
      </x:c>
      <x:c r="F388" s="82">
        <x:f>IF(E388=0,0,D388)</x:f>
      </x:c>
    </x:row>
    <x:row r="389" spans="1:10" x14ac:dyDescent="0.25">
      <x:c r="A389" s="82" t="n">
        <x:v>33.496</x:v>
      </x:c>
      <x:c r="B389" s="82" t="n">
        <x:v>1</x:v>
      </x:c>
      <x:c r="C389" s="118" t="n">
        <x:v>0.3109</x:v>
      </x:c>
      <x:c r="D389" s="82" t="n">
        <x:v>103.4</x:v>
      </x:c>
      <x:c r="E389" s="82">
        <x:f>IF(B389=MEDIAN($J$1-0.05,$J$1+0.05,B389),B389,0)</x:f>
      </x:c>
      <x:c r="F389" s="82">
        <x:f>IF(E389=0,0,D389)</x:f>
      </x:c>
    </x:row>
    <x:row r="390" spans="1:10" x14ac:dyDescent="0.25">
      <x:c r="A390" s="82" t="n">
        <x:v>34.008</x:v>
      </x:c>
      <x:c r="B390" s="82" t="n">
        <x:v>1</x:v>
      </x:c>
      <x:c r="C390" s="82" t="n">
        <x:v>0.3109</x:v>
      </x:c>
      <x:c r="D390" s="82" t="n">
        <x:v>103.3</x:v>
      </x:c>
      <x:c r="E390" s="82">
        <x:f>IF(B390=MEDIAN($J$1-0.05,$J$1+0.05,B390),B390,0)</x:f>
      </x:c>
      <x:c r="F390" s="82">
        <x:f>IF(E390=0,0,D390)</x:f>
      </x:c>
    </x:row>
    <x:row r="391" spans="1:10" x14ac:dyDescent="0.25">
      <x:c r="A391" s="82" t="n">
        <x:v>34.521</x:v>
      </x:c>
      <x:c r="B391" s="82" t="n">
        <x:v>1</x:v>
      </x:c>
      <x:c r="C391" s="82" t="n">
        <x:v>0.3102</x:v>
      </x:c>
      <x:c r="D391" s="82" t="n">
        <x:v>103.3</x:v>
      </x:c>
      <x:c r="E391" s="82">
        <x:f>IF(B391=MEDIAN($J$1-0.05,$J$1+0.05,B391),B391,0)</x:f>
      </x:c>
      <x:c r="F391" s="82">
        <x:f>IF(E391=0,0,D391)</x:f>
      </x:c>
    </x:row>
    <x:row r="392" spans="1:10" x14ac:dyDescent="0.25">
      <x:c r="A392" s="82" t="n">
        <x:v>35.033</x:v>
      </x:c>
      <x:c r="B392" s="82" t="n">
        <x:v>1</x:v>
      </x:c>
      <x:c r="C392" s="118" t="n">
        <x:v>0.3088</x:v>
      </x:c>
      <x:c r="D392" s="82" t="n">
        <x:v>103.3</x:v>
      </x:c>
      <x:c r="E392" s="82">
        <x:f>IF(B392=MEDIAN($J$1-0.05,$J$1+0.05,B392),B392,0)</x:f>
      </x:c>
      <x:c r="F392" s="82">
        <x:f>IF(E392=0,0,D392)</x:f>
      </x:c>
    </x:row>
    <x:row r="393" spans="1:10" x14ac:dyDescent="0.25">
      <x:c r="A393" s="82" t="n">
        <x:v>35.544</x:v>
      </x:c>
      <x:c r="B393" s="82" t="n">
        <x:v>1</x:v>
      </x:c>
      <x:c r="C393" s="118" t="n">
        <x:v>0.3077</x:v>
      </x:c>
      <x:c r="D393" s="82" t="n">
        <x:v>103.2</x:v>
      </x:c>
      <x:c r="E393" s="82">
        <x:f>IF(B393=MEDIAN($J$1-0.05,$J$1+0.05,B393),B393,0)</x:f>
      </x:c>
      <x:c r="F393" s="82">
        <x:f>IF(E393=0,0,D393)</x:f>
      </x:c>
    </x:row>
    <x:row r="394" spans="1:10" x14ac:dyDescent="0.25">
      <x:c r="A394" s="82" t="n">
        <x:v>36.056</x:v>
      </x:c>
      <x:c r="B394" s="82" t="n">
        <x:v>0.9999</x:v>
      </x:c>
      <x:c r="C394" s="118" t="n">
        <x:v>0.3083</x:v>
      </x:c>
      <x:c r="D394" s="82" t="n">
        <x:v>103.1</x:v>
      </x:c>
      <x:c r="E394" s="82">
        <x:f>IF(B394=MEDIAN($J$1-0.05,$J$1+0.05,B394),B394,0)</x:f>
      </x:c>
      <x:c r="F394" s="82">
        <x:f>IF(E394=0,0,D394)</x:f>
      </x:c>
    </x:row>
    <x:row r="395" spans="1:10" x14ac:dyDescent="0.25">
      <x:c r="A395" s="82" t="n">
        <x:v>36.569</x:v>
      </x:c>
      <x:c r="B395" s="82" t="n">
        <x:v>1</x:v>
      </x:c>
      <x:c r="C395" s="118" t="n">
        <x:v>0.3087</x:v>
      </x:c>
      <x:c r="D395" s="82" t="n">
        <x:v>103.1</x:v>
      </x:c>
      <x:c r="E395" s="82">
        <x:f>IF(B395=MEDIAN($J$1-0.05,$J$1+0.05,B395),B395,0)</x:f>
      </x:c>
      <x:c r="F395" s="82">
        <x:f>IF(E395=0,0,D395)</x:f>
      </x:c>
    </x:row>
    <x:row r="396" spans="1:10" x14ac:dyDescent="0.25">
      <x:c r="A396" s="82" t="n">
        <x:v>37.081</x:v>
      </x:c>
      <x:c r="B396" s="82" t="n">
        <x:v>0.9999</x:v>
      </x:c>
      <x:c r="C396" s="118" t="n">
        <x:v>0.3069</x:v>
      </x:c>
      <x:c r="D396" s="82" t="n">
        <x:v>103.1</x:v>
      </x:c>
      <x:c r="E396" s="82">
        <x:f>IF(B396=MEDIAN($J$1-0.05,$J$1+0.05,B396),B396,0)</x:f>
      </x:c>
      <x:c r="F396" s="82">
        <x:f>IF(E396=0,0,D396)</x:f>
      </x:c>
    </x:row>
    <x:row r="397" spans="1:10" x14ac:dyDescent="0.25">
      <x:c r="A397" s="82" t="n">
        <x:v>37.592</x:v>
      </x:c>
      <x:c r="B397" s="82" t="n">
        <x:v>1</x:v>
      </x:c>
      <x:c r="C397" s="118" t="n">
        <x:v>0.3085</x:v>
      </x:c>
      <x:c r="D397" s="82" t="n">
        <x:v>103</x:v>
      </x:c>
      <x:c r="E397" s="82">
        <x:f>IF(B397=MEDIAN($J$1-0.05,$J$1+0.05,B397),B397,0)</x:f>
      </x:c>
      <x:c r="F397" s="82">
        <x:f>IF(E397=0,0,D397)</x:f>
      </x:c>
    </x:row>
    <x:row r="398" spans="1:10" x14ac:dyDescent="0.25">
      <x:c r="A398" s="82" t="n">
        <x:v>38.104</x:v>
      </x:c>
      <x:c r="B398" s="82" t="n">
        <x:v>1</x:v>
      </x:c>
      <x:c r="C398" s="118" t="n">
        <x:v>0.306</x:v>
      </x:c>
      <x:c r="D398" s="82" t="n">
        <x:v>103</x:v>
      </x:c>
      <x:c r="E398" s="82">
        <x:f>IF(B398=MEDIAN($J$1-0.05,$J$1+0.05,B398),B398,0)</x:f>
      </x:c>
      <x:c r="F398" s="82">
        <x:f>IF(E398=0,0,D398)</x:f>
      </x:c>
    </x:row>
    <x:row r="399" spans="1:10" x14ac:dyDescent="0.25">
      <x:c r="A399" s="82" t="n">
        <x:v>38.617</x:v>
      </x:c>
      <x:c r="B399" s="82" t="n">
        <x:v>1</x:v>
      </x:c>
      <x:c r="C399" s="118" t="n">
        <x:v>0.3047</x:v>
      </x:c>
      <x:c r="D399" s="82" t="n">
        <x:v>102.9</x:v>
      </x:c>
      <x:c r="E399" s="82">
        <x:f>IF(B399=MEDIAN($J$1-0.05,$J$1+0.05,B399),B399,0)</x:f>
      </x:c>
      <x:c r="F399" s="82">
        <x:f>IF(E399=0,0,D399)</x:f>
      </x:c>
    </x:row>
    <x:row r="400" spans="1:10" x14ac:dyDescent="0.25">
      <x:c r="A400" s="82" t="n">
        <x:v>39.129</x:v>
      </x:c>
      <x:c r="B400" s="82" t="n">
        <x:v>1</x:v>
      </x:c>
      <x:c r="C400" s="118" t="n">
        <x:v>0.3049</x:v>
      </x:c>
      <x:c r="D400" s="82" t="n">
        <x:v>102.9</x:v>
      </x:c>
      <x:c r="E400" s="82">
        <x:f>IF(B400=MEDIAN($J$1-0.05,$J$1+0.05,B400),B400,0)</x:f>
      </x:c>
      <x:c r="F400" s="82">
        <x:f>IF(E400=0,0,D400)</x:f>
      </x:c>
    </x:row>
    <x:row r="401" spans="1:10" x14ac:dyDescent="0.25">
      <x:c r="A401" s="82" t="n">
        <x:v>39.64</x:v>
      </x:c>
      <x:c r="B401" s="82" t="n">
        <x:v>1</x:v>
      </x:c>
      <x:c r="C401" s="118" t="n">
        <x:v>0.3028</x:v>
      </x:c>
      <x:c r="D401" s="82" t="n">
        <x:v>102.8</x:v>
      </x:c>
      <x:c r="E401" s="82">
        <x:f>IF(B401=MEDIAN($J$1-0.05,$J$1+0.05,B401),B401,0)</x:f>
      </x:c>
      <x:c r="F401" s="82">
        <x:f>IF(E401=0,0,D401)</x:f>
      </x:c>
    </x:row>
    <x:row r="402" spans="1:10" x14ac:dyDescent="0.25">
      <x:c r="A402" s="82" t="n">
        <x:v>40.153</x:v>
      </x:c>
      <x:c r="B402" s="82" t="n">
        <x:v>1</x:v>
      </x:c>
      <x:c r="C402" s="118" t="n">
        <x:v>0.3028</x:v>
      </x:c>
      <x:c r="D402" s="82" t="n">
        <x:v>102.7</x:v>
      </x:c>
      <x:c r="E402" s="82">
        <x:f>IF(B402=MEDIAN($J$1-0.05,$J$1+0.05,B402),B402,0)</x:f>
      </x:c>
      <x:c r="F402" s="82">
        <x:f>IF(E402=0,0,D402)</x:f>
      </x:c>
    </x:row>
    <x:row r="403" spans="1:10" x14ac:dyDescent="0.25">
      <x:c r="A403" s="82" t="n">
        <x:v>40.665</x:v>
      </x:c>
      <x:c r="B403" s="82" t="n">
        <x:v>0.9999</x:v>
      </x:c>
      <x:c r="C403" s="118" t="n">
        <x:v>0.3013</x:v>
      </x:c>
      <x:c r="D403" s="82" t="n">
        <x:v>102.7</x:v>
      </x:c>
      <x:c r="E403" s="82">
        <x:f>IF(B403=MEDIAN($J$1-0.05,$J$1+0.05,B403),B403,0)</x:f>
      </x:c>
      <x:c r="F403" s="82">
        <x:f>IF(E403=0,0,D403)</x:f>
      </x:c>
    </x:row>
    <x:row r="404" spans="1:10" x14ac:dyDescent="0.25">
      <x:c r="A404" s="82" t="n">
        <x:v>41.432</x:v>
      </x:c>
      <x:c r="B404" s="82" t="n">
        <x:v>1</x:v>
      </x:c>
      <x:c r="C404" s="118" t="n">
        <x:v>0.2996</x:v>
      </x:c>
      <x:c r="D404" s="82" t="n">
        <x:v>102.6</x:v>
      </x:c>
      <x:c r="E404" s="82">
        <x:f>IF(B404=MEDIAN($J$1-0.05,$J$1+0.05,B404),B404,0)</x:f>
      </x:c>
      <x:c r="F404" s="82">
        <x:f>IF(E404=0,0,D404)</x:f>
      </x:c>
    </x:row>
    <x:row r="405" spans="1:10" x14ac:dyDescent="0.25">
      <x:c r="A405" s="82" t="n">
        <x:v>42.457</x:v>
      </x:c>
      <x:c r="B405" s="82" t="n">
        <x:v>1</x:v>
      </x:c>
      <x:c r="C405" s="118" t="n">
        <x:v>0.2994</x:v>
      </x:c>
      <x:c r="D405" s="82" t="n">
        <x:v>102.5</x:v>
      </x:c>
      <x:c r="E405" s="82">
        <x:f>IF(B405=MEDIAN($J$1-0.05,$J$1+0.05,B405),B405,0)</x:f>
      </x:c>
      <x:c r="F405" s="82">
        <x:f>IF(E405=0,0,D405)</x:f>
      </x:c>
    </x:row>
    <x:row r="406" spans="1:10" x14ac:dyDescent="0.25">
      <x:c r="A406" s="82" t="n">
        <x:v>43.48</x:v>
      </x:c>
      <x:c r="B406" s="82" t="n">
        <x:v>1</x:v>
      </x:c>
      <x:c r="C406" s="118" t="n">
        <x:v>0.2975</x:v>
      </x:c>
      <x:c r="D406" s="82" t="n">
        <x:v>102.4</x:v>
      </x:c>
      <x:c r="E406" s="82">
        <x:f>IF(B406=MEDIAN($J$1-0.05,$J$1+0.05,B406),B406,0)</x:f>
      </x:c>
      <x:c r="F406" s="82">
        <x:f>IF(E406=0,0,D406)</x:f>
      </x:c>
    </x:row>
    <x:row r="407" spans="1:10" x14ac:dyDescent="0.25">
      <x:c r="A407" s="82" t="n">
        <x:v>44.505</x:v>
      </x:c>
      <x:c r="B407" s="82" t="n">
        <x:v>1</x:v>
      </x:c>
      <x:c r="C407" s="118" t="n">
        <x:v>0.294</x:v>
      </x:c>
      <x:c r="D407" s="82" t="n">
        <x:v>102.3</x:v>
      </x:c>
      <x:c r="E407" s="82">
        <x:f>IF(B407=MEDIAN($J$1-0.05,$J$1+0.05,B407),B407,0)</x:f>
      </x:c>
      <x:c r="F407" s="82">
        <x:f>IF(E407=0,0,D407)</x:f>
      </x:c>
    </x:row>
    <x:row r="408" spans="1:10" x14ac:dyDescent="0.25">
      <x:c r="A408" s="82" t="n">
        <x:v>45.528</x:v>
      </x:c>
      <x:c r="B408" s="82" t="n">
        <x:v>1</x:v>
      </x:c>
      <x:c r="C408" s="118" t="n">
        <x:v>0.2958</x:v>
      </x:c>
      <x:c r="D408" s="82" t="n">
        <x:v>102.2</x:v>
      </x:c>
      <x:c r="E408" s="82">
        <x:f>IF(B408=MEDIAN($J$1-0.05,$J$1+0.05,B408),B408,0)</x:f>
      </x:c>
      <x:c r="F408" s="82">
        <x:f>IF(E408=0,0,D408)</x:f>
      </x:c>
    </x:row>
    <x:row r="409" spans="1:10" x14ac:dyDescent="0.25">
      <x:c r="A409" s="82" t="n">
        <x:v>46.553</x:v>
      </x:c>
      <x:c r="B409" s="82" t="n">
        <x:v>1</x:v>
      </x:c>
      <x:c r="C409" s="118" t="n">
        <x:v>0.2948</x:v>
      </x:c>
      <x:c r="D409" s="82" t="n">
        <x:v>102.1</x:v>
      </x:c>
      <x:c r="E409" s="82">
        <x:f>IF(B409=MEDIAN($J$1-0.05,$J$1+0.05,B409),B409,0)</x:f>
      </x:c>
      <x:c r="F409" s="82">
        <x:f>IF(E409=0,0,D409)</x:f>
      </x:c>
    </x:row>
    <x:row r="410" spans="1:10" x14ac:dyDescent="0.25">
      <x:c r="A410" s="82" t="n">
        <x:v>47.576</x:v>
      </x:c>
      <x:c r="B410" s="82" t="n">
        <x:v>1</x:v>
      </x:c>
      <x:c r="C410" s="118" t="n">
        <x:v>0.2939</x:v>
      </x:c>
      <x:c r="D410" s="82" t="n">
        <x:v>101.9</x:v>
      </x:c>
      <x:c r="E410" s="82">
        <x:f>IF(B410=MEDIAN($J$1-0.05,$J$1+0.05,B410),B410,0)</x:f>
      </x:c>
      <x:c r="F410" s="82">
        <x:f>IF(E410=0,0,D410)</x:f>
      </x:c>
    </x:row>
    <x:row r="411" spans="1:10" x14ac:dyDescent="0.25">
      <x:c r="A411" s="82" t="n">
        <x:v>48.6</x:v>
      </x:c>
      <x:c r="B411" s="82" t="n">
        <x:v>1</x:v>
      </x:c>
      <x:c r="C411" s="118" t="n">
        <x:v>0.2908</x:v>
      </x:c>
      <x:c r="D411" s="82" t="n">
        <x:v>101.8</x:v>
      </x:c>
      <x:c r="E411" s="82">
        <x:f>IF(B411=MEDIAN($J$1-0.05,$J$1+0.05,B411),B411,0)</x:f>
      </x:c>
      <x:c r="F411" s="82">
        <x:f>IF(E411=0,0,D411)</x:f>
      </x:c>
    </x:row>
    <x:row r="412" spans="1:10" x14ac:dyDescent="0.25">
      <x:c r="A412" s="82" t="n">
        <x:v>49.625</x:v>
      </x:c>
      <x:c r="B412" s="82" t="n">
        <x:v>1</x:v>
      </x:c>
      <x:c r="C412" s="118" t="n">
        <x:v>0.2916</x:v>
      </x:c>
      <x:c r="D412" s="82" t="n">
        <x:v>101.7</x:v>
      </x:c>
      <x:c r="E412" s="82">
        <x:f>IF(B412=MEDIAN($J$1-0.05,$J$1+0.05,B412),B412,0)</x:f>
      </x:c>
      <x:c r="F412" s="82">
        <x:f>IF(E412=0,0,D412)</x:f>
      </x:c>
    </x:row>
    <x:row r="413" spans="1:10" x14ac:dyDescent="0.25">
      <x:c r="A413" s="82" t="n">
        <x:v>50.648</x:v>
      </x:c>
      <x:c r="B413" s="82" t="n">
        <x:v>1</x:v>
      </x:c>
      <x:c r="C413" s="118" t="n">
        <x:v>0.2918</x:v>
      </x:c>
      <x:c r="D413" s="82" t="n">
        <x:v>101.5</x:v>
      </x:c>
      <x:c r="E413" s="82">
        <x:f>IF(B413=MEDIAN($J$1-0.05,$J$1+0.05,B413),B413,0)</x:f>
      </x:c>
      <x:c r="F413" s="82">
        <x:f>IF(E413=0,0,D413)</x:f>
      </x:c>
    </x:row>
    <x:row r="414" spans="1:10" x14ac:dyDescent="0.25">
      <x:c r="A414" s="82" t="n">
        <x:v>51.673</x:v>
      </x:c>
      <x:c r="B414" s="82" t="n">
        <x:v>1</x:v>
      </x:c>
      <x:c r="C414" s="118" t="n">
        <x:v>0.2867</x:v>
      </x:c>
      <x:c r="D414" s="82" t="n">
        <x:v>101.4</x:v>
      </x:c>
      <x:c r="E414" s="82">
        <x:f>IF(B414=MEDIAN($J$1-0.05,$J$1+0.05,B414),B414,0)</x:f>
      </x:c>
      <x:c r="F414" s="82">
        <x:f>IF(E414=0,0,D414)</x:f>
      </x:c>
    </x:row>
    <x:row r="415" spans="1:10" x14ac:dyDescent="0.25">
      <x:c r="A415" s="82" t="n">
        <x:v>52.696</x:v>
      </x:c>
      <x:c r="B415" s="82" t="n">
        <x:v>1</x:v>
      </x:c>
      <x:c r="C415" s="118" t="n">
        <x:v>0.2863</x:v>
      </x:c>
      <x:c r="D415" s="82" t="n">
        <x:v>101.3</x:v>
      </x:c>
      <x:c r="E415" s="82">
        <x:f>IF(B415=MEDIAN($J$1-0.05,$J$1+0.05,B415),B415,0)</x:f>
      </x:c>
      <x:c r="F415" s="82">
        <x:f>IF(E415=0,0,D415)</x:f>
      </x:c>
    </x:row>
    <x:row r="416" spans="1:10" x14ac:dyDescent="0.25">
      <x:c r="A416" s="82" t="n">
        <x:v>53.721</x:v>
      </x:c>
      <x:c r="B416" s="82" t="n">
        <x:v>1</x:v>
      </x:c>
      <x:c r="C416" s="118" t="n">
        <x:v>0.2851</x:v>
      </x:c>
      <x:c r="D416" s="82" t="n">
        <x:v>101.2</x:v>
      </x:c>
      <x:c r="E416" s="82">
        <x:f>IF(B416=MEDIAN($J$1-0.05,$J$1+0.05,B416),B416,0)</x:f>
      </x:c>
      <x:c r="F416" s="82">
        <x:f>IF(E416=0,0,D416)</x:f>
      </x:c>
    </x:row>
    <x:row r="417" spans="1:10" x14ac:dyDescent="0.25">
      <x:c r="A417" s="82" t="n">
        <x:v>54.744</x:v>
      </x:c>
      <x:c r="B417" s="82" t="n">
        <x:v>1</x:v>
      </x:c>
      <x:c r="C417" s="118" t="n">
        <x:v>0.2831</x:v>
      </x:c>
      <x:c r="D417" s="82" t="n">
        <x:v>101</x:v>
      </x:c>
      <x:c r="E417" s="82">
        <x:f>IF(B417=MEDIAN($J$1-0.05,$J$1+0.05,B417),B417,0)</x:f>
      </x:c>
      <x:c r="F417" s="82">
        <x:f>IF(E417=0,0,D417)</x:f>
      </x:c>
    </x:row>
    <x:row r="418" spans="1:10" x14ac:dyDescent="0.25">
      <x:c r="A418" s="82" t="n">
        <x:v>55.769</x:v>
      </x:c>
      <x:c r="B418" s="82" t="n">
        <x:v>1</x:v>
      </x:c>
      <x:c r="C418" s="118" t="n">
        <x:v>0.2819</x:v>
      </x:c>
      <x:c r="D418" s="82" t="n">
        <x:v>100.9</x:v>
      </x:c>
      <x:c r="E418" s="82">
        <x:f>IF(B418=MEDIAN($J$1-0.05,$J$1+0.05,B418),B418,0)</x:f>
      </x:c>
      <x:c r="F418" s="82">
        <x:f>IF(E418=0,0,D418)</x:f>
      </x:c>
    </x:row>
    <x:row r="419" spans="1:10" x14ac:dyDescent="0.25">
      <x:c r="A419" s="82" t="n">
        <x:v>56.792</x:v>
      </x:c>
      <x:c r="B419" s="82" t="n">
        <x:v>1</x:v>
      </x:c>
      <x:c r="C419" s="118" t="n">
        <x:v>0.2819</x:v>
      </x:c>
      <x:c r="D419" s="82" t="n">
        <x:v>100.8</x:v>
      </x:c>
      <x:c r="E419" s="82">
        <x:f>IF(B419=MEDIAN($J$1-0.05,$J$1+0.05,B419),B419,0)</x:f>
      </x:c>
      <x:c r="F419" s="82">
        <x:f>IF(E419=0,0,D419)</x:f>
      </x:c>
    </x:row>
    <x:row r="420" spans="1:10" x14ac:dyDescent="0.25">
      <x:c r="A420" s="82" t="n">
        <x:v>57.817</x:v>
      </x:c>
      <x:c r="B420" s="82" t="n">
        <x:v>1</x:v>
      </x:c>
      <x:c r="C420" s="118" t="n">
        <x:v>0.2791</x:v>
      </x:c>
      <x:c r="D420" s="82" t="n">
        <x:v>100.6</x:v>
      </x:c>
      <x:c r="E420" s="82">
        <x:f>IF(B420=MEDIAN($J$1-0.05,$J$1+0.05,B420),B420,0)</x:f>
      </x:c>
      <x:c r="F420" s="82">
        <x:f>IF(E420=0,0,D420)</x:f>
      </x:c>
    </x:row>
    <x:row r="421" spans="1:10" x14ac:dyDescent="0.25">
      <x:c r="A421" s="82" t="n">
        <x:v>58.84</x:v>
      </x:c>
      <x:c r="B421" s="82" t="n">
        <x:v>1</x:v>
      </x:c>
      <x:c r="C421" s="118" t="n">
        <x:v>0.2787</x:v>
      </x:c>
      <x:c r="D421" s="82" t="n">
        <x:v>100.5</x:v>
      </x:c>
      <x:c r="E421" s="82">
        <x:f>IF(B421=MEDIAN($J$1-0.05,$J$1+0.05,B421),B421,0)</x:f>
      </x:c>
      <x:c r="F421" s="82">
        <x:f>IF(E421=0,0,D421)</x:f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drawing r:id="rId2"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8193" r:id="rId4" name="Button 1">
              <x:controlPr defaultSize="0" print="0" autoFill="0" autoPict="0" macro="[0]!Fracture">
                <x:anchor moveWithCells="1" sizeWithCells="1">
                  <x:from>
                    <xdr:col>7</xdr:col>
                    <xdr:colOff>1009650</xdr:colOff>
                    <xdr:row>9</xdr:row>
                    <xdr:rowOff>28575</xdr:rowOff>
                  </x:from>
                  <x:to>
                    <xdr:col>8</xdr:col>
                    <xdr:colOff>495300</xdr:colOff>
                    <xdr:row>11</xdr:row>
                    <xdr:rowOff>28575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5">
    <x:outlinePr summaryBelow="1" summaryRight="1"/>
  </x:sheetPr>
  <x:dimension ref="A1:BR285"/>
  <x:sheetViews>
    <x:sheetView workbookViewId="0">
      <x:selection activeCell="I263" sqref="I263 A1:I263"/>
    </x:sheetView>
  </x:sheetViews>
  <x:sheetFormatPr defaultColWidth="9.140625" defaultRowHeight="15" x14ac:dyDescent="0.25"/>
  <x:cols>
    <x:col min="1" max="1" width="23.5703125" style="82" bestFit="1" customWidth="1"/>
    <x:col min="2" max="2" width="32" style="82" bestFit="1" customWidth="1"/>
    <x:col min="3" max="3" width="27" style="82" bestFit="1" customWidth="1"/>
    <x:col min="4" max="4" width="14.42578125" style="82" bestFit="1" customWidth="1"/>
    <x:col min="5" max="5" width="17.28515625" style="82" bestFit="1" customWidth="1"/>
    <x:col min="6" max="16384" width="9.140625" style="82" customWidth="1"/>
  </x:cols>
  <x:sheetData>
    <x:row r="1" spans="1:70" customFormat="1" ht="30" customHeight="1" x14ac:dyDescent="0.25">
      <x:c r="A1" s="120" t="s">
        <x:v>97</x:v>
      </x:c>
      <x:c r="B1" s="120" t="s">
        <x:v>98</x:v>
      </x:c>
      <x:c r="C1" s="120" t="s">
        <x:v>99</x:v>
      </x:c>
      <x:c r="D1" s="120" t="s">
        <x:v>100</x:v>
      </x:c>
      <x:c r="E1" s="120" t="s">
        <x:v>101</x:v>
      </x:c>
      <x:c r="F1" s="120" t="s">
        <x:v>102</x:v>
      </x:c>
      <x:c r="G1" s="120" t="s">
        <x:v>103</x:v>
      </x:c>
      <x:c r="H1" s="120" t="s">
        <x:v>104</x:v>
      </x:c>
      <x:c r="I1" s="120" t="s">
        <x:v>105</x:v>
      </x:c>
      <x:c r="J1" s="82" t="s"/>
      <x:c r="K1" s="82" t="s"/>
      <x:c r="L1" s="82" t="s"/>
      <x:c r="M1" s="82" t="s"/>
      <x:c r="N1" s="82" t="s"/>
      <x:c r="O1" s="82" t="s"/>
      <x:c r="P1" s="82" t="s"/>
      <x:c r="Q1" s="82" t="s"/>
      <x:c r="R1" s="82" t="s"/>
      <x:c r="S1" s="82" t="s"/>
      <x:c r="T1" s="82" t="s"/>
      <x:c r="U1" s="82" t="s"/>
      <x:c r="V1" s="82" t="s"/>
      <x:c r="W1" s="82" t="s"/>
      <x:c r="X1" s="82" t="s"/>
      <x:c r="Y1" s="82" t="s"/>
      <x:c r="Z1" s="82" t="s"/>
      <x:c r="AA1" s="82" t="s"/>
      <x:c r="AB1" s="82" t="s"/>
      <x:c r="AC1" s="82" t="s"/>
      <x:c r="AD1" s="82" t="s"/>
      <x:c r="AE1" s="82" t="s"/>
      <x:c r="AF1" s="82" t="s"/>
      <x:c r="AG1" s="82" t="s"/>
      <x:c r="AH1" s="82" t="s"/>
      <x:c r="AI1" s="82" t="s"/>
      <x:c r="AJ1" s="82" t="s"/>
      <x:c r="AK1" s="82" t="s"/>
      <x:c r="AL1" s="82" t="s"/>
      <x:c r="AM1" s="82" t="s"/>
      <x:c r="AN1" s="82" t="s"/>
      <x:c r="AO1" s="82" t="s"/>
      <x:c r="AP1" s="82" t="s"/>
      <x:c r="AQ1" s="82" t="s"/>
      <x:c r="AR1" s="82" t="s"/>
      <x:c r="AS1" s="82" t="s"/>
      <x:c r="AT1" s="82" t="s"/>
      <x:c r="AU1" s="82" t="s"/>
      <x:c r="AV1" s="82" t="s"/>
      <x:c r="AW1" s="82" t="s"/>
      <x:c r="AX1" s="82" t="s"/>
      <x:c r="AY1" s="82" t="s"/>
      <x:c r="AZ1" s="82" t="s"/>
      <x:c r="BA1" s="82" t="s"/>
      <x:c r="BB1" s="82" t="s"/>
      <x:c r="BC1" s="82" t="s"/>
      <x:c r="BD1" s="82" t="s"/>
      <x:c r="BE1" s="82" t="s"/>
      <x:c r="BF1" s="82" t="s"/>
      <x:c r="BG1" s="82" t="s"/>
      <x:c r="BH1" s="82" t="s"/>
      <x:c r="BI1" s="82" t="s"/>
      <x:c r="BJ1" s="82" t="s"/>
      <x:c r="BK1" s="82" t="s"/>
      <x:c r="BL1" s="82" t="s"/>
      <x:c r="BM1" s="82" t="s"/>
      <x:c r="BN1" s="82" t="s"/>
      <x:c r="BO1" s="82" t="s"/>
      <x:c r="BP1" s="82" t="s"/>
      <x:c r="BQ1" s="82" t="s"/>
      <x:c r="BR1" s="82" t="s"/>
    </x:row>
    <x:row r="2" spans="1:70" customFormat="1" ht="15" customHeight="1" x14ac:dyDescent="0.25">
      <x:c r="A2" s="82" t="s">
        <x:v>106</x:v>
      </x:c>
      <x:c r="B2" s="82" t="s">
        <x:v>107</x:v>
      </x:c>
      <x:c r="C2" s="82" t="s">
        <x:v>108</x:v>
      </x:c>
      <x:c r="D2" s="85">
        <x:v>42107</x:v>
      </x:c>
      <x:c r="E2" s="82" t="n">
        <x:v>29664</x:v>
      </x:c>
      <x:c r="F2" s="86" t="n">
        <x:v>0.0438785332083014</x:v>
      </x:c>
      <x:c r="G2" s="86" t="n">
        <x:v>0.0407058463373745</x:v>
      </x:c>
      <x:c r="H2" s="86" t="n">
        <x:v>0.019600031904578</x:v>
      </x:c>
      <x:c r="I2" s="86" t="n">
        <x:v>0.017417881052852</x:v>
      </x:c>
      <x:c r="K2" s="82" t="s"/>
      <x:c r="L2" s="82" t="s"/>
      <x:c r="M2" s="82" t="s"/>
      <x:c r="N2" s="82" t="s"/>
      <x:c r="O2" s="82" t="s"/>
      <x:c r="P2" s="82" t="s"/>
      <x:c r="Q2" s="82" t="s"/>
      <x:c r="R2" s="82" t="s"/>
      <x:c r="S2" s="82" t="s"/>
      <x:c r="T2" s="82" t="s"/>
      <x:c r="U2" s="82" t="s"/>
      <x:c r="V2" s="82" t="s"/>
      <x:c r="W2" s="82" t="s"/>
      <x:c r="X2" s="82" t="s"/>
      <x:c r="Y2" s="82" t="s"/>
      <x:c r="Z2" s="82" t="s"/>
      <x:c r="AA2" s="82" t="s"/>
      <x:c r="AB2" s="82" t="s"/>
      <x:c r="AC2" s="82" t="s"/>
      <x:c r="AD2" s="82" t="s"/>
      <x:c r="AE2" s="82" t="s"/>
      <x:c r="AF2" s="82" t="s"/>
      <x:c r="AG2" s="82" t="s"/>
      <x:c r="AH2" s="82" t="s"/>
      <x:c r="AI2" s="82" t="s"/>
      <x:c r="AJ2" s="82" t="s"/>
      <x:c r="AK2" s="82" t="s"/>
      <x:c r="AL2" s="82" t="s"/>
      <x:c r="AM2" s="82" t="s"/>
      <x:c r="AN2" s="82" t="s"/>
      <x:c r="AO2" s="82" t="s"/>
      <x:c r="AP2" s="82" t="s"/>
      <x:c r="AQ2" s="82" t="s"/>
      <x:c r="AR2" s="82" t="s"/>
      <x:c r="AS2" s="82" t="s"/>
      <x:c r="AT2" s="82" t="s"/>
      <x:c r="AU2" s="82" t="s"/>
      <x:c r="AV2" s="82" t="s"/>
      <x:c r="AW2" s="82" t="s"/>
      <x:c r="AX2" s="82" t="s"/>
      <x:c r="AY2" s="82" t="s"/>
      <x:c r="AZ2" s="82" t="s"/>
      <x:c r="BA2" s="82" t="s"/>
      <x:c r="BB2" s="82" t="s"/>
      <x:c r="BC2" s="82" t="s"/>
      <x:c r="BD2" s="82" t="s"/>
      <x:c r="BE2" s="82" t="s"/>
      <x:c r="BF2" s="82" t="s"/>
      <x:c r="BG2" s="82" t="s"/>
      <x:c r="BH2" s="82" t="s"/>
      <x:c r="BI2" s="82" t="s"/>
      <x:c r="BJ2" s="82" t="s"/>
      <x:c r="BK2" s="82" t="s"/>
      <x:c r="BL2" s="82" t="s"/>
      <x:c r="BM2" s="82" t="s"/>
      <x:c r="BN2" s="82" t="s"/>
      <x:c r="BO2" s="82" t="s"/>
      <x:c r="BP2" s="82" t="s"/>
      <x:c r="BQ2" s="82" t="s"/>
      <x:c r="BR2" s="82" t="s"/>
    </x:row>
    <x:row r="3" spans="1:70" customFormat="1" ht="15" customHeight="1" x14ac:dyDescent="0.25">
      <x:c r="A3" s="82" t="s">
        <x:v>106</x:v>
      </x:c>
      <x:c r="B3" s="82" t="s">
        <x:v>107</x:v>
      </x:c>
      <x:c r="C3" s="82" t="s">
        <x:v>109</x:v>
      </x:c>
      <x:c r="D3" s="85">
        <x:v>42107</x:v>
      </x:c>
      <x:c r="E3" s="82" t="n">
        <x:v>29664</x:v>
      </x:c>
      <x:c r="F3" s="86" t="n">
        <x:v>4.27180044322323</x:v>
      </x:c>
      <x:c r="G3" s="86" t="n">
        <x:v>4.32776558177785</x:v>
      </x:c>
      <x:c r="H3" s="86" t="n">
        <x:v>4.45141389244327</x:v>
      </x:c>
      <x:c r="I3" s="86" t="n">
        <x:v>4.23570032235844</x:v>
      </x:c>
      <x:c r="K3" s="82" t="s"/>
      <x:c r="L3" s="82" t="s"/>
      <x:c r="M3" s="82" t="s"/>
      <x:c r="N3" s="82" t="s"/>
      <x:c r="O3" s="82" t="s"/>
      <x:c r="P3" s="82" t="s"/>
      <x:c r="Q3" s="82" t="s"/>
      <x:c r="R3" s="82" t="s"/>
      <x:c r="S3" s="82" t="s"/>
      <x:c r="T3" s="82" t="s"/>
      <x:c r="U3" s="82" t="s"/>
      <x:c r="V3" s="82" t="s"/>
      <x:c r="W3" s="82" t="s"/>
      <x:c r="X3" s="82" t="s"/>
      <x:c r="Y3" s="82" t="s"/>
      <x:c r="Z3" s="82" t="s"/>
      <x:c r="AA3" s="82" t="s"/>
      <x:c r="AB3" s="82" t="s"/>
      <x:c r="AC3" s="82" t="s"/>
      <x:c r="AD3" s="82" t="s"/>
      <x:c r="AE3" s="82" t="s"/>
      <x:c r="AF3" s="82" t="s"/>
      <x:c r="AG3" s="82" t="s"/>
      <x:c r="AH3" s="82" t="s"/>
      <x:c r="AI3" s="82" t="s"/>
      <x:c r="AJ3" s="82" t="s"/>
      <x:c r="AK3" s="82" t="s"/>
      <x:c r="AL3" s="82" t="s"/>
      <x:c r="AM3" s="82" t="s"/>
      <x:c r="AN3" s="82" t="s"/>
      <x:c r="AO3" s="82" t="s"/>
      <x:c r="AP3" s="82" t="s"/>
      <x:c r="AQ3" s="82" t="s"/>
      <x:c r="AR3" s="82" t="s"/>
      <x:c r="AS3" s="82" t="s"/>
      <x:c r="AT3" s="82" t="s"/>
      <x:c r="AU3" s="82" t="s"/>
      <x:c r="AV3" s="82" t="s"/>
      <x:c r="AW3" s="82" t="s"/>
      <x:c r="AX3" s="82" t="s"/>
      <x:c r="AY3" s="82" t="s"/>
      <x:c r="AZ3" s="82" t="s"/>
      <x:c r="BA3" s="82" t="s"/>
      <x:c r="BB3" s="82" t="s"/>
      <x:c r="BC3" s="82" t="s"/>
      <x:c r="BD3" s="82" t="s"/>
      <x:c r="BE3" s="82" t="s"/>
      <x:c r="BF3" s="82" t="s"/>
      <x:c r="BG3" s="82" t="s"/>
      <x:c r="BH3" s="82" t="s"/>
      <x:c r="BI3" s="82" t="s"/>
      <x:c r="BJ3" s="82" t="s"/>
      <x:c r="BK3" s="82" t="s"/>
      <x:c r="BL3" s="82" t="s"/>
      <x:c r="BM3" s="82" t="s"/>
      <x:c r="BN3" s="82" t="s"/>
      <x:c r="BO3" s="82" t="s"/>
      <x:c r="BP3" s="82" t="s"/>
      <x:c r="BQ3" s="82" t="s"/>
      <x:c r="BR3" s="82" t="s"/>
    </x:row>
    <x:row r="4" spans="1:70" customFormat="1" ht="15" customHeight="1" x14ac:dyDescent="0.25">
      <x:c r="A4" s="82" t="s">
        <x:v>106</x:v>
      </x:c>
      <x:c r="B4" s="82" t="s">
        <x:v>107</x:v>
      </x:c>
      <x:c r="C4" s="82" t="s">
        <x:v>110</x:v>
      </x:c>
      <x:c r="D4" s="85">
        <x:v>42107</x:v>
      </x:c>
      <x:c r="E4" s="82" t="n">
        <x:v>29664</x:v>
      </x:c>
      <x:c r="F4" s="86" t="n">
        <x:v>0.35757608646462</x:v>
      </x:c>
      <x:c r="G4" s="127" t="n">
        <x:v>0.346454778666201</x:v>
      </x:c>
      <x:c r="H4" s="86" t="n">
        <x:v>0.300890097817215</x:v>
      </x:c>
      <x:c r="I4" s="86" t="n">
        <x:v>0.291920002066075</x:v>
      </x:c>
      <x:c r="K4" s="82" t="s"/>
      <x:c r="L4" s="82" t="s"/>
      <x:c r="M4" s="82" t="s"/>
      <x:c r="N4" s="82" t="s"/>
      <x:c r="O4" s="82" t="s"/>
      <x:c r="P4" s="82" t="s"/>
      <x:c r="Q4" s="82" t="s"/>
      <x:c r="R4" s="82" t="s"/>
      <x:c r="S4" s="82" t="s"/>
      <x:c r="T4" s="82" t="s"/>
      <x:c r="U4" s="82" t="s"/>
      <x:c r="V4" s="82" t="s"/>
      <x:c r="W4" s="82" t="s"/>
      <x:c r="X4" s="82" t="s"/>
      <x:c r="Y4" s="82" t="s"/>
      <x:c r="Z4" s="82" t="s"/>
      <x:c r="AA4" s="82" t="s"/>
      <x:c r="AB4" s="82" t="s"/>
      <x:c r="AC4" s="82" t="s"/>
      <x:c r="AD4" s="82" t="s"/>
      <x:c r="AE4" s="82" t="s"/>
      <x:c r="AF4" s="82" t="s"/>
      <x:c r="AG4" s="82" t="s"/>
      <x:c r="AH4" s="82" t="s"/>
      <x:c r="AI4" s="82" t="s"/>
      <x:c r="AJ4" s="82" t="s"/>
      <x:c r="AK4" s="82" t="s"/>
      <x:c r="AL4" s="82" t="s"/>
      <x:c r="AM4" s="82" t="s"/>
      <x:c r="AN4" s="82" t="s"/>
      <x:c r="AO4" s="82" t="s"/>
      <x:c r="AP4" s="82" t="s"/>
      <x:c r="AQ4" s="82" t="s"/>
      <x:c r="AR4" s="82" t="s"/>
      <x:c r="AS4" s="82" t="s"/>
      <x:c r="AT4" s="82" t="s"/>
      <x:c r="AU4" s="82" t="s"/>
      <x:c r="AV4" s="82" t="s"/>
      <x:c r="AW4" s="82" t="s"/>
      <x:c r="AX4" s="82" t="s"/>
      <x:c r="AY4" s="82" t="s"/>
      <x:c r="AZ4" s="82" t="s"/>
      <x:c r="BA4" s="82" t="s"/>
      <x:c r="BB4" s="82" t="s"/>
      <x:c r="BC4" s="82" t="s"/>
      <x:c r="BD4" s="82" t="s"/>
      <x:c r="BE4" s="82" t="s"/>
      <x:c r="BF4" s="82" t="s"/>
      <x:c r="BG4" s="82" t="s"/>
      <x:c r="BH4" s="82" t="s"/>
      <x:c r="BI4" s="82" t="s"/>
      <x:c r="BJ4" s="82" t="s"/>
      <x:c r="BK4" s="82" t="s"/>
      <x:c r="BL4" s="82" t="s"/>
      <x:c r="BM4" s="82" t="s"/>
      <x:c r="BN4" s="82" t="s"/>
      <x:c r="BO4" s="82" t="s"/>
      <x:c r="BP4" s="82" t="s"/>
      <x:c r="BQ4" s="82" t="s"/>
      <x:c r="BR4" s="82" t="s"/>
    </x:row>
    <x:row r="5" spans="1:70" customFormat="1" ht="15" customHeight="1" x14ac:dyDescent="0.25">
      <x:c r="A5" s="82" t="s">
        <x:v>106</x:v>
      </x:c>
      <x:c r="B5" s="82" t="s">
        <x:v>107</x:v>
      </x:c>
      <x:c r="C5" s="82" t="s">
        <x:v>111</x:v>
      </x:c>
      <x:c r="D5" s="85">
        <x:v>42107</x:v>
      </x:c>
      <x:c r="E5" s="82" t="n">
        <x:v>29664</x:v>
      </x:c>
      <x:c r="F5" s="86" t="n">
        <x:v>3.00922812209576</x:v>
      </x:c>
      <x:c r="G5" s="127" t="n">
        <x:v>3.22818116709895</x:v>
      </x:c>
      <x:c r="H5" s="86" t="n">
        <x:v>3.02242659367047</x:v>
      </x:c>
      <x:c r="I5" s="86" t="n">
        <x:v>2.84000781044933</x:v>
      </x:c>
      <x:c r="K5" s="82" t="s"/>
      <x:c r="L5" s="82" t="s"/>
      <x:c r="M5" s="82" t="s"/>
      <x:c r="N5" s="82" t="s"/>
      <x:c r="O5" s="82" t="s"/>
      <x:c r="P5" s="82" t="s"/>
      <x:c r="Q5" s="82" t="s"/>
      <x:c r="R5" s="82" t="s"/>
      <x:c r="S5" s="82" t="s"/>
      <x:c r="T5" s="82" t="s"/>
      <x:c r="U5" s="82" t="s"/>
      <x:c r="V5" s="82" t="s"/>
      <x:c r="W5" s="82" t="s"/>
      <x:c r="X5" s="82" t="s"/>
      <x:c r="Y5" s="82" t="s"/>
      <x:c r="Z5" s="82" t="s"/>
      <x:c r="AA5" s="82" t="s"/>
      <x:c r="AB5" s="82" t="s"/>
      <x:c r="AC5" s="82" t="s"/>
      <x:c r="AD5" s="82" t="s"/>
      <x:c r="AE5" s="82" t="s"/>
      <x:c r="AF5" s="82" t="s"/>
      <x:c r="AG5" s="82" t="s"/>
      <x:c r="AH5" s="82" t="s"/>
      <x:c r="AI5" s="82" t="s"/>
      <x:c r="AJ5" s="82" t="s"/>
      <x:c r="AK5" s="82" t="s"/>
      <x:c r="AL5" s="82" t="s"/>
      <x:c r="AM5" s="82" t="s"/>
      <x:c r="AN5" s="82" t="s"/>
      <x:c r="AO5" s="82" t="s"/>
      <x:c r="AP5" s="82" t="s"/>
      <x:c r="AQ5" s="82" t="s"/>
      <x:c r="AR5" s="82" t="s"/>
      <x:c r="AS5" s="82" t="s"/>
      <x:c r="AT5" s="82" t="s"/>
      <x:c r="AU5" s="82" t="s"/>
      <x:c r="AV5" s="82" t="s"/>
      <x:c r="AW5" s="82" t="s"/>
      <x:c r="AX5" s="82" t="s"/>
      <x:c r="AY5" s="82" t="s"/>
      <x:c r="AZ5" s="82" t="s"/>
      <x:c r="BA5" s="82" t="s"/>
      <x:c r="BB5" s="82" t="s"/>
      <x:c r="BC5" s="82" t="s"/>
      <x:c r="BD5" s="82" t="s"/>
      <x:c r="BE5" s="82" t="s"/>
      <x:c r="BF5" s="82" t="s"/>
      <x:c r="BG5" s="82" t="s"/>
      <x:c r="BH5" s="82" t="s"/>
      <x:c r="BI5" s="82" t="s"/>
      <x:c r="BJ5" s="82" t="s"/>
      <x:c r="BK5" s="82" t="s"/>
      <x:c r="BL5" s="82" t="s"/>
      <x:c r="BM5" s="82" t="s"/>
      <x:c r="BN5" s="82" t="s"/>
      <x:c r="BO5" s="82" t="s"/>
      <x:c r="BP5" s="82" t="s"/>
      <x:c r="BQ5" s="82" t="s"/>
      <x:c r="BR5" s="82" t="s"/>
    </x:row>
    <x:row r="6" spans="1:70" customFormat="1" ht="15" customHeight="1" x14ac:dyDescent="0.25">
      <x:c r="A6" s="82" t="s">
        <x:v>106</x:v>
      </x:c>
      <x:c r="B6" s="82" t="s">
        <x:v>107</x:v>
      </x:c>
      <x:c r="C6" s="82" t="s">
        <x:v>112</x:v>
      </x:c>
      <x:c r="D6" s="85">
        <x:v>42107</x:v>
      </x:c>
      <x:c r="E6" s="82" t="n">
        <x:v>29664</x:v>
      </x:c>
      <x:c r="F6" s="82" t="n">
        <x:v>9.01484180384854</x:v>
      </x:c>
      <x:c r="G6" s="82" t="n">
        <x:v>9.6707665071575</x:v>
      </x:c>
      <x:c r="H6" s="82" t="n">
        <x:v>9.05438089110648</x:v>
      </x:c>
      <x:c r="I6" s="82" t="n">
        <x:v>8.50790305490847</x:v>
      </x:c>
      <x:c r="K6" s="82" t="s"/>
      <x:c r="L6" s="82" t="s"/>
      <x:c r="M6" s="82" t="s"/>
      <x:c r="N6" s="82" t="s"/>
      <x:c r="O6" s="82" t="s"/>
      <x:c r="P6" s="82" t="s"/>
      <x:c r="Q6" s="82" t="s"/>
      <x:c r="R6" s="82" t="s"/>
      <x:c r="S6" s="82" t="s"/>
      <x:c r="T6" s="82" t="s"/>
      <x:c r="U6" s="82" t="s"/>
      <x:c r="V6" s="82" t="s"/>
      <x:c r="W6" s="82" t="s"/>
      <x:c r="X6" s="82" t="s"/>
      <x:c r="Y6" s="82" t="s"/>
      <x:c r="Z6" s="82" t="s"/>
      <x:c r="AA6" s="82" t="s"/>
      <x:c r="AB6" s="82" t="s"/>
      <x:c r="AC6" s="82" t="s"/>
      <x:c r="AD6" s="82" t="s"/>
      <x:c r="AE6" s="82" t="s"/>
      <x:c r="AF6" s="82" t="s"/>
      <x:c r="AG6" s="82" t="s"/>
      <x:c r="AH6" s="82" t="s"/>
      <x:c r="AI6" s="82" t="s"/>
      <x:c r="AJ6" s="82" t="s"/>
      <x:c r="AK6" s="82" t="s"/>
      <x:c r="AL6" s="82" t="s"/>
      <x:c r="AM6" s="82" t="s"/>
      <x:c r="AN6" s="82" t="s"/>
      <x:c r="AO6" s="82" t="s"/>
      <x:c r="AP6" s="82" t="s"/>
      <x:c r="AQ6" s="82" t="s"/>
      <x:c r="AR6" s="82" t="s"/>
      <x:c r="AS6" s="82" t="s"/>
      <x:c r="AT6" s="82" t="s"/>
      <x:c r="AU6" s="82" t="s"/>
      <x:c r="AV6" s="82" t="s"/>
      <x:c r="AW6" s="82" t="s"/>
      <x:c r="AX6" s="82" t="s"/>
      <x:c r="AY6" s="82" t="s"/>
      <x:c r="AZ6" s="82" t="s"/>
      <x:c r="BA6" s="82" t="s"/>
      <x:c r="BB6" s="82" t="s"/>
      <x:c r="BC6" s="82" t="s"/>
      <x:c r="BD6" s="82" t="s"/>
      <x:c r="BE6" s="82" t="s"/>
      <x:c r="BF6" s="82" t="s"/>
      <x:c r="BG6" s="82" t="s"/>
      <x:c r="BH6" s="82" t="s"/>
      <x:c r="BI6" s="82" t="s"/>
      <x:c r="BJ6" s="82" t="s"/>
      <x:c r="BK6" s="82" t="s"/>
      <x:c r="BL6" s="82" t="s"/>
      <x:c r="BM6" s="82" t="s"/>
      <x:c r="BN6" s="82" t="s"/>
      <x:c r="BO6" s="82" t="s"/>
      <x:c r="BP6" s="82" t="s"/>
      <x:c r="BQ6" s="82" t="s"/>
      <x:c r="BR6" s="82" t="s"/>
    </x:row>
    <x:row r="7" spans="1:70" customFormat="1" ht="15" customHeight="1" x14ac:dyDescent="0.25">
      <x:c r="A7" s="82" t="s">
        <x:v>106</x:v>
      </x:c>
      <x:c r="B7" s="82" t="s">
        <x:v>107</x:v>
      </x:c>
      <x:c r="C7" s="82" t="s">
        <x:v>113</x:v>
      </x:c>
      <x:c r="D7" s="85">
        <x:v>42107</x:v>
      </x:c>
      <x:c r="E7" s="82" t="n">
        <x:v>29664</x:v>
      </x:c>
      <x:c r="F7" s="88" t="n">
        <x:v>-6.59</x:v>
      </x:c>
      <x:c r="G7" s="88" t="n">
        <x:v>-7.031</x:v>
      </x:c>
      <x:c r="K7" s="82" t="s"/>
      <x:c r="L7" s="82" t="s"/>
      <x:c r="M7" s="82" t="s"/>
      <x:c r="N7" s="82" t="s"/>
      <x:c r="O7" s="82" t="s"/>
      <x:c r="P7" s="82" t="s"/>
      <x:c r="Q7" s="82" t="s"/>
      <x:c r="R7" s="82" t="s"/>
      <x:c r="S7" s="82" t="s"/>
      <x:c r="T7" s="82" t="s"/>
      <x:c r="U7" s="82" t="s"/>
      <x:c r="V7" s="82" t="s"/>
      <x:c r="W7" s="82" t="s"/>
      <x:c r="X7" s="82" t="s"/>
      <x:c r="Y7" s="82" t="s"/>
      <x:c r="Z7" s="82" t="s"/>
      <x:c r="AA7" s="82" t="s"/>
      <x:c r="AB7" s="82" t="s"/>
      <x:c r="AC7" s="82" t="s"/>
      <x:c r="AD7" s="82" t="s"/>
      <x:c r="AE7" s="82" t="s"/>
      <x:c r="AF7" s="82" t="s"/>
      <x:c r="AG7" s="82" t="s"/>
      <x:c r="AH7" s="82" t="s"/>
      <x:c r="AI7" s="82" t="s"/>
      <x:c r="AJ7" s="82" t="s"/>
      <x:c r="AK7" s="82" t="s"/>
      <x:c r="AL7" s="82" t="s"/>
      <x:c r="AM7" s="82" t="s"/>
      <x:c r="AN7" s="82" t="s"/>
      <x:c r="AO7" s="82" t="s"/>
      <x:c r="AP7" s="82" t="s"/>
      <x:c r="AQ7" s="82" t="s"/>
      <x:c r="AR7" s="82" t="s"/>
      <x:c r="AS7" s="82" t="s"/>
      <x:c r="AT7" s="82" t="s"/>
      <x:c r="AU7" s="82" t="s"/>
      <x:c r="AV7" s="82" t="s"/>
      <x:c r="AW7" s="82" t="s"/>
      <x:c r="AX7" s="82" t="s"/>
      <x:c r="AY7" s="82" t="s"/>
      <x:c r="AZ7" s="82" t="s"/>
      <x:c r="BA7" s="82" t="s"/>
      <x:c r="BB7" s="82" t="s"/>
      <x:c r="BC7" s="82" t="s"/>
      <x:c r="BD7" s="82" t="s"/>
      <x:c r="BE7" s="82" t="s"/>
      <x:c r="BF7" s="82" t="s"/>
      <x:c r="BG7" s="82" t="s"/>
      <x:c r="BH7" s="82" t="s"/>
      <x:c r="BI7" s="82" t="s"/>
      <x:c r="BJ7" s="82" t="s"/>
      <x:c r="BK7" s="82" t="s"/>
      <x:c r="BL7" s="82" t="s"/>
      <x:c r="BM7" s="82" t="s"/>
      <x:c r="BN7" s="82" t="s"/>
      <x:c r="BO7" s="82" t="s"/>
      <x:c r="BP7" s="82" t="s"/>
      <x:c r="BQ7" s="82" t="s"/>
      <x:c r="BR7" s="82" t="s"/>
    </x:row>
    <x:row r="8" spans="1:70" customFormat="1" ht="15" customHeight="1" x14ac:dyDescent="0.25">
      <x:c r="A8" s="82" t="s">
        <x:v>106</x:v>
      </x:c>
      <x:c r="B8" s="82" t="s">
        <x:v>107</x:v>
      </x:c>
      <x:c r="C8" s="82" t="s">
        <x:v>114</x:v>
      </x:c>
      <x:c r="D8" s="85">
        <x:v>42107</x:v>
      </x:c>
      <x:c r="E8" s="82" t="n">
        <x:v>29664</x:v>
      </x:c>
      <x:c r="F8" s="88" t="n">
        <x:v>0.736</x:v>
      </x:c>
      <x:c r="G8" s="88" t="n">
        <x:v>1</x:v>
      </x:c>
      <x:c r="K8" s="82" t="s"/>
      <x:c r="L8" s="82" t="s"/>
      <x:c r="M8" s="82" t="s"/>
      <x:c r="N8" s="82" t="s"/>
      <x:c r="O8" s="82" t="s"/>
      <x:c r="P8" s="82" t="s"/>
      <x:c r="Q8" s="82" t="s"/>
      <x:c r="R8" s="82" t="s"/>
      <x:c r="S8" s="82" t="s"/>
      <x:c r="T8" s="82" t="s"/>
      <x:c r="U8" s="82" t="s"/>
      <x:c r="V8" s="82" t="s"/>
      <x:c r="W8" s="82" t="s"/>
      <x:c r="X8" s="82" t="s"/>
      <x:c r="Y8" s="82" t="s"/>
      <x:c r="Z8" s="82" t="s"/>
      <x:c r="AA8" s="82" t="s"/>
      <x:c r="AB8" s="82" t="s"/>
      <x:c r="AC8" s="82" t="s"/>
      <x:c r="AD8" s="82" t="s"/>
      <x:c r="AE8" s="82" t="s"/>
      <x:c r="AF8" s="82" t="s"/>
      <x:c r="AG8" s="82" t="s"/>
      <x:c r="AH8" s="82" t="s"/>
      <x:c r="AI8" s="82" t="s"/>
      <x:c r="AJ8" s="82" t="s"/>
      <x:c r="AK8" s="82" t="s"/>
      <x:c r="AL8" s="82" t="s"/>
      <x:c r="AM8" s="82" t="s"/>
      <x:c r="AN8" s="82" t="s"/>
      <x:c r="AO8" s="82" t="s"/>
      <x:c r="AP8" s="82" t="s"/>
      <x:c r="AQ8" s="82" t="s"/>
      <x:c r="AR8" s="82" t="s"/>
      <x:c r="AS8" s="82" t="s"/>
      <x:c r="AT8" s="82" t="s"/>
      <x:c r="AU8" s="82" t="s"/>
      <x:c r="AV8" s="82" t="s"/>
      <x:c r="AW8" s="82" t="s"/>
      <x:c r="AX8" s="82" t="s"/>
      <x:c r="AY8" s="82" t="s"/>
      <x:c r="AZ8" s="82" t="s"/>
      <x:c r="BA8" s="82" t="s"/>
      <x:c r="BB8" s="82" t="s"/>
      <x:c r="BC8" s="82" t="s"/>
      <x:c r="BD8" s="82" t="s"/>
      <x:c r="BE8" s="82" t="s"/>
      <x:c r="BF8" s="82" t="s"/>
      <x:c r="BG8" s="82" t="s"/>
      <x:c r="BH8" s="82" t="s"/>
      <x:c r="BI8" s="82" t="s"/>
      <x:c r="BJ8" s="82" t="s"/>
      <x:c r="BK8" s="82" t="s"/>
      <x:c r="BL8" s="82" t="s"/>
      <x:c r="BM8" s="82" t="s"/>
      <x:c r="BN8" s="82" t="s"/>
      <x:c r="BO8" s="82" t="s"/>
      <x:c r="BP8" s="82" t="s"/>
      <x:c r="BQ8" s="82" t="s"/>
      <x:c r="BR8" s="82" t="s"/>
    </x:row>
    <x:row r="9" spans="1:70" customFormat="1" ht="15" customHeight="1" x14ac:dyDescent="0.25">
      <x:c r="A9" s="82" t="s">
        <x:v>106</x:v>
      </x:c>
      <x:c r="B9" s="82" t="s">
        <x:v>107</x:v>
      </x:c>
      <x:c r="C9" s="82" t="s">
        <x:v>115</x:v>
      </x:c>
      <x:c r="D9" s="85">
        <x:v>42107</x:v>
      </x:c>
      <x:c r="E9" s="82" t="n">
        <x:v>29664</x:v>
      </x:c>
      <x:c r="F9" s="101" t="n">
        <x:v>-7.372</x:v>
      </x:c>
      <x:c r="G9" s="101" t="n">
        <x:v>-7.557</x:v>
      </x:c>
      <x:c r="K9" s="82" t="s"/>
      <x:c r="L9" s="82" t="s"/>
      <x:c r="M9" s="82" t="s"/>
      <x:c r="N9" s="82" t="s"/>
      <x:c r="O9" s="82" t="s"/>
      <x:c r="P9" s="82" t="s"/>
      <x:c r="Q9" s="82" t="s"/>
      <x:c r="R9" s="82" t="s"/>
      <x:c r="S9" s="82" t="s"/>
      <x:c r="T9" s="82" t="s"/>
      <x:c r="U9" s="82" t="s"/>
      <x:c r="V9" s="82" t="s"/>
      <x:c r="W9" s="82" t="s"/>
      <x:c r="X9" s="82" t="s"/>
      <x:c r="Y9" s="82" t="s"/>
      <x:c r="Z9" s="82" t="s"/>
      <x:c r="AA9" s="82" t="s"/>
      <x:c r="AB9" s="82" t="s"/>
      <x:c r="AC9" s="82" t="s"/>
      <x:c r="AD9" s="82" t="s"/>
      <x:c r="AE9" s="82" t="s"/>
      <x:c r="AF9" s="82" t="s"/>
      <x:c r="AG9" s="82" t="s"/>
      <x:c r="AH9" s="82" t="s"/>
      <x:c r="AI9" s="82" t="s"/>
      <x:c r="AJ9" s="82" t="s"/>
      <x:c r="AK9" s="82" t="s"/>
      <x:c r="AL9" s="82" t="s"/>
      <x:c r="AM9" s="82" t="s"/>
      <x:c r="AN9" s="82" t="s"/>
      <x:c r="AO9" s="82" t="s"/>
      <x:c r="AP9" s="82" t="s"/>
      <x:c r="AQ9" s="82" t="s"/>
      <x:c r="AR9" s="82" t="s"/>
      <x:c r="AS9" s="82" t="s"/>
      <x:c r="AT9" s="82" t="s"/>
      <x:c r="AU9" s="82" t="s"/>
      <x:c r="AV9" s="82" t="s"/>
      <x:c r="AW9" s="82" t="s"/>
      <x:c r="AX9" s="82" t="s"/>
      <x:c r="AY9" s="82" t="s"/>
      <x:c r="AZ9" s="82" t="s"/>
      <x:c r="BA9" s="82" t="s"/>
      <x:c r="BB9" s="82" t="s"/>
      <x:c r="BC9" s="82" t="s"/>
      <x:c r="BD9" s="82" t="s"/>
      <x:c r="BE9" s="82" t="s"/>
      <x:c r="BF9" s="82" t="s"/>
      <x:c r="BG9" s="82" t="s"/>
      <x:c r="BH9" s="82" t="s"/>
      <x:c r="BI9" s="82" t="s"/>
      <x:c r="BJ9" s="82" t="s"/>
      <x:c r="BK9" s="82" t="s"/>
      <x:c r="BL9" s="82" t="s"/>
      <x:c r="BM9" s="82" t="s"/>
      <x:c r="BN9" s="82" t="s"/>
      <x:c r="BO9" s="82" t="s"/>
      <x:c r="BP9" s="82" t="s"/>
      <x:c r="BQ9" s="82" t="s"/>
      <x:c r="BR9" s="82" t="s"/>
    </x:row>
    <x:row r="10" spans="1:70" customFormat="1" ht="15" customHeight="1" x14ac:dyDescent="0.25">
      <x:c r="A10" s="82" t="s">
        <x:v>106</x:v>
      </x:c>
      <x:c r="B10" s="82" t="s">
        <x:v>107</x:v>
      </x:c>
      <x:c r="C10" s="82" t="s">
        <x:v>116</x:v>
      </x:c>
      <x:c r="D10" s="85">
        <x:v>42107</x:v>
      </x:c>
      <x:c r="E10" s="82" t="n">
        <x:v>29664</x:v>
      </x:c>
      <x:c r="F10" s="101" t="n">
        <x:v>0.78</x:v>
      </x:c>
      <x:c r="G10" s="101" t="n">
        <x:v>0.728</x:v>
      </x:c>
      <x:c r="K10" s="82" t="s"/>
      <x:c r="L10" s="82" t="s"/>
      <x:c r="M10" s="82" t="s"/>
      <x:c r="N10" s="82" t="s"/>
      <x:c r="O10" s="82" t="s"/>
      <x:c r="P10" s="82" t="s"/>
      <x:c r="Q10" s="82" t="s"/>
      <x:c r="R10" s="82" t="s"/>
      <x:c r="S10" s="82" t="s"/>
      <x:c r="T10" s="82" t="s"/>
      <x:c r="U10" s="82" t="s"/>
      <x:c r="V10" s="82" t="s"/>
      <x:c r="W10" s="82" t="s"/>
      <x:c r="X10" s="82" t="s"/>
      <x:c r="Y10" s="82" t="s"/>
      <x:c r="Z10" s="82" t="s"/>
      <x:c r="AA10" s="82" t="s"/>
      <x:c r="AB10" s="82" t="s"/>
      <x:c r="AC10" s="82" t="s"/>
      <x:c r="AD10" s="82" t="s"/>
      <x:c r="AE10" s="82" t="s"/>
      <x:c r="AF10" s="82" t="s"/>
      <x:c r="AG10" s="82" t="s"/>
      <x:c r="AH10" s="82" t="s"/>
      <x:c r="AI10" s="82" t="s"/>
      <x:c r="AJ10" s="82" t="s"/>
      <x:c r="AK10" s="82" t="s"/>
      <x:c r="AL10" s="82" t="s"/>
      <x:c r="AM10" s="82" t="s"/>
      <x:c r="AN10" s="82" t="s"/>
      <x:c r="AO10" s="82" t="s"/>
      <x:c r="AP10" s="82" t="s"/>
      <x:c r="AQ10" s="82" t="s"/>
      <x:c r="AR10" s="82" t="s"/>
      <x:c r="AS10" s="82" t="s"/>
      <x:c r="AT10" s="82" t="s"/>
      <x:c r="AU10" s="82" t="s"/>
      <x:c r="AV10" s="82" t="s"/>
      <x:c r="AW10" s="82" t="s"/>
      <x:c r="AX10" s="82" t="s"/>
      <x:c r="AY10" s="82" t="s"/>
      <x:c r="AZ10" s="82" t="s"/>
      <x:c r="BA10" s="82" t="s"/>
      <x:c r="BB10" s="82" t="s"/>
      <x:c r="BC10" s="82" t="s"/>
      <x:c r="BD10" s="82" t="s"/>
      <x:c r="BE10" s="82" t="s"/>
      <x:c r="BF10" s="82" t="s"/>
      <x:c r="BG10" s="82" t="s"/>
      <x:c r="BH10" s="82" t="s"/>
      <x:c r="BI10" s="82" t="s"/>
      <x:c r="BJ10" s="82" t="s"/>
      <x:c r="BK10" s="82" t="s"/>
      <x:c r="BL10" s="82" t="s"/>
      <x:c r="BM10" s="82" t="s"/>
      <x:c r="BN10" s="82" t="s"/>
      <x:c r="BO10" s="82" t="s"/>
      <x:c r="BP10" s="82" t="s"/>
      <x:c r="BQ10" s="82" t="s"/>
      <x:c r="BR10" s="82" t="s"/>
    </x:row>
    <x:row r="11" spans="1:70" customFormat="1" ht="15" customHeight="1" x14ac:dyDescent="0.25">
      <x:c r="A11" s="82" t="s">
        <x:v>106</x:v>
      </x:c>
      <x:c r="B11" s="82" t="s">
        <x:v>107</x:v>
      </x:c>
      <x:c r="C11" s="82" t="s">
        <x:v>17</x:v>
      </x:c>
      <x:c r="D11" s="85">
        <x:v>42107</x:v>
      </x:c>
      <x:c r="E11" s="82" t="n">
        <x:v>29664</x:v>
      </x:c>
      <x:c r="F11" s="102" t="n">
        <x:v>34.1144963007772</x:v>
      </x:c>
      <x:c r="G11" s="102" t="n">
        <x:v>33.2746820335427</x:v>
      </x:c>
      <x:c r="K11" s="82" t="s"/>
      <x:c r="L11" s="82" t="s"/>
      <x:c r="M11" s="82" t="s"/>
      <x:c r="N11" s="82" t="s"/>
      <x:c r="O11" s="82" t="s"/>
      <x:c r="P11" s="82" t="s"/>
      <x:c r="Q11" s="82" t="s"/>
      <x:c r="R11" s="82" t="s"/>
      <x:c r="S11" s="82" t="s"/>
      <x:c r="T11" s="82" t="s"/>
      <x:c r="U11" s="82" t="s"/>
      <x:c r="V11" s="82" t="s"/>
      <x:c r="W11" s="82" t="s"/>
      <x:c r="X11" s="82" t="s"/>
      <x:c r="Y11" s="82" t="s"/>
      <x:c r="Z11" s="82" t="s"/>
      <x:c r="AA11" s="82" t="s"/>
      <x:c r="AB11" s="82" t="s"/>
      <x:c r="AC11" s="82" t="s"/>
      <x:c r="AD11" s="82" t="s"/>
      <x:c r="AE11" s="82" t="s"/>
      <x:c r="AF11" s="82" t="s"/>
      <x:c r="AG11" s="82" t="s"/>
      <x:c r="AH11" s="82" t="s"/>
      <x:c r="AI11" s="82" t="s"/>
      <x:c r="AJ11" s="82" t="s"/>
      <x:c r="AK11" s="82" t="s"/>
      <x:c r="AL11" s="82" t="s"/>
      <x:c r="AM11" s="82" t="s"/>
      <x:c r="AN11" s="82" t="s"/>
      <x:c r="AO11" s="82" t="s"/>
      <x:c r="AP11" s="82" t="s"/>
      <x:c r="AQ11" s="82" t="s"/>
      <x:c r="AR11" s="82" t="s"/>
      <x:c r="AS11" s="82" t="s"/>
      <x:c r="AT11" s="82" t="s"/>
      <x:c r="AU11" s="82" t="s"/>
      <x:c r="AV11" s="82" t="s"/>
      <x:c r="AW11" s="82" t="s"/>
      <x:c r="AX11" s="82" t="s"/>
      <x:c r="AY11" s="82" t="s"/>
      <x:c r="AZ11" s="82" t="s"/>
      <x:c r="BA11" s="82" t="s"/>
      <x:c r="BB11" s="82" t="s"/>
      <x:c r="BC11" s="82" t="s"/>
      <x:c r="BD11" s="82" t="s"/>
      <x:c r="BE11" s="82" t="s"/>
      <x:c r="BF11" s="82" t="s"/>
      <x:c r="BG11" s="82" t="s"/>
      <x:c r="BH11" s="82" t="s"/>
      <x:c r="BI11" s="82" t="s"/>
      <x:c r="BJ11" s="82" t="s"/>
      <x:c r="BK11" s="82" t="s"/>
      <x:c r="BL11" s="82" t="s"/>
      <x:c r="BM11" s="82" t="s"/>
      <x:c r="BN11" s="82" t="s"/>
      <x:c r="BO11" s="82" t="s"/>
      <x:c r="BP11" s="82" t="s"/>
      <x:c r="BQ11" s="82" t="s"/>
      <x:c r="BR11" s="82" t="s"/>
    </x:row>
    <x:row r="12" spans="1:70" customFormat="1" ht="15" customHeight="1" x14ac:dyDescent="0.25">
      <x:c r="A12" s="82" t="s">
        <x:v>106</x:v>
      </x:c>
      <x:c r="B12" s="82" t="s">
        <x:v>107</x:v>
      </x:c>
      <x:c r="C12" s="82" t="s">
        <x:v>18</x:v>
      </x:c>
      <x:c r="D12" s="85">
        <x:v>42107</x:v>
      </x:c>
      <x:c r="E12" s="82" t="n">
        <x:v>29664</x:v>
      </x:c>
      <x:c r="F12" s="102" t="n">
        <x:v>0.0633153961557362</x:v>
      </x:c>
      <x:c r="G12" s="102" t="n">
        <x:v>0.0617332303770367</x:v>
      </x:c>
      <x:c r="K12" s="82" t="s"/>
      <x:c r="L12" s="82" t="s"/>
      <x:c r="M12" s="82" t="s"/>
      <x:c r="N12" s="82" t="s"/>
      <x:c r="O12" s="82" t="s"/>
      <x:c r="P12" s="82" t="s"/>
      <x:c r="Q12" s="82" t="s"/>
      <x:c r="R12" s="82" t="s"/>
      <x:c r="S12" s="82" t="s"/>
      <x:c r="T12" s="82" t="s"/>
      <x:c r="U12" s="82" t="s"/>
      <x:c r="V12" s="82" t="s"/>
      <x:c r="W12" s="82" t="s"/>
      <x:c r="X12" s="82" t="s"/>
      <x:c r="Y12" s="82" t="s"/>
      <x:c r="Z12" s="82" t="s"/>
      <x:c r="AA12" s="82" t="s"/>
      <x:c r="AB12" s="82" t="s"/>
      <x:c r="AC12" s="82" t="s"/>
      <x:c r="AD12" s="82" t="s"/>
      <x:c r="AE12" s="82" t="s"/>
      <x:c r="AF12" s="82" t="s"/>
      <x:c r="AG12" s="82" t="s"/>
      <x:c r="AH12" s="82" t="s"/>
      <x:c r="AI12" s="82" t="s"/>
      <x:c r="AJ12" s="82" t="s"/>
      <x:c r="AK12" s="82" t="s"/>
      <x:c r="AL12" s="82" t="s"/>
      <x:c r="AM12" s="82" t="s"/>
      <x:c r="AN12" s="82" t="s"/>
      <x:c r="AO12" s="82" t="s"/>
      <x:c r="AP12" s="82" t="s"/>
      <x:c r="AQ12" s="82" t="s"/>
      <x:c r="AR12" s="82" t="s"/>
      <x:c r="AS12" s="82" t="s"/>
      <x:c r="AT12" s="82" t="s"/>
      <x:c r="AU12" s="82" t="s"/>
      <x:c r="AV12" s="82" t="s"/>
      <x:c r="AW12" s="82" t="s"/>
      <x:c r="AX12" s="82" t="s"/>
      <x:c r="AY12" s="82" t="s"/>
      <x:c r="AZ12" s="82" t="s"/>
      <x:c r="BA12" s="82" t="s"/>
      <x:c r="BB12" s="82" t="s"/>
      <x:c r="BC12" s="82" t="s"/>
      <x:c r="BD12" s="82" t="s"/>
      <x:c r="BE12" s="82" t="s"/>
      <x:c r="BF12" s="82" t="s"/>
      <x:c r="BG12" s="82" t="s"/>
      <x:c r="BH12" s="82" t="s"/>
      <x:c r="BI12" s="82" t="s"/>
      <x:c r="BJ12" s="82" t="s"/>
      <x:c r="BK12" s="82" t="s"/>
      <x:c r="BL12" s="82" t="s"/>
      <x:c r="BM12" s="82" t="s"/>
      <x:c r="BN12" s="82" t="s"/>
      <x:c r="BO12" s="82" t="s"/>
      <x:c r="BP12" s="82" t="s"/>
      <x:c r="BQ12" s="82" t="s"/>
      <x:c r="BR12" s="82" t="s"/>
    </x:row>
    <x:row r="13" spans="1:70" customFormat="1" ht="15" customHeight="1" x14ac:dyDescent="0.25">
      <x:c r="A13" s="82" t="s">
        <x:v>106</x:v>
      </x:c>
      <x:c r="B13" s="82" t="s">
        <x:v>107</x:v>
      </x:c>
      <x:c r="C13" s="82" t="s">
        <x:v>19</x:v>
      </x:c>
      <x:c r="D13" s="85">
        <x:v>42107</x:v>
      </x:c>
      <x:c r="E13" s="82" t="n">
        <x:v>29664</x:v>
      </x:c>
      <x:c r="F13" s="102" t="n">
        <x:v>110.642868716665</x:v>
      </x:c>
      <x:c r="G13" s="102" t="n">
        <x:v>112.404868320152</x:v>
      </x:c>
      <x:c r="K13" s="82" t="s"/>
      <x:c r="L13" s="82" t="s"/>
      <x:c r="M13" s="82" t="s"/>
      <x:c r="N13" s="82" t="s"/>
      <x:c r="O13" s="82" t="s"/>
      <x:c r="P13" s="82" t="s"/>
      <x:c r="Q13" s="82" t="s"/>
      <x:c r="R13" s="82" t="s"/>
      <x:c r="S13" s="82" t="s"/>
      <x:c r="T13" s="82" t="s"/>
      <x:c r="U13" s="82" t="s"/>
      <x:c r="V13" s="82" t="s"/>
      <x:c r="W13" s="82" t="s"/>
      <x:c r="X13" s="82" t="s"/>
      <x:c r="Y13" s="82" t="s"/>
      <x:c r="Z13" s="82" t="s"/>
      <x:c r="AA13" s="82" t="s"/>
      <x:c r="AB13" s="82" t="s"/>
      <x:c r="AC13" s="82" t="s"/>
      <x:c r="AD13" s="82" t="s"/>
      <x:c r="AE13" s="82" t="s"/>
      <x:c r="AF13" s="82" t="s"/>
      <x:c r="AG13" s="82" t="s"/>
      <x:c r="AH13" s="82" t="s"/>
      <x:c r="AI13" s="82" t="s"/>
      <x:c r="AJ13" s="82" t="s"/>
      <x:c r="AK13" s="82" t="s"/>
      <x:c r="AL13" s="82" t="s"/>
      <x:c r="AM13" s="82" t="s"/>
      <x:c r="AN13" s="82" t="s"/>
      <x:c r="AO13" s="82" t="s"/>
      <x:c r="AP13" s="82" t="s"/>
      <x:c r="AQ13" s="82" t="s"/>
      <x:c r="AR13" s="82" t="s"/>
      <x:c r="AS13" s="82" t="s"/>
      <x:c r="AT13" s="82" t="s"/>
      <x:c r="AU13" s="82" t="s"/>
      <x:c r="AV13" s="82" t="s"/>
      <x:c r="AW13" s="82" t="s"/>
      <x:c r="AX13" s="82" t="s"/>
      <x:c r="AY13" s="82" t="s"/>
      <x:c r="AZ13" s="82" t="s"/>
      <x:c r="BA13" s="82" t="s"/>
      <x:c r="BB13" s="82" t="s"/>
      <x:c r="BC13" s="82" t="s"/>
      <x:c r="BD13" s="82" t="s"/>
      <x:c r="BE13" s="82" t="s"/>
      <x:c r="BF13" s="82" t="s"/>
      <x:c r="BG13" s="82" t="s"/>
      <x:c r="BH13" s="82" t="s"/>
      <x:c r="BI13" s="82" t="s"/>
      <x:c r="BJ13" s="82" t="s"/>
      <x:c r="BK13" s="82" t="s"/>
      <x:c r="BL13" s="82" t="s"/>
      <x:c r="BM13" s="82" t="s"/>
      <x:c r="BN13" s="82" t="s"/>
      <x:c r="BO13" s="82" t="s"/>
      <x:c r="BP13" s="82" t="s"/>
      <x:c r="BQ13" s="82" t="s"/>
      <x:c r="BR13" s="82" t="s"/>
    </x:row>
    <x:row r="14" spans="1:70" customFormat="1" ht="15" customHeight="1" x14ac:dyDescent="0.25">
      <x:c r="A14" s="82" t="s">
        <x:v>106</x:v>
      </x:c>
      <x:c r="B14" s="82" t="s">
        <x:v>107</x:v>
      </x:c>
      <x:c r="C14" s="82" t="s">
        <x:v>20</x:v>
      </x:c>
      <x:c r="D14" s="85">
        <x:v>42107</x:v>
      </x:c>
      <x:c r="E14" s="82" t="n">
        <x:v>29664</x:v>
      </x:c>
      <x:c r="F14" s="102" t="n">
        <x:v>0.53639345152523</x:v>
      </x:c>
      <x:c r="G14" s="102" t="n">
        <x:v>0.53449899830704</x:v>
      </x:c>
      <x:c r="K14" s="82" t="s"/>
      <x:c r="L14" s="82" t="s"/>
      <x:c r="M14" s="82" t="s"/>
      <x:c r="N14" s="82" t="s"/>
      <x:c r="O14" s="82" t="s"/>
      <x:c r="P14" s="82" t="s"/>
      <x:c r="Q14" s="82" t="s"/>
      <x:c r="R14" s="82" t="s"/>
      <x:c r="S14" s="82" t="s"/>
      <x:c r="T14" s="82" t="s"/>
      <x:c r="U14" s="82" t="s"/>
      <x:c r="V14" s="82" t="s"/>
      <x:c r="W14" s="82" t="s"/>
      <x:c r="X14" s="82" t="s"/>
      <x:c r="Y14" s="82" t="s"/>
      <x:c r="Z14" s="82" t="s"/>
      <x:c r="AA14" s="82" t="s"/>
      <x:c r="AB14" s="82" t="s"/>
      <x:c r="AC14" s="82" t="s"/>
      <x:c r="AD14" s="82" t="s"/>
      <x:c r="AE14" s="82" t="s"/>
      <x:c r="AF14" s="82" t="s"/>
      <x:c r="AG14" s="82" t="s"/>
      <x:c r="AH14" s="82" t="s"/>
      <x:c r="AI14" s="82" t="s"/>
      <x:c r="AJ14" s="82" t="s"/>
      <x:c r="AK14" s="82" t="s"/>
      <x:c r="AL14" s="82" t="s"/>
      <x:c r="AM14" s="82" t="s"/>
      <x:c r="AN14" s="82" t="s"/>
      <x:c r="AO14" s="82" t="s"/>
      <x:c r="AP14" s="82" t="s"/>
      <x:c r="AQ14" s="82" t="s"/>
      <x:c r="AR14" s="82" t="s"/>
      <x:c r="AS14" s="82" t="s"/>
      <x:c r="AT14" s="82" t="s"/>
      <x:c r="AU14" s="82" t="s"/>
      <x:c r="AV14" s="82" t="s"/>
      <x:c r="AW14" s="82" t="s"/>
      <x:c r="AX14" s="82" t="s"/>
      <x:c r="AY14" s="82" t="s"/>
      <x:c r="AZ14" s="82" t="s"/>
      <x:c r="BA14" s="82" t="s"/>
      <x:c r="BB14" s="82" t="s"/>
      <x:c r="BC14" s="82" t="s"/>
      <x:c r="BD14" s="82" t="s"/>
      <x:c r="BE14" s="82" t="s"/>
      <x:c r="BF14" s="82" t="s"/>
      <x:c r="BG14" s="82" t="s"/>
      <x:c r="BH14" s="82" t="s"/>
      <x:c r="BI14" s="82" t="s"/>
      <x:c r="BJ14" s="82" t="s"/>
      <x:c r="BK14" s="82" t="s"/>
      <x:c r="BL14" s="82" t="s"/>
      <x:c r="BM14" s="82" t="s"/>
      <x:c r="BN14" s="82" t="s"/>
      <x:c r="BO14" s="82" t="s"/>
      <x:c r="BP14" s="82" t="s"/>
      <x:c r="BQ14" s="82" t="s"/>
      <x:c r="BR14" s="82" t="s"/>
    </x:row>
    <x:row r="15" spans="1:70" customFormat="1" ht="15" customHeight="1" x14ac:dyDescent="0.25">
      <x:c r="A15" s="82" t="s">
        <x:v>106</x:v>
      </x:c>
      <x:c r="B15" s="82" t="s">
        <x:v>107</x:v>
      </x:c>
      <x:c r="C15" s="82" t="s">
        <x:v>21</x:v>
      </x:c>
      <x:c r="D15" s="85">
        <x:v>42107</x:v>
      </x:c>
      <x:c r="E15" s="82" t="n">
        <x:v>29664</x:v>
      </x:c>
      <x:c r="F15" s="102" t="n">
        <x:v>119.5125</x:v>
      </x:c>
      <x:c r="G15" s="102" t="n">
        <x:v>118.994557823129</x:v>
      </x:c>
      <x:c r="K15" s="82" t="s"/>
      <x:c r="L15" s="82" t="s"/>
      <x:c r="M15" s="82" t="s"/>
      <x:c r="N15" s="82" t="s"/>
      <x:c r="O15" s="82" t="s"/>
      <x:c r="P15" s="82" t="s"/>
      <x:c r="Q15" s="82" t="s"/>
      <x:c r="R15" s="82" t="s"/>
      <x:c r="S15" s="82" t="s"/>
      <x:c r="T15" s="82" t="s"/>
      <x:c r="U15" s="82" t="s"/>
      <x:c r="V15" s="82" t="s"/>
      <x:c r="W15" s="82" t="s"/>
      <x:c r="X15" s="82" t="s"/>
      <x:c r="Y15" s="82" t="s"/>
      <x:c r="Z15" s="82" t="s"/>
      <x:c r="AA15" s="82" t="s"/>
      <x:c r="AB15" s="82" t="s"/>
      <x:c r="AC15" s="82" t="s"/>
      <x:c r="AD15" s="82" t="s"/>
      <x:c r="AE15" s="82" t="s"/>
      <x:c r="AF15" s="82" t="s"/>
      <x:c r="AG15" s="82" t="s"/>
      <x:c r="AH15" s="82" t="s"/>
      <x:c r="AI15" s="82" t="s"/>
      <x:c r="AJ15" s="82" t="s"/>
      <x:c r="AK15" s="82" t="s"/>
      <x:c r="AL15" s="82" t="s"/>
      <x:c r="AM15" s="82" t="s"/>
      <x:c r="AN15" s="82" t="s"/>
      <x:c r="AO15" s="82" t="s"/>
      <x:c r="AP15" s="82" t="s"/>
      <x:c r="AQ15" s="82" t="s"/>
      <x:c r="AR15" s="82" t="s"/>
      <x:c r="AS15" s="82" t="s"/>
      <x:c r="AT15" s="82" t="s"/>
      <x:c r="AU15" s="82" t="s"/>
      <x:c r="AV15" s="82" t="s"/>
      <x:c r="AW15" s="82" t="s"/>
      <x:c r="AX15" s="82" t="s"/>
      <x:c r="AY15" s="82" t="s"/>
      <x:c r="AZ15" s="82" t="s"/>
      <x:c r="BA15" s="82" t="s"/>
      <x:c r="BB15" s="82" t="s"/>
      <x:c r="BC15" s="82" t="s"/>
      <x:c r="BD15" s="82" t="s"/>
      <x:c r="BE15" s="82" t="s"/>
      <x:c r="BF15" s="82" t="s"/>
      <x:c r="BG15" s="82" t="s"/>
      <x:c r="BH15" s="82" t="s"/>
      <x:c r="BI15" s="82" t="s"/>
      <x:c r="BJ15" s="82" t="s"/>
      <x:c r="BK15" s="82" t="s"/>
      <x:c r="BL15" s="82" t="s"/>
      <x:c r="BM15" s="82" t="s"/>
      <x:c r="BN15" s="82" t="s"/>
      <x:c r="BO15" s="82" t="s"/>
      <x:c r="BP15" s="82" t="s"/>
      <x:c r="BQ15" s="82" t="s"/>
      <x:c r="BR15" s="82" t="s"/>
    </x:row>
    <x:row r="16" spans="1:70" customFormat="1" ht="15" customHeight="1" x14ac:dyDescent="0.25">
      <x:c r="A16" s="82" t="s">
        <x:v>106</x:v>
      </x:c>
      <x:c r="B16" s="82" t="s">
        <x:v>107</x:v>
      </x:c>
      <x:c r="C16" s="82" t="s">
        <x:v>22</x:v>
      </x:c>
      <x:c r="D16" s="85">
        <x:v>42107</x:v>
      </x:c>
      <x:c r="E16" s="82" t="n">
        <x:v>29664</x:v>
      </x:c>
      <x:c r="F16" s="102" t="n">
        <x:v>0.62127</x:v>
      </x:c>
      <x:c r="G16" s="102" t="n">
        <x:v>0.637765918367348</x:v>
      </x:c>
      <x:c r="K16" s="82" t="s"/>
      <x:c r="L16" s="82" t="s"/>
      <x:c r="M16" s="82" t="s"/>
      <x:c r="N16" s="82" t="s"/>
      <x:c r="O16" s="82" t="s"/>
      <x:c r="P16" s="82" t="s"/>
      <x:c r="Q16" s="82" t="s"/>
      <x:c r="R16" s="82" t="s"/>
      <x:c r="S16" s="82" t="s"/>
      <x:c r="T16" s="82" t="s"/>
      <x:c r="U16" s="82" t="s"/>
      <x:c r="V16" s="82" t="s"/>
      <x:c r="W16" s="82" t="s"/>
      <x:c r="X16" s="82" t="s"/>
      <x:c r="Y16" s="82" t="s"/>
      <x:c r="Z16" s="82" t="s"/>
      <x:c r="AA16" s="82" t="s"/>
      <x:c r="AB16" s="82" t="s"/>
      <x:c r="AC16" s="82" t="s"/>
      <x:c r="AD16" s="82" t="s"/>
      <x:c r="AE16" s="82" t="s"/>
      <x:c r="AF16" s="82" t="s"/>
      <x:c r="AG16" s="82" t="s"/>
      <x:c r="AH16" s="82" t="s"/>
      <x:c r="AI16" s="82" t="s"/>
      <x:c r="AJ16" s="82" t="s"/>
      <x:c r="AK16" s="82" t="s"/>
      <x:c r="AL16" s="82" t="s"/>
      <x:c r="AM16" s="82" t="s"/>
      <x:c r="AN16" s="82" t="s"/>
      <x:c r="AO16" s="82" t="s"/>
      <x:c r="AP16" s="82" t="s"/>
      <x:c r="AQ16" s="82" t="s"/>
      <x:c r="AR16" s="82" t="s"/>
      <x:c r="AS16" s="82" t="s"/>
      <x:c r="AT16" s="82" t="s"/>
      <x:c r="AU16" s="82" t="s"/>
      <x:c r="AV16" s="82" t="s"/>
      <x:c r="AW16" s="82" t="s"/>
      <x:c r="AX16" s="82" t="s"/>
      <x:c r="AY16" s="82" t="s"/>
      <x:c r="AZ16" s="82" t="s"/>
      <x:c r="BA16" s="82" t="s"/>
      <x:c r="BB16" s="82" t="s"/>
      <x:c r="BC16" s="82" t="s"/>
      <x:c r="BD16" s="82" t="s"/>
      <x:c r="BE16" s="82" t="s"/>
      <x:c r="BF16" s="82" t="s"/>
      <x:c r="BG16" s="82" t="s"/>
      <x:c r="BH16" s="82" t="s"/>
      <x:c r="BI16" s="82" t="s"/>
      <x:c r="BJ16" s="82" t="s"/>
      <x:c r="BK16" s="82" t="s"/>
      <x:c r="BL16" s="82" t="s"/>
      <x:c r="BM16" s="82" t="s"/>
      <x:c r="BN16" s="82" t="s"/>
      <x:c r="BO16" s="82" t="s"/>
      <x:c r="BP16" s="82" t="s"/>
      <x:c r="BQ16" s="82" t="s"/>
      <x:c r="BR16" s="82" t="s"/>
    </x:row>
    <x:row r="17" spans="1:70" customFormat="1" ht="15" customHeight="1" x14ac:dyDescent="0.25">
      <x:c r="A17" s="82" t="s">
        <x:v>106</x:v>
      </x:c>
      <x:c r="B17" s="82" t="s">
        <x:v>107</x:v>
      </x:c>
      <x:c r="C17" s="82" t="s">
        <x:v>23</x:v>
      </x:c>
      <x:c r="D17" s="85">
        <x:v>42107</x:v>
      </x:c>
      <x:c r="E17" s="82" t="n">
        <x:v>29664</x:v>
      </x:c>
      <x:c r="F17" s="102" t="n">
        <x:v>656.08</x:v>
      </x:c>
      <x:c r="G17" s="102" t="n">
        <x:v>673.66</x:v>
      </x:c>
      <x:c r="K17" s="82" t="s"/>
      <x:c r="L17" s="82" t="s"/>
      <x:c r="M17" s="82" t="s"/>
      <x:c r="N17" s="82" t="s"/>
      <x:c r="O17" s="82" t="s"/>
      <x:c r="P17" s="82" t="s"/>
      <x:c r="Q17" s="82" t="s"/>
      <x:c r="R17" s="82" t="s"/>
      <x:c r="S17" s="82" t="s"/>
      <x:c r="T17" s="82" t="s"/>
      <x:c r="U17" s="82" t="s"/>
      <x:c r="V17" s="82" t="s"/>
      <x:c r="W17" s="82" t="s"/>
      <x:c r="X17" s="82" t="s"/>
      <x:c r="Y17" s="82" t="s"/>
      <x:c r="Z17" s="82" t="s"/>
      <x:c r="AA17" s="82" t="s"/>
      <x:c r="AB17" s="82" t="s"/>
      <x:c r="AC17" s="82" t="s"/>
      <x:c r="AD17" s="82" t="s"/>
      <x:c r="AE17" s="82" t="s"/>
      <x:c r="AF17" s="82" t="s"/>
      <x:c r="AG17" s="82" t="s"/>
      <x:c r="AH17" s="82" t="s"/>
      <x:c r="AI17" s="82" t="s"/>
      <x:c r="AJ17" s="82" t="s"/>
      <x:c r="AK17" s="82" t="s"/>
      <x:c r="AL17" s="82" t="s"/>
      <x:c r="AM17" s="82" t="s"/>
      <x:c r="AN17" s="82" t="s"/>
      <x:c r="AO17" s="82" t="s"/>
      <x:c r="AP17" s="82" t="s"/>
      <x:c r="AQ17" s="82" t="s"/>
      <x:c r="AR17" s="82" t="s"/>
      <x:c r="AS17" s="82" t="s"/>
      <x:c r="AT17" s="82" t="s"/>
      <x:c r="AU17" s="82" t="s"/>
      <x:c r="AV17" s="82" t="s"/>
      <x:c r="AW17" s="82" t="s"/>
      <x:c r="AX17" s="82" t="s"/>
      <x:c r="AY17" s="82" t="s"/>
      <x:c r="AZ17" s="82" t="s"/>
      <x:c r="BA17" s="82" t="s"/>
      <x:c r="BB17" s="82" t="s"/>
      <x:c r="BC17" s="82" t="s"/>
      <x:c r="BD17" s="82" t="s"/>
      <x:c r="BE17" s="82" t="s"/>
      <x:c r="BF17" s="82" t="s"/>
      <x:c r="BG17" s="82" t="s"/>
      <x:c r="BH17" s="82" t="s"/>
      <x:c r="BI17" s="82" t="s"/>
      <x:c r="BJ17" s="82" t="s"/>
      <x:c r="BK17" s="82" t="s"/>
      <x:c r="BL17" s="82" t="s"/>
      <x:c r="BM17" s="82" t="s"/>
      <x:c r="BN17" s="82" t="s"/>
      <x:c r="BO17" s="82" t="s"/>
      <x:c r="BP17" s="82" t="s"/>
      <x:c r="BQ17" s="82" t="s"/>
      <x:c r="BR17" s="82" t="s"/>
    </x:row>
    <x:row r="18" spans="1:70" customFormat="1" ht="15" customHeight="1" x14ac:dyDescent="0.25">
      <x:c r="A18" s="82" t="s">
        <x:v>106</x:v>
      </x:c>
      <x:c r="B18" s="82" t="s">
        <x:v>107</x:v>
      </x:c>
      <x:c r="C18" s="82" t="s">
        <x:v>24</x:v>
      </x:c>
      <x:c r="D18" s="85">
        <x:v>42107</x:v>
      </x:c>
      <x:c r="E18" s="82" t="n">
        <x:v>29664</x:v>
      </x:c>
      <x:c r="F18" s="102" t="n">
        <x:v>89.656</x:v>
      </x:c>
      <x:c r="G18" s="102" t="n">
        <x:v>93.084</x:v>
      </x:c>
      <x:c r="K18" s="82" t="s"/>
      <x:c r="L18" s="82" t="s"/>
      <x:c r="M18" s="82" t="s"/>
      <x:c r="N18" s="82" t="s"/>
      <x:c r="O18" s="82" t="s"/>
      <x:c r="P18" s="82" t="s"/>
      <x:c r="Q18" s="82" t="s"/>
      <x:c r="R18" s="82" t="s"/>
      <x:c r="S18" s="82" t="s"/>
      <x:c r="T18" s="82" t="s"/>
      <x:c r="U18" s="82" t="s"/>
      <x:c r="V18" s="82" t="s"/>
      <x:c r="W18" s="82" t="s"/>
      <x:c r="X18" s="82" t="s"/>
      <x:c r="Y18" s="82" t="s"/>
      <x:c r="Z18" s="82" t="s"/>
      <x:c r="AA18" s="82" t="s"/>
      <x:c r="AB18" s="82" t="s"/>
      <x:c r="AC18" s="82" t="s"/>
      <x:c r="AD18" s="82" t="s"/>
      <x:c r="AE18" s="82" t="s"/>
      <x:c r="AF18" s="82" t="s"/>
      <x:c r="AG18" s="82" t="s"/>
      <x:c r="AH18" s="82" t="s"/>
      <x:c r="AI18" s="82" t="s"/>
      <x:c r="AJ18" s="82" t="s"/>
      <x:c r="AK18" s="82" t="s"/>
      <x:c r="AL18" s="82" t="s"/>
      <x:c r="AM18" s="82" t="s"/>
      <x:c r="AN18" s="82" t="s"/>
      <x:c r="AO18" s="82" t="s"/>
      <x:c r="AP18" s="82" t="s"/>
      <x:c r="AQ18" s="82" t="s"/>
      <x:c r="AR18" s="82" t="s"/>
      <x:c r="AS18" s="82" t="s"/>
      <x:c r="AT18" s="82" t="s"/>
      <x:c r="AU18" s="82" t="s"/>
      <x:c r="AV18" s="82" t="s"/>
      <x:c r="AW18" s="82" t="s"/>
      <x:c r="AX18" s="82" t="s"/>
      <x:c r="AY18" s="82" t="s"/>
      <x:c r="AZ18" s="82" t="s"/>
      <x:c r="BA18" s="82" t="s"/>
      <x:c r="BB18" s="82" t="s"/>
      <x:c r="BC18" s="82" t="s"/>
      <x:c r="BD18" s="82" t="s"/>
      <x:c r="BE18" s="82" t="s"/>
      <x:c r="BF18" s="82" t="s"/>
      <x:c r="BG18" s="82" t="s"/>
      <x:c r="BH18" s="82" t="s"/>
      <x:c r="BI18" s="82" t="s"/>
      <x:c r="BJ18" s="82" t="s"/>
      <x:c r="BK18" s="82" t="s"/>
      <x:c r="BL18" s="82" t="s"/>
      <x:c r="BM18" s="82" t="s"/>
      <x:c r="BN18" s="82" t="s"/>
      <x:c r="BO18" s="82" t="s"/>
      <x:c r="BP18" s="82" t="s"/>
      <x:c r="BQ18" s="82" t="s"/>
      <x:c r="BR18" s="82" t="s"/>
    </x:row>
    <x:row r="19" spans="1:70" customFormat="1" ht="15" customHeight="1" x14ac:dyDescent="0.25">
      <x:c r="A19" s="82" t="s">
        <x:v>106</x:v>
      </x:c>
      <x:c r="B19" s="82" t="s">
        <x:v>107</x:v>
      </x:c>
      <x:c r="C19" s="82" t="s">
        <x:v>117</x:v>
      </x:c>
      <x:c r="D19" s="85">
        <x:v>42107</x:v>
      </x:c>
      <x:c r="E19" s="82" t="n">
        <x:v>29664</x:v>
      </x:c>
      <x:c r="F19" s="82" t="n">
        <x:v>1</x:v>
      </x:c>
      <x:c r="G19" s="82" t="n">
        <x:v>1</x:v>
      </x:c>
      <x:c r="K19" s="82" t="s"/>
      <x:c r="L19" s="82" t="s"/>
      <x:c r="M19" s="82" t="s"/>
      <x:c r="N19" s="82" t="s"/>
      <x:c r="O19" s="82" t="s"/>
      <x:c r="P19" s="82" t="s"/>
      <x:c r="Q19" s="82" t="s"/>
      <x:c r="R19" s="82" t="s"/>
      <x:c r="S19" s="82" t="s"/>
      <x:c r="T19" s="82" t="s"/>
      <x:c r="U19" s="82" t="s"/>
      <x:c r="V19" s="82" t="s"/>
      <x:c r="W19" s="82" t="s"/>
      <x:c r="X19" s="82" t="s"/>
      <x:c r="Y19" s="82" t="s"/>
      <x:c r="Z19" s="82" t="s"/>
      <x:c r="AA19" s="82" t="s"/>
      <x:c r="AB19" s="82" t="s"/>
      <x:c r="AC19" s="82" t="s"/>
      <x:c r="AD19" s="82" t="s"/>
      <x:c r="AE19" s="82" t="s"/>
      <x:c r="AF19" s="82" t="s"/>
      <x:c r="AG19" s="82" t="s"/>
      <x:c r="AH19" s="82" t="s"/>
      <x:c r="AI19" s="82" t="s"/>
      <x:c r="AJ19" s="82" t="s"/>
      <x:c r="AK19" s="82" t="s"/>
      <x:c r="AL19" s="82" t="s"/>
      <x:c r="AM19" s="82" t="s"/>
      <x:c r="AN19" s="82" t="s"/>
      <x:c r="AO19" s="82" t="s"/>
      <x:c r="AP19" s="82" t="s"/>
      <x:c r="AQ19" s="82" t="s"/>
      <x:c r="AR19" s="82" t="s"/>
      <x:c r="AS19" s="82" t="s"/>
      <x:c r="AT19" s="82" t="s"/>
      <x:c r="AU19" s="82" t="s"/>
      <x:c r="AV19" s="82" t="s"/>
      <x:c r="AW19" s="82" t="s"/>
      <x:c r="AX19" s="82" t="s"/>
      <x:c r="AY19" s="82" t="s"/>
      <x:c r="AZ19" s="82" t="s"/>
      <x:c r="BA19" s="82" t="s"/>
      <x:c r="BB19" s="82" t="s"/>
      <x:c r="BC19" s="82" t="s"/>
      <x:c r="BD19" s="82" t="s"/>
      <x:c r="BE19" s="82" t="s"/>
      <x:c r="BF19" s="82" t="s"/>
      <x:c r="BG19" s="82" t="s"/>
      <x:c r="BH19" s="82" t="s"/>
      <x:c r="BI19" s="82" t="s"/>
      <x:c r="BJ19" s="82" t="s"/>
      <x:c r="BK19" s="82" t="s"/>
      <x:c r="BL19" s="82" t="s"/>
      <x:c r="BM19" s="82" t="s"/>
      <x:c r="BN19" s="82" t="s"/>
      <x:c r="BO19" s="82" t="s"/>
      <x:c r="BP19" s="82" t="s"/>
      <x:c r="BQ19" s="82" t="s"/>
      <x:c r="BR19" s="82" t="s"/>
    </x:row>
    <x:row r="20" spans="1:70" customFormat="1" ht="15" customHeight="1" x14ac:dyDescent="0.25">
      <x:c r="A20" s="82" t="s">
        <x:v>106</x:v>
      </x:c>
      <x:c r="B20" s="82" t="s">
        <x:v>107</x:v>
      </x:c>
      <x:c r="C20" s="82" t="s">
        <x:v>118</x:v>
      </x:c>
      <x:c r="D20" s="85">
        <x:v>42107</x:v>
      </x:c>
      <x:c r="E20" s="82" t="n">
        <x:v>29664</x:v>
      </x:c>
      <x:c r="F20" s="90" t="n">
        <x:v>95.09</x:v>
      </x:c>
      <x:c r="G20" s="90" t="n">
        <x:v>98.68</x:v>
      </x:c>
      <x:c r="K20" s="82" t="s"/>
      <x:c r="L20" s="82" t="s"/>
      <x:c r="M20" s="82" t="s"/>
      <x:c r="N20" s="82" t="s"/>
      <x:c r="O20" s="82" t="s"/>
      <x:c r="P20" s="82" t="s"/>
      <x:c r="Q20" s="82" t="s"/>
      <x:c r="R20" s="82" t="s"/>
      <x:c r="S20" s="82" t="s"/>
      <x:c r="T20" s="82" t="s"/>
      <x:c r="U20" s="82" t="s"/>
      <x:c r="V20" s="82" t="s"/>
      <x:c r="W20" s="82" t="s"/>
      <x:c r="X20" s="82" t="s"/>
      <x:c r="Y20" s="82" t="s"/>
      <x:c r="Z20" s="82" t="s"/>
      <x:c r="AA20" s="82" t="s"/>
      <x:c r="AB20" s="82" t="s"/>
      <x:c r="AC20" s="82" t="s"/>
      <x:c r="AD20" s="82" t="s"/>
      <x:c r="AE20" s="82" t="s"/>
      <x:c r="AF20" s="82" t="s"/>
      <x:c r="AG20" s="82" t="s"/>
      <x:c r="AH20" s="82" t="s"/>
      <x:c r="AI20" s="82" t="s"/>
      <x:c r="AJ20" s="82" t="s"/>
      <x:c r="AK20" s="82" t="s"/>
      <x:c r="AL20" s="82" t="s"/>
      <x:c r="AM20" s="82" t="s"/>
      <x:c r="AN20" s="82" t="s"/>
      <x:c r="AO20" s="82" t="s"/>
      <x:c r="AP20" s="82" t="s"/>
      <x:c r="AQ20" s="82" t="s"/>
      <x:c r="AR20" s="82" t="s"/>
      <x:c r="AS20" s="82" t="s"/>
      <x:c r="AT20" s="82" t="s"/>
      <x:c r="AU20" s="82" t="s"/>
      <x:c r="AV20" s="82" t="s"/>
      <x:c r="AW20" s="82" t="s"/>
      <x:c r="AX20" s="82" t="s"/>
      <x:c r="AY20" s="82" t="s"/>
      <x:c r="AZ20" s="82" t="s"/>
      <x:c r="BA20" s="82" t="s"/>
      <x:c r="BB20" s="82" t="s"/>
      <x:c r="BC20" s="82" t="s"/>
      <x:c r="BD20" s="82" t="s"/>
      <x:c r="BE20" s="82" t="s"/>
      <x:c r="BF20" s="82" t="s"/>
      <x:c r="BG20" s="82" t="s"/>
      <x:c r="BH20" s="82" t="s"/>
      <x:c r="BI20" s="82" t="s"/>
      <x:c r="BJ20" s="82" t="s"/>
      <x:c r="BK20" s="82" t="s"/>
      <x:c r="BL20" s="82" t="s"/>
      <x:c r="BM20" s="82" t="s"/>
      <x:c r="BN20" s="82" t="s"/>
      <x:c r="BO20" s="82" t="s"/>
      <x:c r="BP20" s="82" t="s"/>
      <x:c r="BQ20" s="82" t="s"/>
      <x:c r="BR20" s="82" t="s"/>
    </x:row>
    <x:row r="21" spans="1:70" customFormat="1" ht="15" customHeight="1" x14ac:dyDescent="0.25">
      <x:c r="A21" s="82" t="s">
        <x:v>106</x:v>
      </x:c>
      <x:c r="B21" s="82" t="s">
        <x:v>107</x:v>
      </x:c>
      <x:c r="C21" s="82" t="s">
        <x:v>119</x:v>
      </x:c>
      <x:c r="D21" s="85">
        <x:v>42107</x:v>
      </x:c>
      <x:c r="E21" s="82" t="n">
        <x:v>29664</x:v>
      </x:c>
      <x:c r="F21" s="90" t="n">
        <x:v>91.9</x:v>
      </x:c>
      <x:c r="G21" s="90" t="n">
        <x:v>94.64</x:v>
      </x:c>
      <x:c r="K21" s="82" t="s"/>
      <x:c r="L21" s="82" t="s"/>
      <x:c r="M21" s="82" t="s"/>
      <x:c r="N21" s="82" t="s"/>
      <x:c r="O21" s="82" t="s"/>
      <x:c r="P21" s="82" t="s"/>
      <x:c r="Q21" s="82" t="s"/>
      <x:c r="R21" s="82" t="s"/>
      <x:c r="S21" s="82" t="s"/>
      <x:c r="T21" s="82" t="s"/>
      <x:c r="U21" s="82" t="s"/>
      <x:c r="V21" s="82" t="s"/>
      <x:c r="W21" s="82" t="s"/>
      <x:c r="X21" s="82" t="s"/>
      <x:c r="Y21" s="82" t="s"/>
      <x:c r="Z21" s="82" t="s"/>
      <x:c r="AA21" s="82" t="s"/>
      <x:c r="AB21" s="82" t="s"/>
      <x:c r="AC21" s="82" t="s"/>
      <x:c r="AD21" s="82" t="s"/>
      <x:c r="AE21" s="82" t="s"/>
      <x:c r="AF21" s="82" t="s"/>
      <x:c r="AG21" s="82" t="s"/>
      <x:c r="AH21" s="82" t="s"/>
      <x:c r="AI21" s="82" t="s"/>
      <x:c r="AJ21" s="82" t="s"/>
      <x:c r="AK21" s="82" t="s"/>
      <x:c r="AL21" s="82" t="s"/>
      <x:c r="AM21" s="82" t="s"/>
      <x:c r="AN21" s="82" t="s"/>
      <x:c r="AO21" s="82" t="s"/>
      <x:c r="AP21" s="82" t="s"/>
      <x:c r="AQ21" s="82" t="s"/>
      <x:c r="AR21" s="82" t="s"/>
      <x:c r="AS21" s="82" t="s"/>
      <x:c r="AT21" s="82" t="s"/>
      <x:c r="AU21" s="82" t="s"/>
      <x:c r="AV21" s="82" t="s"/>
      <x:c r="AW21" s="82" t="s"/>
      <x:c r="AX21" s="82" t="s"/>
      <x:c r="AY21" s="82" t="s"/>
      <x:c r="AZ21" s="82" t="s"/>
      <x:c r="BA21" s="82" t="s"/>
      <x:c r="BB21" s="82" t="s"/>
      <x:c r="BC21" s="82" t="s"/>
      <x:c r="BD21" s="82" t="s"/>
      <x:c r="BE21" s="82" t="s"/>
      <x:c r="BF21" s="82" t="s"/>
      <x:c r="BG21" s="82" t="s"/>
      <x:c r="BH21" s="82" t="s"/>
      <x:c r="BI21" s="82" t="s"/>
      <x:c r="BJ21" s="82" t="s"/>
      <x:c r="BK21" s="82" t="s"/>
      <x:c r="BL21" s="82" t="s"/>
      <x:c r="BM21" s="82" t="s"/>
      <x:c r="BN21" s="82" t="s"/>
      <x:c r="BO21" s="82" t="s"/>
      <x:c r="BP21" s="82" t="s"/>
      <x:c r="BQ21" s="82" t="s"/>
      <x:c r="BR21" s="82" t="s"/>
    </x:row>
    <x:row r="22" spans="1:70" customFormat="1" ht="15" customHeight="1" x14ac:dyDescent="0.25">
      <x:c r="A22" s="82" t="s">
        <x:v>106</x:v>
      </x:c>
      <x:c r="B22" s="82" t="s">
        <x:v>107</x:v>
      </x:c>
      <x:c r="C22" s="82" t="s">
        <x:v>120</x:v>
      </x:c>
      <x:c r="D22" s="85">
        <x:v>42107</x:v>
      </x:c>
      <x:c r="E22" s="82" t="n">
        <x:v>29664</x:v>
      </x:c>
      <x:c r="F22" s="90" t="n">
        <x:v>-3.19</x:v>
      </x:c>
      <x:c r="G22" s="90" t="n">
        <x:v>-4.04000000000001</x:v>
      </x:c>
      <x:c r="K22" s="82" t="s"/>
      <x:c r="L22" s="82" t="s"/>
      <x:c r="M22" s="82" t="s"/>
      <x:c r="N22" s="82" t="s"/>
      <x:c r="O22" s="82" t="s"/>
      <x:c r="P22" s="82" t="s"/>
      <x:c r="Q22" s="82" t="s"/>
      <x:c r="R22" s="82" t="s"/>
      <x:c r="S22" s="82" t="s"/>
      <x:c r="T22" s="82" t="s"/>
      <x:c r="U22" s="82" t="s"/>
      <x:c r="V22" s="82" t="s"/>
      <x:c r="W22" s="82" t="s"/>
      <x:c r="X22" s="82" t="s"/>
      <x:c r="Y22" s="82" t="s"/>
      <x:c r="Z22" s="82" t="s"/>
      <x:c r="AA22" s="82" t="s"/>
      <x:c r="AB22" s="82" t="s"/>
      <x:c r="AC22" s="82" t="s"/>
      <x:c r="AD22" s="82" t="s"/>
      <x:c r="AE22" s="82" t="s"/>
      <x:c r="AF22" s="82" t="s"/>
      <x:c r="AG22" s="82" t="s"/>
      <x:c r="AH22" s="82" t="s"/>
      <x:c r="AI22" s="82" t="s"/>
      <x:c r="AJ22" s="82" t="s"/>
      <x:c r="AK22" s="82" t="s"/>
      <x:c r="AL22" s="82" t="s"/>
      <x:c r="AM22" s="82" t="s"/>
      <x:c r="AN22" s="82" t="s"/>
      <x:c r="AO22" s="82" t="s"/>
      <x:c r="AP22" s="82" t="s"/>
      <x:c r="AQ22" s="82" t="s"/>
      <x:c r="AR22" s="82" t="s"/>
      <x:c r="AS22" s="82" t="s"/>
      <x:c r="AT22" s="82" t="s"/>
      <x:c r="AU22" s="82" t="s"/>
      <x:c r="AV22" s="82" t="s"/>
      <x:c r="AW22" s="82" t="s"/>
      <x:c r="AX22" s="82" t="s"/>
      <x:c r="AY22" s="82" t="s"/>
      <x:c r="AZ22" s="82" t="s"/>
      <x:c r="BA22" s="82" t="s"/>
      <x:c r="BB22" s="82" t="s"/>
      <x:c r="BC22" s="82" t="s"/>
      <x:c r="BD22" s="82" t="s"/>
      <x:c r="BE22" s="82" t="s"/>
      <x:c r="BF22" s="82" t="s"/>
      <x:c r="BG22" s="82" t="s"/>
      <x:c r="BH22" s="82" t="s"/>
      <x:c r="BI22" s="82" t="s"/>
      <x:c r="BJ22" s="82" t="s"/>
      <x:c r="BK22" s="82" t="s"/>
      <x:c r="BL22" s="82" t="s"/>
      <x:c r="BM22" s="82" t="s"/>
      <x:c r="BN22" s="82" t="s"/>
      <x:c r="BO22" s="82" t="s"/>
      <x:c r="BP22" s="82" t="s"/>
      <x:c r="BQ22" s="82" t="s"/>
      <x:c r="BR22" s="82" t="s"/>
    </x:row>
    <x:row r="23" spans="1:70" customFormat="1" ht="15" customHeight="1" thickBot="1" x14ac:dyDescent="0.3">
      <x:c r="A23" s="106" t="s">
        <x:v>106</x:v>
      </x:c>
      <x:c r="B23" s="106" t="s">
        <x:v>107</x:v>
      </x:c>
      <x:c r="C23" s="106" t="s">
        <x:v>121</x:v>
      </x:c>
      <x:c r="D23" s="105">
        <x:v>42107</x:v>
      </x:c>
      <x:c r="E23" s="106" t="n">
        <x:v>29664</x:v>
      </x:c>
      <x:c r="F23" s="126" t="n">
        <x:v>98.43</x:v>
      </x:c>
      <x:c r="G23" s="126" t="n">
        <x:v>104.1</x:v>
      </x:c>
      <x:c r="H23" s="106" t="s"/>
      <x:c r="I23" s="106" t="s"/>
      <x:c r="K23" s="82" t="s"/>
      <x:c r="L23" s="82" t="s"/>
      <x:c r="M23" s="82" t="s"/>
      <x:c r="N23" s="82" t="s"/>
      <x:c r="O23" s="82" t="s"/>
      <x:c r="P23" s="82" t="s"/>
      <x:c r="Q23" s="82" t="s"/>
      <x:c r="R23" s="82" t="s"/>
      <x:c r="S23" s="82" t="s"/>
      <x:c r="T23" s="82" t="s"/>
      <x:c r="U23" s="82" t="s"/>
      <x:c r="V23" s="82" t="s"/>
      <x:c r="W23" s="82" t="s"/>
      <x:c r="X23" s="82" t="s"/>
      <x:c r="Y23" s="82" t="s"/>
      <x:c r="Z23" s="82" t="s"/>
      <x:c r="AA23" s="82" t="s"/>
      <x:c r="AB23" s="82" t="s"/>
      <x:c r="AC23" s="82" t="s"/>
      <x:c r="AD23" s="82" t="s"/>
      <x:c r="AE23" s="82" t="s"/>
      <x:c r="AF23" s="82" t="s"/>
      <x:c r="AG23" s="82" t="s"/>
      <x:c r="AH23" s="82" t="s"/>
      <x:c r="AI23" s="82" t="s"/>
      <x:c r="AJ23" s="82" t="s"/>
      <x:c r="AK23" s="82" t="s"/>
      <x:c r="AL23" s="82" t="s"/>
      <x:c r="AM23" s="82" t="s"/>
      <x:c r="AN23" s="82" t="s"/>
      <x:c r="AO23" s="82" t="s"/>
      <x:c r="AP23" s="82" t="s"/>
      <x:c r="AQ23" s="82" t="s"/>
      <x:c r="AR23" s="82" t="s"/>
      <x:c r="AS23" s="82" t="s"/>
      <x:c r="AT23" s="82" t="s"/>
      <x:c r="AU23" s="82" t="s"/>
      <x:c r="AV23" s="82" t="s"/>
      <x:c r="AW23" s="82" t="s"/>
      <x:c r="AX23" s="82" t="s"/>
      <x:c r="AY23" s="82" t="s"/>
      <x:c r="AZ23" s="82" t="s"/>
      <x:c r="BA23" s="82" t="s"/>
      <x:c r="BB23" s="82" t="s"/>
      <x:c r="BC23" s="82" t="s"/>
      <x:c r="BD23" s="82" t="s"/>
      <x:c r="BE23" s="82" t="s"/>
      <x:c r="BF23" s="82" t="s"/>
      <x:c r="BG23" s="82" t="s"/>
      <x:c r="BH23" s="82" t="s"/>
      <x:c r="BI23" s="82" t="s"/>
      <x:c r="BJ23" s="82" t="s"/>
      <x:c r="BK23" s="82" t="s"/>
      <x:c r="BL23" s="82" t="s"/>
      <x:c r="BM23" s="82" t="s"/>
      <x:c r="BN23" s="82" t="s"/>
      <x:c r="BO23" s="82" t="s"/>
      <x:c r="BP23" s="82" t="s"/>
      <x:c r="BQ23" s="82" t="s"/>
      <x:c r="BR23" s="82" t="s"/>
    </x:row>
    <x:row r="24" spans="1:70" x14ac:dyDescent="0.25">
      <x:c r="A24" s="82" t="s">
        <x:v>106</x:v>
      </x:c>
      <x:c r="B24" s="82" t="s">
        <x:v>107</x:v>
      </x:c>
      <x:c r="C24" s="82" t="s">
        <x:v>108</x:v>
      </x:c>
      <x:c r="D24" s="85">
        <x:v>42107</x:v>
      </x:c>
      <x:c r="E24" s="82" t="n">
        <x:v>29674</x:v>
      </x:c>
      <x:c r="F24" s="86" t="n">
        <x:v>0.00186178467015957</x:v>
      </x:c>
      <x:c r="G24" s="86" t="n">
        <x:v>0.00223253604869352</x:v>
      </x:c>
      <x:c r="H24" s="86" t="n">
        <x:v>0.00649344549404517</x:v>
      </x:c>
      <x:c r="I24" s="86" t="n">
        <x:v>0.00463227177483317</x:v>
      </x:c>
      <x:c r="J24" s="82" t="s"/>
      <x:c r="K24" s="82" t="s"/>
      <x:c r="L24" s="82" t="s"/>
      <x:c r="M24" s="82" t="s"/>
      <x:c r="N24" s="82" t="s"/>
      <x:c r="O24" s="82" t="s"/>
      <x:c r="P24" s="82" t="s"/>
      <x:c r="Q24" s="82" t="s"/>
      <x:c r="R24" s="82" t="s"/>
      <x:c r="S24" s="82" t="s"/>
      <x:c r="T24" s="82" t="s"/>
      <x:c r="U24" s="82" t="s"/>
      <x:c r="V24" s="82" t="s"/>
      <x:c r="W24" s="82" t="s"/>
      <x:c r="X24" s="82" t="s"/>
      <x:c r="Y24" s="82" t="s"/>
      <x:c r="Z24" s="82" t="s"/>
      <x:c r="AA24" s="82" t="s"/>
      <x:c r="AB24" s="82" t="s"/>
      <x:c r="AC24" s="82" t="s"/>
      <x:c r="AD24" s="82" t="s"/>
      <x:c r="AE24" s="82" t="s"/>
      <x:c r="AF24" s="82" t="s"/>
      <x:c r="AG24" s="82" t="s"/>
      <x:c r="AH24" s="82" t="s"/>
      <x:c r="AI24" s="82" t="s"/>
      <x:c r="AJ24" s="82" t="s"/>
      <x:c r="AK24" s="82" t="s"/>
      <x:c r="AL24" s="82" t="s"/>
      <x:c r="AM24" s="82" t="s"/>
      <x:c r="AN24" s="82" t="s"/>
      <x:c r="AO24" s="82" t="s"/>
      <x:c r="AP24" s="82" t="s"/>
      <x:c r="AQ24" s="82" t="s"/>
      <x:c r="AR24" s="82" t="s"/>
      <x:c r="AS24" s="82" t="s"/>
      <x:c r="AT24" s="82" t="s"/>
      <x:c r="AU24" s="82" t="s"/>
      <x:c r="AV24" s="82" t="s"/>
      <x:c r="AW24" s="82" t="s"/>
      <x:c r="AX24" s="82" t="s"/>
      <x:c r="AY24" s="82" t="s"/>
      <x:c r="AZ24" s="82" t="s"/>
      <x:c r="BA24" s="82" t="s"/>
      <x:c r="BB24" s="82" t="s"/>
      <x:c r="BC24" s="82" t="s"/>
      <x:c r="BD24" s="82" t="s"/>
      <x:c r="BE24" s="82" t="s"/>
      <x:c r="BF24" s="82" t="s"/>
      <x:c r="BG24" s="82" t="s"/>
      <x:c r="BH24" s="82" t="s"/>
      <x:c r="BI24" s="82" t="s"/>
      <x:c r="BJ24" s="82" t="s"/>
      <x:c r="BK24" s="82" t="s"/>
      <x:c r="BL24" s="82" t="s"/>
      <x:c r="BM24" s="82" t="s"/>
      <x:c r="BN24" s="82" t="s"/>
      <x:c r="BO24" s="82" t="s"/>
      <x:c r="BP24" s="82" t="s"/>
      <x:c r="BQ24" s="82" t="s"/>
      <x:c r="BR24" s="82" t="s"/>
    </x:row>
    <x:row r="25" spans="1:70" x14ac:dyDescent="0.25">
      <x:c r="A25" s="82" t="s">
        <x:v>106</x:v>
      </x:c>
      <x:c r="B25" s="82" t="s">
        <x:v>107</x:v>
      </x:c>
      <x:c r="C25" s="82" t="s">
        <x:v>109</x:v>
      </x:c>
      <x:c r="D25" s="85">
        <x:v>42107</x:v>
      </x:c>
      <x:c r="E25" s="82" t="n">
        <x:v>29674</x:v>
      </x:c>
      <x:c r="F25" s="86" t="n">
        <x:v>6.47182808291032</x:v>
      </x:c>
      <x:c r="G25" s="86" t="n">
        <x:v>1.47350384780694</x:v>
      </x:c>
      <x:c r="H25" s="86" t="n">
        <x:v>9.04922367538546</x:v>
      </x:c>
      <x:c r="I25" s="86" t="n">
        <x:v>10.0406902782368</x:v>
      </x:c>
      <x:c r="J25" s="82" t="s"/>
      <x:c r="K25" s="82" t="s"/>
      <x:c r="L25" s="82" t="s"/>
      <x:c r="M25" s="82" t="s"/>
      <x:c r="N25" s="82" t="s"/>
      <x:c r="O25" s="82" t="s"/>
      <x:c r="P25" s="82" t="s"/>
      <x:c r="Q25" s="82" t="s"/>
      <x:c r="R25" s="82" t="s"/>
      <x:c r="S25" s="82" t="s"/>
      <x:c r="T25" s="82" t="s"/>
      <x:c r="U25" s="82" t="s"/>
      <x:c r="V25" s="82" t="s"/>
      <x:c r="W25" s="82" t="s"/>
      <x:c r="X25" s="82" t="s"/>
      <x:c r="Y25" s="82" t="s"/>
      <x:c r="Z25" s="82" t="s"/>
      <x:c r="AA25" s="82" t="s"/>
      <x:c r="AB25" s="82" t="s"/>
      <x:c r="AC25" s="82" t="s"/>
      <x:c r="AD25" s="82" t="s"/>
      <x:c r="AE25" s="82" t="s"/>
      <x:c r="AF25" s="82" t="s"/>
      <x:c r="AG25" s="82" t="s"/>
      <x:c r="AH25" s="82" t="s"/>
      <x:c r="AI25" s="82" t="s"/>
      <x:c r="AJ25" s="82" t="s"/>
      <x:c r="AK25" s="82" t="s"/>
      <x:c r="AL25" s="82" t="s"/>
      <x:c r="AM25" s="82" t="s"/>
      <x:c r="AN25" s="82" t="s"/>
      <x:c r="AO25" s="82" t="s"/>
      <x:c r="AP25" s="82" t="s"/>
      <x:c r="AQ25" s="82" t="s"/>
      <x:c r="AR25" s="82" t="s"/>
      <x:c r="AS25" s="82" t="s"/>
      <x:c r="AT25" s="82" t="s"/>
      <x:c r="AU25" s="82" t="s"/>
      <x:c r="AV25" s="82" t="s"/>
      <x:c r="AW25" s="82" t="s"/>
      <x:c r="AX25" s="82" t="s"/>
      <x:c r="AY25" s="82" t="s"/>
      <x:c r="AZ25" s="82" t="s"/>
      <x:c r="BA25" s="82" t="s"/>
      <x:c r="BB25" s="82" t="s"/>
      <x:c r="BC25" s="82" t="s"/>
      <x:c r="BD25" s="82" t="s"/>
      <x:c r="BE25" s="82" t="s"/>
      <x:c r="BF25" s="82" t="s"/>
      <x:c r="BG25" s="82" t="s"/>
      <x:c r="BH25" s="82" t="s"/>
      <x:c r="BI25" s="82" t="s"/>
      <x:c r="BJ25" s="82" t="s"/>
      <x:c r="BK25" s="82" t="s"/>
      <x:c r="BL25" s="82" t="s"/>
      <x:c r="BM25" s="82" t="s"/>
      <x:c r="BN25" s="82" t="s"/>
      <x:c r="BO25" s="82" t="s"/>
      <x:c r="BP25" s="82" t="s"/>
      <x:c r="BQ25" s="82" t="s"/>
      <x:c r="BR25" s="82" t="s"/>
    </x:row>
    <x:row r="26" spans="1:70" x14ac:dyDescent="0.25">
      <x:c r="A26" s="82" t="s">
        <x:v>106</x:v>
      </x:c>
      <x:c r="B26" s="82" t="s">
        <x:v>107</x:v>
      </x:c>
      <x:c r="C26" s="82" t="s">
        <x:v>110</x:v>
      </x:c>
      <x:c r="D26" s="85">
        <x:v>42107</x:v>
      </x:c>
      <x:c r="E26" s="82" t="n">
        <x:v>29674</x:v>
      </x:c>
      <x:c r="F26" s="86" t="n">
        <x:v>0.258275020273036</x:v>
      </x:c>
      <x:c r="G26" s="86" t="n">
        <x:v>0.27566021984825</x:v>
      </x:c>
      <x:c r="H26" s="86" t="n">
        <x:v>0.182709747719444</x:v>
      </x:c>
      <x:c r="I26" s="86" t="n">
        <x:v>0.204905560561478</x:v>
      </x:c>
      <x:c r="J26" s="82" t="s"/>
      <x:c r="K26" s="82" t="s"/>
      <x:c r="L26" s="82" t="s"/>
      <x:c r="M26" s="82" t="s"/>
      <x:c r="N26" s="82" t="s"/>
      <x:c r="O26" s="82" t="s"/>
      <x:c r="P26" s="82" t="s"/>
      <x:c r="Q26" s="82" t="s"/>
      <x:c r="R26" s="82" t="s"/>
      <x:c r="S26" s="82" t="s"/>
      <x:c r="T26" s="82" t="s"/>
      <x:c r="U26" s="82" t="s"/>
      <x:c r="V26" s="82" t="s"/>
      <x:c r="W26" s="82" t="s"/>
      <x:c r="X26" s="82" t="s"/>
      <x:c r="Y26" s="82" t="s"/>
      <x:c r="Z26" s="82" t="s"/>
      <x:c r="AA26" s="82" t="s"/>
      <x:c r="AB26" s="82" t="s"/>
      <x:c r="AC26" s="82" t="s"/>
      <x:c r="AD26" s="82" t="s"/>
      <x:c r="AE26" s="82" t="s"/>
      <x:c r="AF26" s="82" t="s"/>
      <x:c r="AG26" s="82" t="s"/>
      <x:c r="AH26" s="82" t="s"/>
      <x:c r="AI26" s="82" t="s"/>
      <x:c r="AJ26" s="82" t="s"/>
      <x:c r="AK26" s="82" t="s"/>
      <x:c r="AL26" s="82" t="s"/>
      <x:c r="AM26" s="82" t="s"/>
      <x:c r="AN26" s="82" t="s"/>
      <x:c r="AO26" s="82" t="s"/>
      <x:c r="AP26" s="82" t="s"/>
      <x:c r="AQ26" s="82" t="s"/>
      <x:c r="AR26" s="82" t="s"/>
      <x:c r="AS26" s="82" t="s"/>
      <x:c r="AT26" s="82" t="s"/>
      <x:c r="AU26" s="82" t="s"/>
      <x:c r="AV26" s="82" t="s"/>
      <x:c r="AW26" s="82" t="s"/>
      <x:c r="AX26" s="82" t="s"/>
      <x:c r="AY26" s="82" t="s"/>
      <x:c r="AZ26" s="82" t="s"/>
      <x:c r="BA26" s="82" t="s"/>
      <x:c r="BB26" s="82" t="s"/>
      <x:c r="BC26" s="82" t="s"/>
      <x:c r="BD26" s="82" t="s"/>
      <x:c r="BE26" s="82" t="s"/>
      <x:c r="BF26" s="82" t="s"/>
      <x:c r="BG26" s="82" t="s"/>
      <x:c r="BH26" s="82" t="s"/>
      <x:c r="BI26" s="82" t="s"/>
      <x:c r="BJ26" s="82" t="s"/>
      <x:c r="BK26" s="82" t="s"/>
      <x:c r="BL26" s="82" t="s"/>
      <x:c r="BM26" s="82" t="s"/>
      <x:c r="BN26" s="82" t="s"/>
      <x:c r="BO26" s="82" t="s"/>
      <x:c r="BP26" s="82" t="s"/>
      <x:c r="BQ26" s="82" t="s"/>
      <x:c r="BR26" s="82" t="s"/>
    </x:row>
    <x:row r="27" spans="1:70" x14ac:dyDescent="0.25">
      <x:c r="A27" s="82" t="s">
        <x:v>106</x:v>
      </x:c>
      <x:c r="B27" s="82" t="s">
        <x:v>107</x:v>
      </x:c>
      <x:c r="C27" s="82" t="s">
        <x:v>111</x:v>
      </x:c>
      <x:c r="D27" s="85">
        <x:v>42107</x:v>
      </x:c>
      <x:c r="E27" s="82" t="n">
        <x:v>29674</x:v>
      </x:c>
      <x:c r="F27" s="86" t="n">
        <x:v>1.40512553358904</x:v>
      </x:c>
      <x:c r="G27" s="86" t="n">
        <x:v>1.52403997901271</x:v>
      </x:c>
      <x:c r="H27" s="86" t="n">
        <x:v>1.10825389885046</x:v>
      </x:c>
      <x:c r="I27" s="86" t="n">
        <x:v>1.10895131810909</x:v>
      </x:c>
      <x:c r="J27" s="82" t="s"/>
      <x:c r="K27" s="82" t="s"/>
      <x:c r="L27" s="82" t="s"/>
      <x:c r="M27" s="82" t="s"/>
      <x:c r="N27" s="82" t="s"/>
      <x:c r="O27" s="82" t="s"/>
      <x:c r="P27" s="82" t="s"/>
      <x:c r="Q27" s="82" t="s"/>
      <x:c r="R27" s="82" t="s"/>
      <x:c r="S27" s="82" t="s"/>
      <x:c r="T27" s="82" t="s"/>
      <x:c r="U27" s="82" t="s"/>
      <x:c r="V27" s="82" t="s"/>
      <x:c r="W27" s="82" t="s"/>
      <x:c r="X27" s="82" t="s"/>
      <x:c r="Y27" s="82" t="s"/>
      <x:c r="Z27" s="82" t="s"/>
      <x:c r="AA27" s="82" t="s"/>
      <x:c r="AB27" s="82" t="s"/>
      <x:c r="AC27" s="82" t="s"/>
      <x:c r="AD27" s="82" t="s"/>
      <x:c r="AE27" s="82" t="s"/>
      <x:c r="AF27" s="82" t="s"/>
      <x:c r="AG27" s="82" t="s"/>
      <x:c r="AH27" s="82" t="s"/>
      <x:c r="AI27" s="82" t="s"/>
      <x:c r="AJ27" s="82" t="s"/>
      <x:c r="AK27" s="82" t="s"/>
      <x:c r="AL27" s="82" t="s"/>
      <x:c r="AM27" s="82" t="s"/>
      <x:c r="AN27" s="82" t="s"/>
      <x:c r="AO27" s="82" t="s"/>
      <x:c r="AP27" s="82" t="s"/>
      <x:c r="AQ27" s="82" t="s"/>
      <x:c r="AR27" s="82" t="s"/>
      <x:c r="AS27" s="82" t="s"/>
      <x:c r="AT27" s="82" t="s"/>
      <x:c r="AU27" s="82" t="s"/>
      <x:c r="AV27" s="82" t="s"/>
      <x:c r="AW27" s="82" t="s"/>
      <x:c r="AX27" s="82" t="s"/>
      <x:c r="AY27" s="82" t="s"/>
      <x:c r="AZ27" s="82" t="s"/>
      <x:c r="BA27" s="82" t="s"/>
      <x:c r="BB27" s="82" t="s"/>
      <x:c r="BC27" s="82" t="s"/>
      <x:c r="BD27" s="82" t="s"/>
      <x:c r="BE27" s="82" t="s"/>
      <x:c r="BF27" s="82" t="s"/>
      <x:c r="BG27" s="82" t="s"/>
      <x:c r="BH27" s="82" t="s"/>
      <x:c r="BI27" s="82" t="s"/>
      <x:c r="BJ27" s="82" t="s"/>
      <x:c r="BK27" s="82" t="s"/>
      <x:c r="BL27" s="82" t="s"/>
      <x:c r="BM27" s="82" t="s"/>
      <x:c r="BN27" s="82" t="s"/>
      <x:c r="BO27" s="82" t="s"/>
      <x:c r="BP27" s="82" t="s"/>
      <x:c r="BQ27" s="82" t="s"/>
      <x:c r="BR27" s="82" t="s"/>
    </x:row>
    <x:row r="28" spans="1:70" x14ac:dyDescent="0.25">
      <x:c r="A28" s="82" t="s">
        <x:v>106</x:v>
      </x:c>
      <x:c r="B28" s="82" t="s">
        <x:v>107</x:v>
      </x:c>
      <x:c r="C28" s="82" t="s">
        <x:v>112</x:v>
      </x:c>
      <x:c r="D28" s="85">
        <x:v>42107</x:v>
      </x:c>
      <x:c r="E28" s="82" t="n">
        <x:v>29674</x:v>
      </x:c>
      <x:c r="F28" s="82" t="n">
        <x:v>4.20937990936747</x:v>
      </x:c>
      <x:c r="G28" s="82" t="n">
        <x:v>4.56561575131493</x:v>
      </x:c>
      <x:c r="H28" s="82" t="n">
        <x:v>3.32003197207836</x:v>
      </x:c>
      <x:c r="I28" s="82" t="n">
        <x:v>3.32212125345964</x:v>
      </x:c>
      <x:c r="J28" s="82" t="s"/>
      <x:c r="K28" s="82" t="s"/>
      <x:c r="L28" s="82" t="s"/>
      <x:c r="M28" s="82" t="s"/>
      <x:c r="N28" s="82" t="s"/>
      <x:c r="O28" s="82" t="s"/>
      <x:c r="P28" s="82" t="s"/>
      <x:c r="Q28" s="82" t="s"/>
      <x:c r="R28" s="82" t="s"/>
      <x:c r="S28" s="82" t="s"/>
      <x:c r="T28" s="82" t="s"/>
      <x:c r="U28" s="82" t="s"/>
      <x:c r="V28" s="82" t="s"/>
      <x:c r="W28" s="82" t="s"/>
      <x:c r="X28" s="82" t="s"/>
      <x:c r="Y28" s="82" t="s"/>
      <x:c r="Z28" s="82" t="s"/>
      <x:c r="AA28" s="82" t="s"/>
      <x:c r="AB28" s="82" t="s"/>
      <x:c r="AC28" s="82" t="s"/>
      <x:c r="AD28" s="82" t="s"/>
      <x:c r="AE28" s="82" t="s"/>
      <x:c r="AF28" s="82" t="s"/>
      <x:c r="AG28" s="82" t="s"/>
      <x:c r="AH28" s="82" t="s"/>
      <x:c r="AI28" s="82" t="s"/>
      <x:c r="AJ28" s="82" t="s"/>
      <x:c r="AK28" s="82" t="s"/>
      <x:c r="AL28" s="82" t="s"/>
      <x:c r="AM28" s="82" t="s"/>
      <x:c r="AN28" s="82" t="s"/>
      <x:c r="AO28" s="82" t="s"/>
      <x:c r="AP28" s="82" t="s"/>
      <x:c r="AQ28" s="82" t="s"/>
      <x:c r="AR28" s="82" t="s"/>
      <x:c r="AS28" s="82" t="s"/>
      <x:c r="AT28" s="82" t="s"/>
      <x:c r="AU28" s="82" t="s"/>
      <x:c r="AV28" s="82" t="s"/>
      <x:c r="AW28" s="82" t="s"/>
      <x:c r="AX28" s="82" t="s"/>
      <x:c r="AY28" s="82" t="s"/>
      <x:c r="AZ28" s="82" t="s"/>
      <x:c r="BA28" s="82" t="s"/>
      <x:c r="BB28" s="82" t="s"/>
      <x:c r="BC28" s="82" t="s"/>
      <x:c r="BD28" s="82" t="s"/>
      <x:c r="BE28" s="82" t="s"/>
      <x:c r="BF28" s="82" t="s"/>
      <x:c r="BG28" s="82" t="s"/>
      <x:c r="BH28" s="82" t="s"/>
      <x:c r="BI28" s="82" t="s"/>
      <x:c r="BJ28" s="82" t="s"/>
      <x:c r="BK28" s="82" t="s"/>
      <x:c r="BL28" s="82" t="s"/>
      <x:c r="BM28" s="82" t="s"/>
      <x:c r="BN28" s="82" t="s"/>
      <x:c r="BO28" s="82" t="s"/>
      <x:c r="BP28" s="82" t="s"/>
      <x:c r="BQ28" s="82" t="s"/>
      <x:c r="BR28" s="82" t="s"/>
    </x:row>
    <x:row r="29" spans="1:70" x14ac:dyDescent="0.25">
      <x:c r="A29" s="82" t="s">
        <x:v>106</x:v>
      </x:c>
      <x:c r="B29" s="82" t="s">
        <x:v>107</x:v>
      </x:c>
      <x:c r="C29" s="82" t="s">
        <x:v>113</x:v>
      </x:c>
      <x:c r="D29" s="85">
        <x:v>42107</x:v>
      </x:c>
      <x:c r="E29" s="82" t="n">
        <x:v>29674</x:v>
      </x:c>
      <x:c r="F29" s="88" t="n">
        <x:v>-5.544</x:v>
      </x:c>
      <x:c r="G29" s="88" t="n">
        <x:v>-5.469</x:v>
      </x:c>
      <x:c r="H29" s="82" t="s"/>
      <x:c r="I29" s="82" t="s"/>
      <x:c r="J29" s="82" t="s"/>
      <x:c r="K29" s="82" t="s"/>
      <x:c r="L29" s="82" t="s"/>
      <x:c r="M29" s="82" t="s"/>
      <x:c r="N29" s="82" t="s"/>
      <x:c r="O29" s="82" t="s"/>
      <x:c r="P29" s="82" t="s"/>
      <x:c r="Q29" s="82" t="s"/>
      <x:c r="R29" s="82" t="s"/>
      <x:c r="S29" s="82" t="s"/>
      <x:c r="T29" s="82" t="s"/>
      <x:c r="U29" s="82" t="s"/>
      <x:c r="V29" s="82" t="s"/>
      <x:c r="W29" s="82" t="s"/>
      <x:c r="X29" s="82" t="s"/>
      <x:c r="Y29" s="82" t="s"/>
      <x:c r="Z29" s="82" t="s"/>
      <x:c r="AA29" s="82" t="s"/>
      <x:c r="AB29" s="82" t="s"/>
      <x:c r="AC29" s="82" t="s"/>
      <x:c r="AD29" s="82" t="s"/>
      <x:c r="AE29" s="82" t="s"/>
      <x:c r="AF29" s="82" t="s"/>
      <x:c r="AG29" s="82" t="s"/>
      <x:c r="AH29" s="82" t="s"/>
      <x:c r="AI29" s="82" t="s"/>
      <x:c r="AJ29" s="82" t="s"/>
      <x:c r="AK29" s="82" t="s"/>
      <x:c r="AL29" s="82" t="s"/>
      <x:c r="AM29" s="82" t="s"/>
      <x:c r="AN29" s="82" t="s"/>
      <x:c r="AO29" s="82" t="s"/>
      <x:c r="AP29" s="82" t="s"/>
      <x:c r="AQ29" s="82" t="s"/>
      <x:c r="AR29" s="82" t="s"/>
      <x:c r="AS29" s="82" t="s"/>
      <x:c r="AT29" s="82" t="s"/>
      <x:c r="AU29" s="82" t="s"/>
      <x:c r="AV29" s="82" t="s"/>
      <x:c r="AW29" s="82" t="s"/>
      <x:c r="AX29" s="82" t="s"/>
      <x:c r="AY29" s="82" t="s"/>
      <x:c r="AZ29" s="82" t="s"/>
      <x:c r="BA29" s="82" t="s"/>
      <x:c r="BB29" s="82" t="s"/>
      <x:c r="BC29" s="82" t="s"/>
      <x:c r="BD29" s="82" t="s"/>
      <x:c r="BE29" s="82" t="s"/>
      <x:c r="BF29" s="82" t="s"/>
      <x:c r="BG29" s="82" t="s"/>
      <x:c r="BH29" s="82" t="s"/>
      <x:c r="BI29" s="82" t="s"/>
      <x:c r="BJ29" s="82" t="s"/>
      <x:c r="BK29" s="82" t="s"/>
      <x:c r="BL29" s="82" t="s"/>
      <x:c r="BM29" s="82" t="s"/>
      <x:c r="BN29" s="82" t="s"/>
      <x:c r="BO29" s="82" t="s"/>
      <x:c r="BP29" s="82" t="s"/>
      <x:c r="BQ29" s="82" t="s"/>
      <x:c r="BR29" s="82" t="s"/>
    </x:row>
    <x:row r="30" spans="1:70" x14ac:dyDescent="0.25">
      <x:c r="A30" s="82" t="s">
        <x:v>106</x:v>
      </x:c>
      <x:c r="B30" s="82" t="s">
        <x:v>107</x:v>
      </x:c>
      <x:c r="C30" s="82" t="s">
        <x:v>114</x:v>
      </x:c>
      <x:c r="D30" s="85">
        <x:v>42107</x:v>
      </x:c>
      <x:c r="E30" s="82" t="n">
        <x:v>29674</x:v>
      </x:c>
      <x:c r="F30" s="88" t="n">
        <x:v>0.704</x:v>
      </x:c>
      <x:c r="G30" s="88" t="n">
        <x:v>0.724</x:v>
      </x:c>
      <x:c r="H30" s="82" t="s"/>
      <x:c r="I30" s="82" t="s"/>
      <x:c r="J30" s="82" t="s"/>
      <x:c r="K30" s="82" t="s"/>
      <x:c r="L30" s="82" t="s"/>
      <x:c r="M30" s="82" t="s"/>
      <x:c r="N30" s="82" t="s"/>
      <x:c r="O30" s="82" t="s"/>
      <x:c r="P30" s="82" t="s"/>
      <x:c r="Q30" s="82" t="s"/>
      <x:c r="R30" s="82" t="s"/>
      <x:c r="S30" s="82" t="s"/>
      <x:c r="T30" s="82" t="s"/>
      <x:c r="U30" s="82" t="s"/>
      <x:c r="V30" s="82" t="s"/>
      <x:c r="W30" s="82" t="s"/>
      <x:c r="X30" s="82" t="s"/>
      <x:c r="Y30" s="82" t="s"/>
      <x:c r="Z30" s="82" t="s"/>
      <x:c r="AA30" s="82" t="s"/>
      <x:c r="AB30" s="82" t="s"/>
      <x:c r="AC30" s="82" t="s"/>
      <x:c r="AD30" s="82" t="s"/>
      <x:c r="AE30" s="82" t="s"/>
      <x:c r="AF30" s="82" t="s"/>
      <x:c r="AG30" s="82" t="s"/>
      <x:c r="AH30" s="82" t="s"/>
      <x:c r="AI30" s="82" t="s"/>
      <x:c r="AJ30" s="82" t="s"/>
      <x:c r="AK30" s="82" t="s"/>
      <x:c r="AL30" s="82" t="s"/>
      <x:c r="AM30" s="82" t="s"/>
      <x:c r="AN30" s="82" t="s"/>
      <x:c r="AO30" s="82" t="s"/>
      <x:c r="AP30" s="82" t="s"/>
      <x:c r="AQ30" s="82" t="s"/>
      <x:c r="AR30" s="82" t="s"/>
      <x:c r="AS30" s="82" t="s"/>
      <x:c r="AT30" s="82" t="s"/>
      <x:c r="AU30" s="82" t="s"/>
      <x:c r="AV30" s="82" t="s"/>
      <x:c r="AW30" s="82" t="s"/>
      <x:c r="AX30" s="82" t="s"/>
      <x:c r="AY30" s="82" t="s"/>
      <x:c r="AZ30" s="82" t="s"/>
      <x:c r="BA30" s="82" t="s"/>
      <x:c r="BB30" s="82" t="s"/>
      <x:c r="BC30" s="82" t="s"/>
      <x:c r="BD30" s="82" t="s"/>
      <x:c r="BE30" s="82" t="s"/>
      <x:c r="BF30" s="82" t="s"/>
      <x:c r="BG30" s="82" t="s"/>
      <x:c r="BH30" s="82" t="s"/>
      <x:c r="BI30" s="82" t="s"/>
      <x:c r="BJ30" s="82" t="s"/>
      <x:c r="BK30" s="82" t="s"/>
      <x:c r="BL30" s="82" t="s"/>
      <x:c r="BM30" s="82" t="s"/>
      <x:c r="BN30" s="82" t="s"/>
      <x:c r="BO30" s="82" t="s"/>
      <x:c r="BP30" s="82" t="s"/>
      <x:c r="BQ30" s="82" t="s"/>
      <x:c r="BR30" s="82" t="s"/>
    </x:row>
    <x:row r="31" spans="1:70" x14ac:dyDescent="0.25">
      <x:c r="A31" s="82" t="s">
        <x:v>106</x:v>
      </x:c>
      <x:c r="B31" s="82" t="s">
        <x:v>107</x:v>
      </x:c>
      <x:c r="C31" s="82" t="s">
        <x:v>115</x:v>
      </x:c>
      <x:c r="D31" s="85">
        <x:v>42107</x:v>
      </x:c>
      <x:c r="E31" s="82" t="n">
        <x:v>29674</x:v>
      </x:c>
      <x:c r="F31" s="101" t="n">
        <x:v>-4.871</x:v>
      </x:c>
      <x:c r="G31" s="101" t="n">
        <x:v>-4.832</x:v>
      </x:c>
      <x:c r="H31" s="82" t="s"/>
      <x:c r="I31" s="82" t="s"/>
      <x:c r="J31" s="82" t="s"/>
      <x:c r="K31" s="82" t="s"/>
      <x:c r="L31" s="82" t="s"/>
      <x:c r="M31" s="82" t="s"/>
      <x:c r="N31" s="82" t="s"/>
      <x:c r="O31" s="82" t="s"/>
      <x:c r="P31" s="82" t="s"/>
      <x:c r="Q31" s="82" t="s"/>
      <x:c r="R31" s="82" t="s"/>
      <x:c r="S31" s="82" t="s"/>
      <x:c r="T31" s="82" t="s"/>
      <x:c r="U31" s="82" t="s"/>
      <x:c r="V31" s="82" t="s"/>
      <x:c r="W31" s="82" t="s"/>
      <x:c r="X31" s="82" t="s"/>
      <x:c r="Y31" s="82" t="s"/>
      <x:c r="Z31" s="82" t="s"/>
      <x:c r="AA31" s="82" t="s"/>
      <x:c r="AB31" s="82" t="s"/>
      <x:c r="AC31" s="82" t="s"/>
      <x:c r="AD31" s="82" t="s"/>
      <x:c r="AE31" s="82" t="s"/>
      <x:c r="AF31" s="82" t="s"/>
      <x:c r="AG31" s="82" t="s"/>
      <x:c r="AH31" s="82" t="s"/>
      <x:c r="AI31" s="82" t="s"/>
      <x:c r="AJ31" s="82" t="s"/>
      <x:c r="AK31" s="82" t="s"/>
      <x:c r="AL31" s="82" t="s"/>
      <x:c r="AM31" s="82" t="s"/>
      <x:c r="AN31" s="82" t="s"/>
      <x:c r="AO31" s="82" t="s"/>
      <x:c r="AP31" s="82" t="s"/>
      <x:c r="AQ31" s="82" t="s"/>
      <x:c r="AR31" s="82" t="s"/>
      <x:c r="AS31" s="82" t="s"/>
      <x:c r="AT31" s="82" t="s"/>
      <x:c r="AU31" s="82" t="s"/>
      <x:c r="AV31" s="82" t="s"/>
      <x:c r="AW31" s="82" t="s"/>
      <x:c r="AX31" s="82" t="s"/>
      <x:c r="AY31" s="82" t="s"/>
      <x:c r="AZ31" s="82" t="s"/>
      <x:c r="BA31" s="82" t="s"/>
      <x:c r="BB31" s="82" t="s"/>
      <x:c r="BC31" s="82" t="s"/>
      <x:c r="BD31" s="82" t="s"/>
      <x:c r="BE31" s="82" t="s"/>
      <x:c r="BF31" s="82" t="s"/>
      <x:c r="BG31" s="82" t="s"/>
      <x:c r="BH31" s="82" t="s"/>
      <x:c r="BI31" s="82" t="s"/>
      <x:c r="BJ31" s="82" t="s"/>
      <x:c r="BK31" s="82" t="s"/>
      <x:c r="BL31" s="82" t="s"/>
      <x:c r="BM31" s="82" t="s"/>
      <x:c r="BN31" s="82" t="s"/>
      <x:c r="BO31" s="82" t="s"/>
      <x:c r="BP31" s="82" t="s"/>
      <x:c r="BQ31" s="82" t="s"/>
      <x:c r="BR31" s="82" t="s"/>
    </x:row>
    <x:row r="32" spans="1:70" x14ac:dyDescent="0.25">
      <x:c r="A32" s="82" t="s">
        <x:v>106</x:v>
      </x:c>
      <x:c r="B32" s="82" t="s">
        <x:v>107</x:v>
      </x:c>
      <x:c r="C32" s="82" t="s">
        <x:v>116</x:v>
      </x:c>
      <x:c r="D32" s="85">
        <x:v>42107</x:v>
      </x:c>
      <x:c r="E32" s="82" t="n">
        <x:v>29674</x:v>
      </x:c>
      <x:c r="F32" s="101" t="n">
        <x:v>0.972</x:v>
      </x:c>
      <x:c r="G32" s="101" t="n">
        <x:v>0.728</x:v>
      </x:c>
      <x:c r="H32" s="82" t="s"/>
      <x:c r="I32" s="82" t="s"/>
      <x:c r="J32" s="82" t="s"/>
      <x:c r="K32" s="82" t="s"/>
      <x:c r="L32" s="82" t="s"/>
      <x:c r="M32" s="82" t="s"/>
      <x:c r="N32" s="82" t="s"/>
      <x:c r="O32" s="82" t="s"/>
      <x:c r="P32" s="82" t="s"/>
      <x:c r="Q32" s="82" t="s"/>
      <x:c r="R32" s="82" t="s"/>
      <x:c r="S32" s="82" t="s"/>
      <x:c r="T32" s="82" t="s"/>
      <x:c r="U32" s="82" t="s"/>
      <x:c r="V32" s="82" t="s"/>
      <x:c r="W32" s="82" t="s"/>
      <x:c r="X32" s="82" t="s"/>
      <x:c r="Y32" s="82" t="s"/>
      <x:c r="Z32" s="82" t="s"/>
      <x:c r="AA32" s="82" t="s"/>
      <x:c r="AB32" s="82" t="s"/>
      <x:c r="AC32" s="82" t="s"/>
      <x:c r="AD32" s="82" t="s"/>
      <x:c r="AE32" s="82" t="s"/>
      <x:c r="AF32" s="82" t="s"/>
      <x:c r="AG32" s="82" t="s"/>
      <x:c r="AH32" s="82" t="s"/>
      <x:c r="AI32" s="82" t="s"/>
      <x:c r="AJ32" s="82" t="s"/>
      <x:c r="AK32" s="82" t="s"/>
      <x:c r="AL32" s="82" t="s"/>
      <x:c r="AM32" s="82" t="s"/>
      <x:c r="AN32" s="82" t="s"/>
      <x:c r="AO32" s="82" t="s"/>
      <x:c r="AP32" s="82" t="s"/>
      <x:c r="AQ32" s="82" t="s"/>
      <x:c r="AR32" s="82" t="s"/>
      <x:c r="AS32" s="82" t="s"/>
      <x:c r="AT32" s="82" t="s"/>
      <x:c r="AU32" s="82" t="s"/>
      <x:c r="AV32" s="82" t="s"/>
      <x:c r="AW32" s="82" t="s"/>
      <x:c r="AX32" s="82" t="s"/>
      <x:c r="AY32" s="82" t="s"/>
      <x:c r="AZ32" s="82" t="s"/>
      <x:c r="BA32" s="82" t="s"/>
      <x:c r="BB32" s="82" t="s"/>
      <x:c r="BC32" s="82" t="s"/>
      <x:c r="BD32" s="82" t="s"/>
      <x:c r="BE32" s="82" t="s"/>
      <x:c r="BF32" s="82" t="s"/>
      <x:c r="BG32" s="82" t="s"/>
      <x:c r="BH32" s="82" t="s"/>
      <x:c r="BI32" s="82" t="s"/>
      <x:c r="BJ32" s="82" t="s"/>
      <x:c r="BK32" s="82" t="s"/>
      <x:c r="BL32" s="82" t="s"/>
      <x:c r="BM32" s="82" t="s"/>
      <x:c r="BN32" s="82" t="s"/>
      <x:c r="BO32" s="82" t="s"/>
      <x:c r="BP32" s="82" t="s"/>
      <x:c r="BQ32" s="82" t="s"/>
      <x:c r="BR32" s="82" t="s"/>
    </x:row>
    <x:row r="33" spans="1:70" x14ac:dyDescent="0.25">
      <x:c r="A33" s="82" t="s">
        <x:v>106</x:v>
      </x:c>
      <x:c r="B33" s="82" t="s">
        <x:v>107</x:v>
      </x:c>
      <x:c r="C33" s="82" t="s">
        <x:v>17</x:v>
      </x:c>
      <x:c r="D33" s="85">
        <x:v>42107</x:v>
      </x:c>
      <x:c r="E33" s="82" t="n">
        <x:v>29674</x:v>
      </x:c>
      <x:c r="F33" s="102" t="n">
        <x:v>16.8275913019213</x:v>
      </x:c>
      <x:c r="G33" s="102" t="n">
        <x:v>16.7298817096092</x:v>
      </x:c>
      <x:c r="H33" s="82" t="s"/>
      <x:c r="I33" s="82" t="s"/>
      <x:c r="J33" s="82" t="s"/>
      <x:c r="K33" s="82" t="s"/>
      <x:c r="L33" s="82" t="s"/>
      <x:c r="M33" s="82" t="s"/>
      <x:c r="N33" s="82" t="s"/>
      <x:c r="O33" s="82" t="s"/>
      <x:c r="P33" s="82" t="s"/>
      <x:c r="Q33" s="82" t="s"/>
      <x:c r="R33" s="82" t="s"/>
      <x:c r="S33" s="82" t="s"/>
      <x:c r="T33" s="82" t="s"/>
      <x:c r="U33" s="82" t="s"/>
      <x:c r="V33" s="82" t="s"/>
      <x:c r="W33" s="82" t="s"/>
      <x:c r="X33" s="82" t="s"/>
      <x:c r="Y33" s="82" t="s"/>
      <x:c r="Z33" s="82" t="s"/>
      <x:c r="AA33" s="82" t="s"/>
      <x:c r="AB33" s="82" t="s"/>
      <x:c r="AC33" s="82" t="s"/>
      <x:c r="AD33" s="82" t="s"/>
      <x:c r="AE33" s="82" t="s"/>
      <x:c r="AF33" s="82" t="s"/>
      <x:c r="AG33" s="82" t="s"/>
      <x:c r="AH33" s="82" t="s"/>
      <x:c r="AI33" s="82" t="s"/>
      <x:c r="AJ33" s="82" t="s"/>
      <x:c r="AK33" s="82" t="s"/>
      <x:c r="AL33" s="82" t="s"/>
      <x:c r="AM33" s="82" t="s"/>
      <x:c r="AN33" s="82" t="s"/>
      <x:c r="AO33" s="82" t="s"/>
      <x:c r="AP33" s="82" t="s"/>
      <x:c r="AQ33" s="82" t="s"/>
      <x:c r="AR33" s="82" t="s"/>
      <x:c r="AS33" s="82" t="s"/>
      <x:c r="AT33" s="82" t="s"/>
      <x:c r="AU33" s="82" t="s"/>
      <x:c r="AV33" s="82" t="s"/>
      <x:c r="AW33" s="82" t="s"/>
      <x:c r="AX33" s="82" t="s"/>
      <x:c r="AY33" s="82" t="s"/>
      <x:c r="AZ33" s="82" t="s"/>
      <x:c r="BA33" s="82" t="s"/>
      <x:c r="BB33" s="82" t="s"/>
      <x:c r="BC33" s="82" t="s"/>
      <x:c r="BD33" s="82" t="s"/>
      <x:c r="BE33" s="82" t="s"/>
      <x:c r="BF33" s="82" t="s"/>
      <x:c r="BG33" s="82" t="s"/>
      <x:c r="BH33" s="82" t="s"/>
      <x:c r="BI33" s="82" t="s"/>
      <x:c r="BJ33" s="82" t="s"/>
      <x:c r="BK33" s="82" t="s"/>
      <x:c r="BL33" s="82" t="s"/>
      <x:c r="BM33" s="82" t="s"/>
      <x:c r="BN33" s="82" t="s"/>
      <x:c r="BO33" s="82" t="s"/>
      <x:c r="BP33" s="82" t="s"/>
      <x:c r="BQ33" s="82" t="s"/>
      <x:c r="BR33" s="82" t="s"/>
    </x:row>
    <x:row r="34" spans="1:70" x14ac:dyDescent="0.25">
      <x:c r="A34" s="82" t="s">
        <x:v>106</x:v>
      </x:c>
      <x:c r="B34" s="82" t="s">
        <x:v>107</x:v>
      </x:c>
      <x:c r="C34" s="82" t="s">
        <x:v>18</x:v>
      </x:c>
      <x:c r="D34" s="85">
        <x:v>42107</x:v>
      </x:c>
      <x:c r="E34" s="82" t="n">
        <x:v>29674</x:v>
      </x:c>
      <x:c r="F34" s="102" t="n">
        <x:v>0.0410318795834797</x:v>
      </x:c>
      <x:c r="G34" s="102" t="n">
        <x:v>0.0397736303425287</x:v>
      </x:c>
      <x:c r="H34" s="82" t="s"/>
      <x:c r="I34" s="82" t="s"/>
      <x:c r="J34" s="82" t="s"/>
      <x:c r="K34" s="82" t="s"/>
      <x:c r="L34" s="82" t="s"/>
      <x:c r="M34" s="82" t="s"/>
      <x:c r="N34" s="82" t="s"/>
      <x:c r="O34" s="82" t="s"/>
      <x:c r="P34" s="82" t="s"/>
      <x:c r="Q34" s="82" t="s"/>
      <x:c r="R34" s="82" t="s"/>
      <x:c r="S34" s="82" t="s"/>
      <x:c r="T34" s="82" t="s"/>
      <x:c r="U34" s="82" t="s"/>
      <x:c r="V34" s="82" t="s"/>
      <x:c r="W34" s="82" t="s"/>
      <x:c r="X34" s="82" t="s"/>
      <x:c r="Y34" s="82" t="s"/>
      <x:c r="Z34" s="82" t="s"/>
      <x:c r="AA34" s="82" t="s"/>
      <x:c r="AB34" s="82" t="s"/>
      <x:c r="AC34" s="82" t="s"/>
      <x:c r="AD34" s="82" t="s"/>
      <x:c r="AE34" s="82" t="s"/>
      <x:c r="AF34" s="82" t="s"/>
      <x:c r="AG34" s="82" t="s"/>
      <x:c r="AH34" s="82" t="s"/>
      <x:c r="AI34" s="82" t="s"/>
      <x:c r="AJ34" s="82" t="s"/>
      <x:c r="AK34" s="82" t="s"/>
      <x:c r="AL34" s="82" t="s"/>
      <x:c r="AM34" s="82" t="s"/>
      <x:c r="AN34" s="82" t="s"/>
      <x:c r="AO34" s="82" t="s"/>
      <x:c r="AP34" s="82" t="s"/>
      <x:c r="AQ34" s="82" t="s"/>
      <x:c r="AR34" s="82" t="s"/>
      <x:c r="AS34" s="82" t="s"/>
      <x:c r="AT34" s="82" t="s"/>
      <x:c r="AU34" s="82" t="s"/>
      <x:c r="AV34" s="82" t="s"/>
      <x:c r="AW34" s="82" t="s"/>
      <x:c r="AX34" s="82" t="s"/>
      <x:c r="AY34" s="82" t="s"/>
      <x:c r="AZ34" s="82" t="s"/>
      <x:c r="BA34" s="82" t="s"/>
      <x:c r="BB34" s="82" t="s"/>
      <x:c r="BC34" s="82" t="s"/>
      <x:c r="BD34" s="82" t="s"/>
      <x:c r="BE34" s="82" t="s"/>
      <x:c r="BF34" s="82" t="s"/>
      <x:c r="BG34" s="82" t="s"/>
      <x:c r="BH34" s="82" t="s"/>
      <x:c r="BI34" s="82" t="s"/>
      <x:c r="BJ34" s="82" t="s"/>
      <x:c r="BK34" s="82" t="s"/>
      <x:c r="BL34" s="82" t="s"/>
      <x:c r="BM34" s="82" t="s"/>
      <x:c r="BN34" s="82" t="s"/>
      <x:c r="BO34" s="82" t="s"/>
      <x:c r="BP34" s="82" t="s"/>
      <x:c r="BQ34" s="82" t="s"/>
      <x:c r="BR34" s="82" t="s"/>
    </x:row>
    <x:row r="35" spans="1:70" x14ac:dyDescent="0.25">
      <x:c r="A35" s="82" t="s">
        <x:v>106</x:v>
      </x:c>
      <x:c r="B35" s="82" t="s">
        <x:v>107</x:v>
      </x:c>
      <x:c r="C35" s="82" t="s">
        <x:v>19</x:v>
      </x:c>
      <x:c r="D35" s="85">
        <x:v>42107</x:v>
      </x:c>
      <x:c r="E35" s="82" t="n">
        <x:v>29674</x:v>
      </x:c>
      <x:c r="F35" s="102" t="n">
        <x:v>70.7917797587026</x:v>
      </x:c>
      <x:c r="G35" s="102" t="n">
        <x:v>71.6841681926114</x:v>
      </x:c>
      <x:c r="H35" s="82" t="s"/>
      <x:c r="I35" s="82" t="s"/>
      <x:c r="J35" s="82" t="s"/>
      <x:c r="K35" s="82" t="s"/>
      <x:c r="L35" s="82" t="s"/>
      <x:c r="M35" s="82" t="s"/>
      <x:c r="N35" s="82" t="s"/>
      <x:c r="O35" s="82" t="s"/>
      <x:c r="P35" s="82" t="s"/>
      <x:c r="Q35" s="82" t="s"/>
      <x:c r="R35" s="82" t="s"/>
      <x:c r="S35" s="82" t="s"/>
      <x:c r="T35" s="82" t="s"/>
      <x:c r="U35" s="82" t="s"/>
      <x:c r="V35" s="82" t="s"/>
      <x:c r="W35" s="82" t="s"/>
      <x:c r="X35" s="82" t="s"/>
      <x:c r="Y35" s="82" t="s"/>
      <x:c r="Z35" s="82" t="s"/>
      <x:c r="AA35" s="82" t="s"/>
      <x:c r="AB35" s="82" t="s"/>
      <x:c r="AC35" s="82" t="s"/>
      <x:c r="AD35" s="82" t="s"/>
      <x:c r="AE35" s="82" t="s"/>
      <x:c r="AF35" s="82" t="s"/>
      <x:c r="AG35" s="82" t="s"/>
      <x:c r="AH35" s="82" t="s"/>
      <x:c r="AI35" s="82" t="s"/>
      <x:c r="AJ35" s="82" t="s"/>
      <x:c r="AK35" s="82" t="s"/>
      <x:c r="AL35" s="82" t="s"/>
      <x:c r="AM35" s="82" t="s"/>
      <x:c r="AN35" s="82" t="s"/>
      <x:c r="AO35" s="82" t="s"/>
      <x:c r="AP35" s="82" t="s"/>
      <x:c r="AQ35" s="82" t="s"/>
      <x:c r="AR35" s="82" t="s"/>
      <x:c r="AS35" s="82" t="s"/>
      <x:c r="AT35" s="82" t="s"/>
      <x:c r="AU35" s="82" t="s"/>
      <x:c r="AV35" s="82" t="s"/>
      <x:c r="AW35" s="82" t="s"/>
      <x:c r="AX35" s="82" t="s"/>
      <x:c r="AY35" s="82" t="s"/>
      <x:c r="AZ35" s="82" t="s"/>
      <x:c r="BA35" s="82" t="s"/>
      <x:c r="BB35" s="82" t="s"/>
      <x:c r="BC35" s="82" t="s"/>
      <x:c r="BD35" s="82" t="s"/>
      <x:c r="BE35" s="82" t="s"/>
      <x:c r="BF35" s="82" t="s"/>
      <x:c r="BG35" s="82" t="s"/>
      <x:c r="BH35" s="82" t="s"/>
      <x:c r="BI35" s="82" t="s"/>
      <x:c r="BJ35" s="82" t="s"/>
      <x:c r="BK35" s="82" t="s"/>
      <x:c r="BL35" s="82" t="s"/>
      <x:c r="BM35" s="82" t="s"/>
      <x:c r="BN35" s="82" t="s"/>
      <x:c r="BO35" s="82" t="s"/>
      <x:c r="BP35" s="82" t="s"/>
      <x:c r="BQ35" s="82" t="s"/>
      <x:c r="BR35" s="82" t="s"/>
    </x:row>
    <x:row r="36" spans="1:70" x14ac:dyDescent="0.25">
      <x:c r="A36" s="82" t="s">
        <x:v>106</x:v>
      </x:c>
      <x:c r="B36" s="82" t="s">
        <x:v>107</x:v>
      </x:c>
      <x:c r="C36" s="82" t="s">
        <x:v>20</x:v>
      </x:c>
      <x:c r="D36" s="85">
        <x:v>42107</x:v>
      </x:c>
      <x:c r="E36" s="82" t="n">
        <x:v>29674</x:v>
      </x:c>
      <x:c r="F36" s="102" t="n">
        <x:v>0.441499010442448</x:v>
      </x:c>
      <x:c r="G36" s="102" t="n">
        <x:v>0.430615751336883</x:v>
      </x:c>
      <x:c r="H36" s="82" t="s"/>
      <x:c r="I36" s="82" t="s"/>
      <x:c r="J36" s="82" t="s"/>
      <x:c r="K36" s="82" t="s"/>
      <x:c r="L36" s="82" t="s"/>
      <x:c r="M36" s="82" t="s"/>
      <x:c r="N36" s="82" t="s"/>
      <x:c r="O36" s="82" t="s"/>
      <x:c r="P36" s="82" t="s"/>
      <x:c r="Q36" s="82" t="s"/>
      <x:c r="R36" s="82" t="s"/>
      <x:c r="S36" s="82" t="s"/>
      <x:c r="T36" s="82" t="s"/>
      <x:c r="U36" s="82" t="s"/>
      <x:c r="V36" s="82" t="s"/>
      <x:c r="W36" s="82" t="s"/>
      <x:c r="X36" s="82" t="s"/>
      <x:c r="Y36" s="82" t="s"/>
      <x:c r="Z36" s="82" t="s"/>
      <x:c r="AA36" s="82" t="s"/>
      <x:c r="AB36" s="82" t="s"/>
      <x:c r="AC36" s="82" t="s"/>
      <x:c r="AD36" s="82" t="s"/>
      <x:c r="AE36" s="82" t="s"/>
      <x:c r="AF36" s="82" t="s"/>
      <x:c r="AG36" s="82" t="s"/>
      <x:c r="AH36" s="82" t="s"/>
      <x:c r="AI36" s="82" t="s"/>
      <x:c r="AJ36" s="82" t="s"/>
      <x:c r="AK36" s="82" t="s"/>
      <x:c r="AL36" s="82" t="s"/>
      <x:c r="AM36" s="82" t="s"/>
      <x:c r="AN36" s="82" t="s"/>
      <x:c r="AO36" s="82" t="s"/>
      <x:c r="AP36" s="82" t="s"/>
      <x:c r="AQ36" s="82" t="s"/>
      <x:c r="AR36" s="82" t="s"/>
      <x:c r="AS36" s="82" t="s"/>
      <x:c r="AT36" s="82" t="s"/>
      <x:c r="AU36" s="82" t="s"/>
      <x:c r="AV36" s="82" t="s"/>
      <x:c r="AW36" s="82" t="s"/>
      <x:c r="AX36" s="82" t="s"/>
      <x:c r="AY36" s="82" t="s"/>
      <x:c r="AZ36" s="82" t="s"/>
      <x:c r="BA36" s="82" t="s"/>
      <x:c r="BB36" s="82" t="s"/>
      <x:c r="BC36" s="82" t="s"/>
      <x:c r="BD36" s="82" t="s"/>
      <x:c r="BE36" s="82" t="s"/>
      <x:c r="BF36" s="82" t="s"/>
      <x:c r="BG36" s="82" t="s"/>
      <x:c r="BH36" s="82" t="s"/>
      <x:c r="BI36" s="82" t="s"/>
      <x:c r="BJ36" s="82" t="s"/>
      <x:c r="BK36" s="82" t="s"/>
      <x:c r="BL36" s="82" t="s"/>
      <x:c r="BM36" s="82" t="s"/>
      <x:c r="BN36" s="82" t="s"/>
      <x:c r="BO36" s="82" t="s"/>
      <x:c r="BP36" s="82" t="s"/>
      <x:c r="BQ36" s="82" t="s"/>
      <x:c r="BR36" s="82" t="s"/>
    </x:row>
    <x:row r="37" spans="1:70" x14ac:dyDescent="0.25">
      <x:c r="A37" s="82" t="s">
        <x:v>106</x:v>
      </x:c>
      <x:c r="B37" s="82" t="s">
        <x:v>107</x:v>
      </x:c>
      <x:c r="C37" s="82" t="s">
        <x:v>21</x:v>
      </x:c>
      <x:c r="D37" s="85">
        <x:v>42107</x:v>
      </x:c>
      <x:c r="E37" s="82" t="n">
        <x:v>29674</x:v>
      </x:c>
      <x:c r="F37" s="102" t="n">
        <x:v>115.841666666667</x:v>
      </x:c>
      <x:c r="G37" s="102" t="n">
        <x:v>121.38253968254</x:v>
      </x:c>
      <x:c r="H37" s="82" t="s"/>
      <x:c r="I37" s="82" t="s"/>
      <x:c r="J37" s="82" t="s"/>
      <x:c r="K37" s="82" t="s"/>
      <x:c r="L37" s="82" t="s"/>
      <x:c r="M37" s="82" t="s"/>
      <x:c r="N37" s="82" t="s"/>
      <x:c r="O37" s="82" t="s"/>
      <x:c r="P37" s="82" t="s"/>
      <x:c r="Q37" s="82" t="s"/>
      <x:c r="R37" s="82" t="s"/>
      <x:c r="S37" s="82" t="s"/>
      <x:c r="T37" s="82" t="s"/>
      <x:c r="U37" s="82" t="s"/>
      <x:c r="V37" s="82" t="s"/>
      <x:c r="W37" s="82" t="s"/>
      <x:c r="X37" s="82" t="s"/>
      <x:c r="Y37" s="82" t="s"/>
      <x:c r="Z37" s="82" t="s"/>
      <x:c r="AA37" s="82" t="s"/>
      <x:c r="AB37" s="82" t="s"/>
      <x:c r="AC37" s="82" t="s"/>
      <x:c r="AD37" s="82" t="s"/>
      <x:c r="AE37" s="82" t="s"/>
      <x:c r="AF37" s="82" t="s"/>
      <x:c r="AG37" s="82" t="s"/>
      <x:c r="AH37" s="82" t="s"/>
      <x:c r="AI37" s="82" t="s"/>
      <x:c r="AJ37" s="82" t="s"/>
      <x:c r="AK37" s="82" t="s"/>
      <x:c r="AL37" s="82" t="s"/>
      <x:c r="AM37" s="82" t="s"/>
      <x:c r="AN37" s="82" t="s"/>
      <x:c r="AO37" s="82" t="s"/>
      <x:c r="AP37" s="82" t="s"/>
      <x:c r="AQ37" s="82" t="s"/>
      <x:c r="AR37" s="82" t="s"/>
      <x:c r="AS37" s="82" t="s"/>
      <x:c r="AT37" s="82" t="s"/>
      <x:c r="AU37" s="82" t="s"/>
      <x:c r="AV37" s="82" t="s"/>
      <x:c r="AW37" s="82" t="s"/>
      <x:c r="AX37" s="82" t="s"/>
      <x:c r="AY37" s="82" t="s"/>
      <x:c r="AZ37" s="82" t="s"/>
      <x:c r="BA37" s="82" t="s"/>
      <x:c r="BB37" s="82" t="s"/>
      <x:c r="BC37" s="82" t="s"/>
      <x:c r="BD37" s="82" t="s"/>
      <x:c r="BE37" s="82" t="s"/>
      <x:c r="BF37" s="82" t="s"/>
      <x:c r="BG37" s="82" t="s"/>
      <x:c r="BH37" s="82" t="s"/>
      <x:c r="BI37" s="82" t="s"/>
      <x:c r="BJ37" s="82" t="s"/>
      <x:c r="BK37" s="82" t="s"/>
      <x:c r="BL37" s="82" t="s"/>
      <x:c r="BM37" s="82" t="s"/>
      <x:c r="BN37" s="82" t="s"/>
      <x:c r="BO37" s="82" t="s"/>
      <x:c r="BP37" s="82" t="s"/>
      <x:c r="BQ37" s="82" t="s"/>
      <x:c r="BR37" s="82" t="s"/>
    </x:row>
    <x:row r="38" spans="1:70" x14ac:dyDescent="0.25">
      <x:c r="A38" s="82" t="s">
        <x:v>106</x:v>
      </x:c>
      <x:c r="B38" s="82" t="s">
        <x:v>107</x:v>
      </x:c>
      <x:c r="C38" s="82" t="s">
        <x:v>22</x:v>
      </x:c>
      <x:c r="D38" s="85">
        <x:v>42107</x:v>
      </x:c>
      <x:c r="E38" s="82" t="n">
        <x:v>29674</x:v>
      </x:c>
      <x:c r="F38" s="102" t="n">
        <x:v>0.377872916666666</x:v>
      </x:c>
      <x:c r="G38" s="102" t="n">
        <x:v>0.367205502645503</x:v>
      </x:c>
      <x:c r="H38" s="82" t="s"/>
      <x:c r="I38" s="82" t="s"/>
      <x:c r="J38" s="82" t="s"/>
      <x:c r="K38" s="82" t="s"/>
      <x:c r="L38" s="82" t="s"/>
      <x:c r="M38" s="82" t="s"/>
      <x:c r="N38" s="82" t="s"/>
      <x:c r="O38" s="82" t="s"/>
      <x:c r="P38" s="82" t="s"/>
      <x:c r="Q38" s="82" t="s"/>
      <x:c r="R38" s="82" t="s"/>
      <x:c r="S38" s="82" t="s"/>
      <x:c r="T38" s="82" t="s"/>
      <x:c r="U38" s="82" t="s"/>
      <x:c r="V38" s="82" t="s"/>
      <x:c r="W38" s="82" t="s"/>
      <x:c r="X38" s="82" t="s"/>
      <x:c r="Y38" s="82" t="s"/>
      <x:c r="Z38" s="82" t="s"/>
      <x:c r="AA38" s="82" t="s"/>
      <x:c r="AB38" s="82" t="s"/>
      <x:c r="AC38" s="82" t="s"/>
      <x:c r="AD38" s="82" t="s"/>
      <x:c r="AE38" s="82" t="s"/>
      <x:c r="AF38" s="82" t="s"/>
      <x:c r="AG38" s="82" t="s"/>
      <x:c r="AH38" s="82" t="s"/>
      <x:c r="AI38" s="82" t="s"/>
      <x:c r="AJ38" s="82" t="s"/>
      <x:c r="AK38" s="82" t="s"/>
      <x:c r="AL38" s="82" t="s"/>
      <x:c r="AM38" s="82" t="s"/>
      <x:c r="AN38" s="82" t="s"/>
      <x:c r="AO38" s="82" t="s"/>
      <x:c r="AP38" s="82" t="s"/>
      <x:c r="AQ38" s="82" t="s"/>
      <x:c r="AR38" s="82" t="s"/>
      <x:c r="AS38" s="82" t="s"/>
      <x:c r="AT38" s="82" t="s"/>
      <x:c r="AU38" s="82" t="s"/>
      <x:c r="AV38" s="82" t="s"/>
      <x:c r="AW38" s="82" t="s"/>
      <x:c r="AX38" s="82" t="s"/>
      <x:c r="AY38" s="82" t="s"/>
      <x:c r="AZ38" s="82" t="s"/>
      <x:c r="BA38" s="82" t="s"/>
      <x:c r="BB38" s="82" t="s"/>
      <x:c r="BC38" s="82" t="s"/>
      <x:c r="BD38" s="82" t="s"/>
      <x:c r="BE38" s="82" t="s"/>
      <x:c r="BF38" s="82" t="s"/>
      <x:c r="BG38" s="82" t="s"/>
      <x:c r="BH38" s="82" t="s"/>
      <x:c r="BI38" s="82" t="s"/>
      <x:c r="BJ38" s="82" t="s"/>
      <x:c r="BK38" s="82" t="s"/>
      <x:c r="BL38" s="82" t="s"/>
      <x:c r="BM38" s="82" t="s"/>
      <x:c r="BN38" s="82" t="s"/>
      <x:c r="BO38" s="82" t="s"/>
      <x:c r="BP38" s="82" t="s"/>
      <x:c r="BQ38" s="82" t="s"/>
      <x:c r="BR38" s="82" t="s"/>
    </x:row>
    <x:row r="39" spans="1:70" x14ac:dyDescent="0.25">
      <x:c r="A39" s="82" t="s">
        <x:v>106</x:v>
      </x:c>
      <x:c r="B39" s="82" t="s">
        <x:v>107</x:v>
      </x:c>
      <x:c r="C39" s="82" t="s">
        <x:v>23</x:v>
      </x:c>
      <x:c r="D39" s="85">
        <x:v>42107</x:v>
      </x:c>
      <x:c r="E39" s="82" t="n">
        <x:v>29674</x:v>
      </x:c>
      <x:c r="F39" s="102" t="n">
        <x:v>463.6</x:v>
      </x:c>
      <x:c r="G39" s="102" t="n">
        <x:v>475.56</x:v>
      </x:c>
      <x:c r="H39" s="82" t="s"/>
      <x:c r="I39" s="82" t="s"/>
      <x:c r="J39" s="82" t="s"/>
      <x:c r="K39" s="82" t="s"/>
      <x:c r="L39" s="82" t="s"/>
      <x:c r="M39" s="82" t="s"/>
      <x:c r="N39" s="82" t="s"/>
      <x:c r="O39" s="82" t="s"/>
      <x:c r="P39" s="82" t="s"/>
      <x:c r="Q39" s="82" t="s"/>
      <x:c r="R39" s="82" t="s"/>
      <x:c r="S39" s="82" t="s"/>
      <x:c r="T39" s="82" t="s"/>
      <x:c r="U39" s="82" t="s"/>
      <x:c r="V39" s="82" t="s"/>
      <x:c r="W39" s="82" t="s"/>
      <x:c r="X39" s="82" t="s"/>
      <x:c r="Y39" s="82" t="s"/>
      <x:c r="Z39" s="82" t="s"/>
      <x:c r="AA39" s="82" t="s"/>
      <x:c r="AB39" s="82" t="s"/>
      <x:c r="AC39" s="82" t="s"/>
      <x:c r="AD39" s="82" t="s"/>
      <x:c r="AE39" s="82" t="s"/>
      <x:c r="AF39" s="82" t="s"/>
      <x:c r="AG39" s="82" t="s"/>
      <x:c r="AH39" s="82" t="s"/>
      <x:c r="AI39" s="82" t="s"/>
      <x:c r="AJ39" s="82" t="s"/>
      <x:c r="AK39" s="82" t="s"/>
      <x:c r="AL39" s="82" t="s"/>
      <x:c r="AM39" s="82" t="s"/>
      <x:c r="AN39" s="82" t="s"/>
      <x:c r="AO39" s="82" t="s"/>
      <x:c r="AP39" s="82" t="s"/>
      <x:c r="AQ39" s="82" t="s"/>
      <x:c r="AR39" s="82" t="s"/>
      <x:c r="AS39" s="82" t="s"/>
      <x:c r="AT39" s="82" t="s"/>
      <x:c r="AU39" s="82" t="s"/>
      <x:c r="AV39" s="82" t="s"/>
      <x:c r="AW39" s="82" t="s"/>
      <x:c r="AX39" s="82" t="s"/>
      <x:c r="AY39" s="82" t="s"/>
      <x:c r="AZ39" s="82" t="s"/>
      <x:c r="BA39" s="82" t="s"/>
      <x:c r="BB39" s="82" t="s"/>
      <x:c r="BC39" s="82" t="s"/>
      <x:c r="BD39" s="82" t="s"/>
      <x:c r="BE39" s="82" t="s"/>
      <x:c r="BF39" s="82" t="s"/>
      <x:c r="BG39" s="82" t="s"/>
      <x:c r="BH39" s="82" t="s"/>
      <x:c r="BI39" s="82" t="s"/>
      <x:c r="BJ39" s="82" t="s"/>
      <x:c r="BK39" s="82" t="s"/>
      <x:c r="BL39" s="82" t="s"/>
      <x:c r="BM39" s="82" t="s"/>
      <x:c r="BN39" s="82" t="s"/>
      <x:c r="BO39" s="82" t="s"/>
      <x:c r="BP39" s="82" t="s"/>
      <x:c r="BQ39" s="82" t="s"/>
      <x:c r="BR39" s="82" t="s"/>
    </x:row>
    <x:row r="40" spans="1:70" x14ac:dyDescent="0.25">
      <x:c r="A40" s="82" t="s">
        <x:v>106</x:v>
      </x:c>
      <x:c r="B40" s="82" t="s">
        <x:v>107</x:v>
      </x:c>
      <x:c r="C40" s="82" t="s">
        <x:v>24</x:v>
      </x:c>
      <x:c r="D40" s="85">
        <x:v>42107</x:v>
      </x:c>
      <x:c r="E40" s="82" t="n">
        <x:v>29674</x:v>
      </x:c>
      <x:c r="F40" s="102" t="n">
        <x:v>81.342</x:v>
      </x:c>
      <x:c r="G40" s="102" t="n">
        <x:v>84.08</x:v>
      </x:c>
      <x:c r="H40" s="82" t="s"/>
      <x:c r="I40" s="82" t="s"/>
      <x:c r="J40" s="82" t="s"/>
      <x:c r="K40" s="82" t="s"/>
      <x:c r="L40" s="82" t="s"/>
      <x:c r="M40" s="82" t="s"/>
      <x:c r="N40" s="82" t="s"/>
      <x:c r="O40" s="82" t="s"/>
      <x:c r="P40" s="82" t="s"/>
      <x:c r="Q40" s="82" t="s"/>
      <x:c r="R40" s="82" t="s"/>
      <x:c r="S40" s="82" t="s"/>
      <x:c r="T40" s="82" t="s"/>
      <x:c r="U40" s="82" t="s"/>
      <x:c r="V40" s="82" t="s"/>
      <x:c r="W40" s="82" t="s"/>
      <x:c r="X40" s="82" t="s"/>
      <x:c r="Y40" s="82" t="s"/>
      <x:c r="Z40" s="82" t="s"/>
      <x:c r="AA40" s="82" t="s"/>
      <x:c r="AB40" s="82" t="s"/>
      <x:c r="AC40" s="82" t="s"/>
      <x:c r="AD40" s="82" t="s"/>
      <x:c r="AE40" s="82" t="s"/>
      <x:c r="AF40" s="82" t="s"/>
      <x:c r="AG40" s="82" t="s"/>
      <x:c r="AH40" s="82" t="s"/>
      <x:c r="AI40" s="82" t="s"/>
      <x:c r="AJ40" s="82" t="s"/>
      <x:c r="AK40" s="82" t="s"/>
      <x:c r="AL40" s="82" t="s"/>
      <x:c r="AM40" s="82" t="s"/>
      <x:c r="AN40" s="82" t="s"/>
      <x:c r="AO40" s="82" t="s"/>
      <x:c r="AP40" s="82" t="s"/>
      <x:c r="AQ40" s="82" t="s"/>
      <x:c r="AR40" s="82" t="s"/>
      <x:c r="AS40" s="82" t="s"/>
      <x:c r="AT40" s="82" t="s"/>
      <x:c r="AU40" s="82" t="s"/>
      <x:c r="AV40" s="82" t="s"/>
      <x:c r="AW40" s="82" t="s"/>
      <x:c r="AX40" s="82" t="s"/>
      <x:c r="AY40" s="82" t="s"/>
      <x:c r="AZ40" s="82" t="s"/>
      <x:c r="BA40" s="82" t="s"/>
      <x:c r="BB40" s="82" t="s"/>
      <x:c r="BC40" s="82" t="s"/>
      <x:c r="BD40" s="82" t="s"/>
      <x:c r="BE40" s="82" t="s"/>
      <x:c r="BF40" s="82" t="s"/>
      <x:c r="BG40" s="82" t="s"/>
      <x:c r="BH40" s="82" t="s"/>
      <x:c r="BI40" s="82" t="s"/>
      <x:c r="BJ40" s="82" t="s"/>
      <x:c r="BK40" s="82" t="s"/>
      <x:c r="BL40" s="82" t="s"/>
      <x:c r="BM40" s="82" t="s"/>
      <x:c r="BN40" s="82" t="s"/>
      <x:c r="BO40" s="82" t="s"/>
      <x:c r="BP40" s="82" t="s"/>
      <x:c r="BQ40" s="82" t="s"/>
      <x:c r="BR40" s="82" t="s"/>
    </x:row>
    <x:row r="41" spans="1:70" x14ac:dyDescent="0.25">
      <x:c r="A41" s="82" t="s">
        <x:v>106</x:v>
      </x:c>
      <x:c r="B41" s="82" t="s">
        <x:v>107</x:v>
      </x:c>
      <x:c r="C41" s="82" t="s">
        <x:v>117</x:v>
      </x:c>
      <x:c r="D41" s="85">
        <x:v>42107</x:v>
      </x:c>
      <x:c r="E41" s="82" t="n">
        <x:v>29674</x:v>
      </x:c>
      <x:c r="F41" s="82" t="n">
        <x:v>1</x:v>
      </x:c>
      <x:c r="G41" s="82" t="n">
        <x:v>1</x:v>
      </x:c>
      <x:c r="H41" s="82" t="s"/>
      <x:c r="I41" s="82" t="s"/>
      <x:c r="J41" s="82" t="s"/>
      <x:c r="K41" s="82" t="s"/>
      <x:c r="L41" s="82" t="s"/>
      <x:c r="M41" s="82" t="s"/>
      <x:c r="N41" s="82" t="s"/>
      <x:c r="O41" s="82" t="s"/>
      <x:c r="P41" s="82" t="s"/>
      <x:c r="Q41" s="82" t="s"/>
      <x:c r="R41" s="82" t="s"/>
      <x:c r="S41" s="82" t="s"/>
      <x:c r="T41" s="82" t="s"/>
      <x:c r="U41" s="82" t="s"/>
      <x:c r="V41" s="82" t="s"/>
      <x:c r="W41" s="82" t="s"/>
      <x:c r="X41" s="82" t="s"/>
      <x:c r="Y41" s="82" t="s"/>
      <x:c r="Z41" s="82" t="s"/>
      <x:c r="AA41" s="82" t="s"/>
      <x:c r="AB41" s="82" t="s"/>
      <x:c r="AC41" s="82" t="s"/>
      <x:c r="AD41" s="82" t="s"/>
      <x:c r="AE41" s="82" t="s"/>
      <x:c r="AF41" s="82" t="s"/>
      <x:c r="AG41" s="82" t="s"/>
      <x:c r="AH41" s="82" t="s"/>
      <x:c r="AI41" s="82" t="s"/>
      <x:c r="AJ41" s="82" t="s"/>
      <x:c r="AK41" s="82" t="s"/>
      <x:c r="AL41" s="82" t="s"/>
      <x:c r="AM41" s="82" t="s"/>
      <x:c r="AN41" s="82" t="s"/>
      <x:c r="AO41" s="82" t="s"/>
      <x:c r="AP41" s="82" t="s"/>
      <x:c r="AQ41" s="82" t="s"/>
      <x:c r="AR41" s="82" t="s"/>
      <x:c r="AS41" s="82" t="s"/>
      <x:c r="AT41" s="82" t="s"/>
      <x:c r="AU41" s="82" t="s"/>
      <x:c r="AV41" s="82" t="s"/>
      <x:c r="AW41" s="82" t="s"/>
      <x:c r="AX41" s="82" t="s"/>
      <x:c r="AY41" s="82" t="s"/>
      <x:c r="AZ41" s="82" t="s"/>
      <x:c r="BA41" s="82" t="s"/>
      <x:c r="BB41" s="82" t="s"/>
      <x:c r="BC41" s="82" t="s"/>
      <x:c r="BD41" s="82" t="s"/>
      <x:c r="BE41" s="82" t="s"/>
      <x:c r="BF41" s="82" t="s"/>
      <x:c r="BG41" s="82" t="s"/>
      <x:c r="BH41" s="82" t="s"/>
      <x:c r="BI41" s="82" t="s"/>
      <x:c r="BJ41" s="82" t="s"/>
      <x:c r="BK41" s="82" t="s"/>
      <x:c r="BL41" s="82" t="s"/>
      <x:c r="BM41" s="82" t="s"/>
      <x:c r="BN41" s="82" t="s"/>
      <x:c r="BO41" s="82" t="s"/>
      <x:c r="BP41" s="82" t="s"/>
      <x:c r="BQ41" s="82" t="s"/>
      <x:c r="BR41" s="82" t="s"/>
    </x:row>
    <x:row r="42" spans="1:70" x14ac:dyDescent="0.25">
      <x:c r="A42" s="82" t="s">
        <x:v>106</x:v>
      </x:c>
      <x:c r="B42" s="82" t="s">
        <x:v>107</x:v>
      </x:c>
      <x:c r="C42" s="82" t="s">
        <x:v>118</x:v>
      </x:c>
      <x:c r="D42" s="85">
        <x:v>42107</x:v>
      </x:c>
      <x:c r="E42" s="82" t="n">
        <x:v>29674</x:v>
      </x:c>
      <x:c r="F42" s="90" t="n">
        <x:v>39.65</x:v>
      </x:c>
      <x:c r="G42" s="90" t="n">
        <x:v>44.82</x:v>
      </x:c>
      <x:c r="H42" s="82" t="s"/>
      <x:c r="I42" s="82" t="s"/>
      <x:c r="J42" s="82" t="s"/>
      <x:c r="K42" s="82" t="s"/>
      <x:c r="L42" s="82" t="s"/>
      <x:c r="M42" s="82" t="s"/>
      <x:c r="N42" s="82" t="s"/>
      <x:c r="O42" s="82" t="s"/>
      <x:c r="P42" s="82" t="s"/>
      <x:c r="Q42" s="82" t="s"/>
      <x:c r="R42" s="82" t="s"/>
      <x:c r="S42" s="82" t="s"/>
      <x:c r="T42" s="82" t="s"/>
      <x:c r="U42" s="82" t="s"/>
      <x:c r="V42" s="82" t="s"/>
      <x:c r="W42" s="82" t="s"/>
      <x:c r="X42" s="82" t="s"/>
      <x:c r="Y42" s="82" t="s"/>
      <x:c r="Z42" s="82" t="s"/>
      <x:c r="AA42" s="82" t="s"/>
      <x:c r="AB42" s="82" t="s"/>
      <x:c r="AC42" s="82" t="s"/>
      <x:c r="AD42" s="82" t="s"/>
      <x:c r="AE42" s="82" t="s"/>
      <x:c r="AF42" s="82" t="s"/>
      <x:c r="AG42" s="82" t="s"/>
      <x:c r="AH42" s="82" t="s"/>
      <x:c r="AI42" s="82" t="s"/>
      <x:c r="AJ42" s="82" t="s"/>
      <x:c r="AK42" s="82" t="s"/>
      <x:c r="AL42" s="82" t="s"/>
      <x:c r="AM42" s="82" t="s"/>
      <x:c r="AN42" s="82" t="s"/>
      <x:c r="AO42" s="82" t="s"/>
      <x:c r="AP42" s="82" t="s"/>
      <x:c r="AQ42" s="82" t="s"/>
      <x:c r="AR42" s="82" t="s"/>
      <x:c r="AS42" s="82" t="s"/>
      <x:c r="AT42" s="82" t="s"/>
      <x:c r="AU42" s="82" t="s"/>
      <x:c r="AV42" s="82" t="s"/>
      <x:c r="AW42" s="82" t="s"/>
      <x:c r="AX42" s="82" t="s"/>
      <x:c r="AY42" s="82" t="s"/>
      <x:c r="AZ42" s="82" t="s"/>
      <x:c r="BA42" s="82" t="s"/>
      <x:c r="BB42" s="82" t="s"/>
      <x:c r="BC42" s="82" t="s"/>
      <x:c r="BD42" s="82" t="s"/>
      <x:c r="BE42" s="82" t="s"/>
      <x:c r="BF42" s="82" t="s"/>
      <x:c r="BG42" s="82" t="s"/>
      <x:c r="BH42" s="82" t="s"/>
      <x:c r="BI42" s="82" t="s"/>
      <x:c r="BJ42" s="82" t="s"/>
      <x:c r="BK42" s="82" t="s"/>
      <x:c r="BL42" s="82" t="s"/>
      <x:c r="BM42" s="82" t="s"/>
      <x:c r="BN42" s="82" t="s"/>
      <x:c r="BO42" s="82" t="s"/>
      <x:c r="BP42" s="82" t="s"/>
      <x:c r="BQ42" s="82" t="s"/>
      <x:c r="BR42" s="82" t="s"/>
    </x:row>
    <x:row r="43" spans="1:70" x14ac:dyDescent="0.25">
      <x:c r="A43" s="82" t="s">
        <x:v>106</x:v>
      </x:c>
      <x:c r="B43" s="82" t="s">
        <x:v>107</x:v>
      </x:c>
      <x:c r="C43" s="82" t="s">
        <x:v>119</x:v>
      </x:c>
      <x:c r="D43" s="85">
        <x:v>42107</x:v>
      </x:c>
      <x:c r="E43" s="82" t="n">
        <x:v>29674</x:v>
      </x:c>
      <x:c r="F43" s="90" t="n">
        <x:v>51.17</x:v>
      </x:c>
      <x:c r="G43" s="90" t="n">
        <x:v>54.84</x:v>
      </x:c>
      <x:c r="H43" s="82" t="s"/>
      <x:c r="I43" s="82" t="s"/>
      <x:c r="J43" s="82" t="s"/>
      <x:c r="K43" s="82" t="s"/>
      <x:c r="L43" s="82" t="s"/>
      <x:c r="M43" s="82" t="s"/>
      <x:c r="N43" s="82" t="s"/>
      <x:c r="O43" s="82" t="s"/>
      <x:c r="P43" s="82" t="s"/>
      <x:c r="Q43" s="82" t="s"/>
      <x:c r="R43" s="82" t="s"/>
      <x:c r="S43" s="82" t="s"/>
      <x:c r="T43" s="82" t="s"/>
      <x:c r="U43" s="82" t="s"/>
      <x:c r="V43" s="82" t="s"/>
      <x:c r="W43" s="82" t="s"/>
      <x:c r="X43" s="82" t="s"/>
      <x:c r="Y43" s="82" t="s"/>
      <x:c r="Z43" s="82" t="s"/>
      <x:c r="AA43" s="82" t="s"/>
      <x:c r="AB43" s="82" t="s"/>
      <x:c r="AC43" s="82" t="s"/>
      <x:c r="AD43" s="82" t="s"/>
      <x:c r="AE43" s="82" t="s"/>
      <x:c r="AF43" s="82" t="s"/>
      <x:c r="AG43" s="82" t="s"/>
      <x:c r="AH43" s="82" t="s"/>
      <x:c r="AI43" s="82" t="s"/>
      <x:c r="AJ43" s="82" t="s"/>
      <x:c r="AK43" s="82" t="s"/>
      <x:c r="AL43" s="82" t="s"/>
      <x:c r="AM43" s="82" t="s"/>
      <x:c r="AN43" s="82" t="s"/>
      <x:c r="AO43" s="82" t="s"/>
      <x:c r="AP43" s="82" t="s"/>
      <x:c r="AQ43" s="82" t="s"/>
      <x:c r="AR43" s="82" t="s"/>
      <x:c r="AS43" s="82" t="s"/>
      <x:c r="AT43" s="82" t="s"/>
      <x:c r="AU43" s="82" t="s"/>
      <x:c r="AV43" s="82" t="s"/>
      <x:c r="AW43" s="82" t="s"/>
      <x:c r="AX43" s="82" t="s"/>
      <x:c r="AY43" s="82" t="s"/>
      <x:c r="AZ43" s="82" t="s"/>
      <x:c r="BA43" s="82" t="s"/>
      <x:c r="BB43" s="82" t="s"/>
      <x:c r="BC43" s="82" t="s"/>
      <x:c r="BD43" s="82" t="s"/>
      <x:c r="BE43" s="82" t="s"/>
      <x:c r="BF43" s="82" t="s"/>
      <x:c r="BG43" s="82" t="s"/>
      <x:c r="BH43" s="82" t="s"/>
      <x:c r="BI43" s="82" t="s"/>
      <x:c r="BJ43" s="82" t="s"/>
      <x:c r="BK43" s="82" t="s"/>
      <x:c r="BL43" s="82" t="s"/>
      <x:c r="BM43" s="82" t="s"/>
      <x:c r="BN43" s="82" t="s"/>
      <x:c r="BO43" s="82" t="s"/>
      <x:c r="BP43" s="82" t="s"/>
      <x:c r="BQ43" s="82" t="s"/>
      <x:c r="BR43" s="82" t="s"/>
    </x:row>
    <x:row r="44" spans="1:70" x14ac:dyDescent="0.25">
      <x:c r="A44" s="82" t="s">
        <x:v>106</x:v>
      </x:c>
      <x:c r="B44" s="82" t="s">
        <x:v>107</x:v>
      </x:c>
      <x:c r="C44" s="82" t="s">
        <x:v>120</x:v>
      </x:c>
      <x:c r="D44" s="85">
        <x:v>42107</x:v>
      </x:c>
      <x:c r="E44" s="82" t="n">
        <x:v>29674</x:v>
      </x:c>
      <x:c r="F44" s="90" t="n">
        <x:v>11.52</x:v>
      </x:c>
      <x:c r="G44" s="90" t="n">
        <x:v>10.02</x:v>
      </x:c>
      <x:c r="H44" s="82" t="s"/>
      <x:c r="I44" s="82" t="s"/>
      <x:c r="J44" s="82" t="s"/>
      <x:c r="K44" s="82" t="s"/>
      <x:c r="L44" s="82" t="s"/>
      <x:c r="M44" s="82" t="s"/>
      <x:c r="N44" s="82" t="s"/>
      <x:c r="O44" s="82" t="s"/>
      <x:c r="P44" s="82" t="s"/>
      <x:c r="Q44" s="82" t="s"/>
      <x:c r="R44" s="82" t="s"/>
      <x:c r="S44" s="82" t="s"/>
      <x:c r="T44" s="82" t="s"/>
      <x:c r="U44" s="82" t="s"/>
      <x:c r="V44" s="82" t="s"/>
      <x:c r="W44" s="82" t="s"/>
      <x:c r="X44" s="82" t="s"/>
      <x:c r="Y44" s="82" t="s"/>
      <x:c r="Z44" s="82" t="s"/>
      <x:c r="AA44" s="82" t="s"/>
      <x:c r="AB44" s="82" t="s"/>
      <x:c r="AC44" s="82" t="s"/>
      <x:c r="AD44" s="82" t="s"/>
      <x:c r="AE44" s="82" t="s"/>
      <x:c r="AF44" s="82" t="s"/>
      <x:c r="AG44" s="82" t="s"/>
      <x:c r="AH44" s="82" t="s"/>
      <x:c r="AI44" s="82" t="s"/>
      <x:c r="AJ44" s="82" t="s"/>
      <x:c r="AK44" s="82" t="s"/>
      <x:c r="AL44" s="82" t="s"/>
      <x:c r="AM44" s="82" t="s"/>
      <x:c r="AN44" s="82" t="s"/>
      <x:c r="AO44" s="82" t="s"/>
      <x:c r="AP44" s="82" t="s"/>
      <x:c r="AQ44" s="82" t="s"/>
      <x:c r="AR44" s="82" t="s"/>
      <x:c r="AS44" s="82" t="s"/>
      <x:c r="AT44" s="82" t="s"/>
      <x:c r="AU44" s="82" t="s"/>
      <x:c r="AV44" s="82" t="s"/>
      <x:c r="AW44" s="82" t="s"/>
      <x:c r="AX44" s="82" t="s"/>
      <x:c r="AY44" s="82" t="s"/>
      <x:c r="AZ44" s="82" t="s"/>
      <x:c r="BA44" s="82" t="s"/>
      <x:c r="BB44" s="82" t="s"/>
      <x:c r="BC44" s="82" t="s"/>
      <x:c r="BD44" s="82" t="s"/>
      <x:c r="BE44" s="82" t="s"/>
      <x:c r="BF44" s="82" t="s"/>
      <x:c r="BG44" s="82" t="s"/>
      <x:c r="BH44" s="82" t="s"/>
      <x:c r="BI44" s="82" t="s"/>
      <x:c r="BJ44" s="82" t="s"/>
      <x:c r="BK44" s="82" t="s"/>
      <x:c r="BL44" s="82" t="s"/>
      <x:c r="BM44" s="82" t="s"/>
      <x:c r="BN44" s="82" t="s"/>
      <x:c r="BO44" s="82" t="s"/>
      <x:c r="BP44" s="82" t="s"/>
      <x:c r="BQ44" s="82" t="s"/>
      <x:c r="BR44" s="82" t="s"/>
    </x:row>
    <x:row r="45" spans="1:70" customFormat="1" ht="15.75" customHeight="1" thickBot="1" x14ac:dyDescent="0.3">
      <x:c r="A45" s="106" t="s">
        <x:v>106</x:v>
      </x:c>
      <x:c r="B45" s="106" t="s">
        <x:v>107</x:v>
      </x:c>
      <x:c r="C45" s="106" t="s">
        <x:v>121</x:v>
      </x:c>
      <x:c r="D45" s="105">
        <x:v>42107</x:v>
      </x:c>
      <x:c r="E45" s="106" t="n">
        <x:v>29674</x:v>
      </x:c>
      <x:c r="F45" s="126" t="n">
        <x:v>51.17</x:v>
      </x:c>
      <x:c r="G45" s="126" t="n">
        <x:v>60.28</x:v>
      </x:c>
      <x:c r="H45" s="106" t="s"/>
      <x:c r="I45" s="106" t="s"/>
      <x:c r="J45" s="82" t="s"/>
      <x:c r="K45" s="82" t="s"/>
      <x:c r="L45" s="82" t="s"/>
      <x:c r="M45" s="82" t="s"/>
      <x:c r="N45" s="82" t="s"/>
      <x:c r="O45" s="82" t="s"/>
      <x:c r="P45" s="82" t="s"/>
      <x:c r="Q45" s="82" t="s"/>
      <x:c r="R45" s="82" t="s"/>
      <x:c r="S45" s="82" t="s"/>
      <x:c r="T45" s="82" t="s"/>
      <x:c r="U45" s="82" t="s"/>
      <x:c r="V45" s="82" t="s"/>
      <x:c r="W45" s="82" t="s"/>
      <x:c r="X45" s="82" t="s"/>
      <x:c r="Y45" s="82" t="s"/>
      <x:c r="Z45" s="82" t="s"/>
      <x:c r="AA45" s="82" t="s"/>
      <x:c r="AB45" s="82" t="s"/>
      <x:c r="AC45" s="82" t="s"/>
      <x:c r="AD45" s="82" t="s"/>
      <x:c r="AE45" s="82" t="s"/>
      <x:c r="AF45" s="82" t="s"/>
      <x:c r="AG45" s="82" t="s"/>
      <x:c r="AH45" s="82" t="s"/>
      <x:c r="AI45" s="82" t="s"/>
      <x:c r="AJ45" s="82" t="s"/>
      <x:c r="AK45" s="82" t="s"/>
      <x:c r="AL45" s="82" t="s"/>
      <x:c r="AM45" s="82" t="s"/>
      <x:c r="AN45" s="82" t="s"/>
      <x:c r="AO45" s="82" t="s"/>
      <x:c r="AP45" s="82" t="s"/>
      <x:c r="AQ45" s="82" t="s"/>
      <x:c r="AR45" s="82" t="s"/>
      <x:c r="AS45" s="82" t="s"/>
      <x:c r="AT45" s="82" t="s"/>
      <x:c r="AU45" s="82" t="s"/>
      <x:c r="AV45" s="82" t="s"/>
      <x:c r="AW45" s="82" t="s"/>
      <x:c r="AX45" s="82" t="s"/>
      <x:c r="AY45" s="82" t="s"/>
      <x:c r="AZ45" s="82" t="s"/>
      <x:c r="BA45" s="82" t="s"/>
      <x:c r="BB45" s="82" t="s"/>
      <x:c r="BC45" s="82" t="s"/>
      <x:c r="BD45" s="82" t="s"/>
      <x:c r="BE45" s="82" t="s"/>
      <x:c r="BF45" s="82" t="s"/>
      <x:c r="BG45" s="82" t="s"/>
      <x:c r="BH45" s="82" t="s"/>
      <x:c r="BI45" s="82" t="s"/>
      <x:c r="BJ45" s="82" t="s"/>
      <x:c r="BK45" s="82" t="s"/>
      <x:c r="BL45" s="82" t="s"/>
      <x:c r="BM45" s="82" t="s"/>
      <x:c r="BN45" s="82" t="s"/>
      <x:c r="BO45" s="82" t="s"/>
      <x:c r="BP45" s="82" t="s"/>
      <x:c r="BQ45" s="82" t="s"/>
      <x:c r="BR45" s="82" t="s"/>
    </x:row>
    <x:row r="46" spans="1:70" x14ac:dyDescent="0.25">
      <x:c r="A46" s="82" t="s">
        <x:v>106</x:v>
      </x:c>
      <x:c r="B46" s="82" t="s">
        <x:v>107</x:v>
      </x:c>
      <x:c r="C46" s="82" t="s">
        <x:v>108</x:v>
      </x:c>
      <x:c r="D46" s="85">
        <x:v>42107</x:v>
      </x:c>
      <x:c r="E46" s="82" t="n">
        <x:v>29684</x:v>
      </x:c>
      <x:c r="F46" s="86" t="n">
        <x:v>0.0989261300826061</x:v>
      </x:c>
      <x:c r="G46" s="86" t="n">
        <x:v>0.24481818377207</x:v>
      </x:c>
      <x:c r="H46" s="86" t="n">
        <x:v>0.143748273418302</x:v>
      </x:c>
      <x:c r="I46" s="86" t="n">
        <x:v>0.147817054016459</x:v>
      </x:c>
      <x:c r="J46" s="82" t="s"/>
      <x:c r="K46" s="82" t="s"/>
      <x:c r="L46" s="82" t="s"/>
      <x:c r="M46" s="82" t="s"/>
      <x:c r="N46" s="82" t="s"/>
      <x:c r="O46" s="82" t="s"/>
      <x:c r="P46" s="82" t="s"/>
      <x:c r="Q46" s="82" t="s"/>
      <x:c r="R46" s="82" t="s"/>
      <x:c r="S46" s="82" t="s"/>
      <x:c r="T46" s="82" t="s"/>
      <x:c r="U46" s="82" t="s"/>
      <x:c r="V46" s="82" t="s"/>
      <x:c r="W46" s="82" t="s"/>
      <x:c r="X46" s="82" t="s"/>
      <x:c r="Y46" s="82" t="s"/>
      <x:c r="Z46" s="82" t="s"/>
      <x:c r="AA46" s="82" t="s"/>
      <x:c r="AB46" s="82" t="s"/>
      <x:c r="AC46" s="82" t="s"/>
      <x:c r="AD46" s="82" t="s"/>
      <x:c r="AE46" s="82" t="s"/>
      <x:c r="AF46" s="82" t="s"/>
      <x:c r="AG46" s="82" t="s"/>
      <x:c r="AH46" s="82" t="s"/>
      <x:c r="AI46" s="82" t="s"/>
      <x:c r="AJ46" s="82" t="s"/>
      <x:c r="AK46" s="82" t="s"/>
      <x:c r="AL46" s="82" t="s"/>
      <x:c r="AM46" s="82" t="s"/>
      <x:c r="AN46" s="82" t="s"/>
      <x:c r="AO46" s="82" t="s"/>
      <x:c r="AP46" s="82" t="s"/>
      <x:c r="AQ46" s="82" t="s"/>
      <x:c r="AR46" s="82" t="s"/>
      <x:c r="AS46" s="82" t="s"/>
      <x:c r="AT46" s="82" t="s"/>
      <x:c r="AU46" s="82" t="s"/>
      <x:c r="AV46" s="82" t="s"/>
      <x:c r="AW46" s="82" t="s"/>
      <x:c r="AX46" s="82" t="s"/>
      <x:c r="AY46" s="82" t="s"/>
      <x:c r="AZ46" s="82" t="s"/>
      <x:c r="BA46" s="82" t="s"/>
      <x:c r="BB46" s="82" t="s"/>
      <x:c r="BC46" s="82" t="s"/>
      <x:c r="BD46" s="82" t="s"/>
      <x:c r="BE46" s="82" t="s"/>
      <x:c r="BF46" s="82" t="s"/>
      <x:c r="BG46" s="82" t="s"/>
      <x:c r="BH46" s="82" t="s"/>
      <x:c r="BI46" s="82" t="s"/>
      <x:c r="BJ46" s="82" t="s"/>
      <x:c r="BK46" s="82" t="s"/>
      <x:c r="BL46" s="82" t="s"/>
      <x:c r="BM46" s="82" t="s"/>
      <x:c r="BN46" s="82" t="s"/>
      <x:c r="BO46" s="82" t="s"/>
      <x:c r="BP46" s="82" t="s"/>
      <x:c r="BQ46" s="82" t="s"/>
      <x:c r="BR46" s="82" t="s"/>
    </x:row>
    <x:row r="47" spans="1:70" x14ac:dyDescent="0.25">
      <x:c r="A47" s="82" t="s">
        <x:v>106</x:v>
      </x:c>
      <x:c r="B47" s="82" t="s">
        <x:v>107</x:v>
      </x:c>
      <x:c r="C47" s="82" t="s">
        <x:v>109</x:v>
      </x:c>
      <x:c r="D47" s="85">
        <x:v>42107</x:v>
      </x:c>
      <x:c r="E47" s="82" t="n">
        <x:v>29684</x:v>
      </x:c>
      <x:c r="F47" s="86" t="n">
        <x:v>2.64261916591501</x:v>
      </x:c>
      <x:c r="G47" s="86" t="n">
        <x:v>2.87170987941109</x:v>
      </x:c>
      <x:c r="H47" s="86" t="n">
        <x:v>4.02331265194224</x:v>
      </x:c>
      <x:c r="I47" s="86" t="n">
        <x:v>3.21465659282248</x:v>
      </x:c>
      <x:c r="J47" s="82" t="s"/>
      <x:c r="K47" s="82" t="s"/>
      <x:c r="L47" s="82" t="s"/>
      <x:c r="M47" s="82" t="s"/>
      <x:c r="N47" s="82" t="s"/>
      <x:c r="O47" s="82" t="s"/>
      <x:c r="P47" s="82" t="s"/>
      <x:c r="Q47" s="82" t="s"/>
      <x:c r="R47" s="82" t="s"/>
      <x:c r="S47" s="82" t="s"/>
      <x:c r="T47" s="82" t="s"/>
      <x:c r="U47" s="82" t="s"/>
      <x:c r="V47" s="82" t="s"/>
      <x:c r="W47" s="82" t="s"/>
      <x:c r="X47" s="82" t="s"/>
      <x:c r="Y47" s="82" t="s"/>
      <x:c r="Z47" s="82" t="s"/>
      <x:c r="AA47" s="82" t="s"/>
      <x:c r="AB47" s="82" t="s"/>
      <x:c r="AC47" s="82" t="s"/>
      <x:c r="AD47" s="82" t="s"/>
      <x:c r="AE47" s="82" t="s"/>
      <x:c r="AF47" s="82" t="s"/>
      <x:c r="AG47" s="82" t="s"/>
      <x:c r="AH47" s="82" t="s"/>
      <x:c r="AI47" s="82" t="s"/>
      <x:c r="AJ47" s="82" t="s"/>
      <x:c r="AK47" s="82" t="s"/>
      <x:c r="AL47" s="82" t="s"/>
      <x:c r="AM47" s="82" t="s"/>
      <x:c r="AN47" s="82" t="s"/>
      <x:c r="AO47" s="82" t="s"/>
      <x:c r="AP47" s="82" t="s"/>
      <x:c r="AQ47" s="82" t="s"/>
      <x:c r="AR47" s="82" t="s"/>
      <x:c r="AS47" s="82" t="s"/>
      <x:c r="AT47" s="82" t="s"/>
      <x:c r="AU47" s="82" t="s"/>
      <x:c r="AV47" s="82" t="s"/>
      <x:c r="AW47" s="82" t="s"/>
      <x:c r="AX47" s="82" t="s"/>
      <x:c r="AY47" s="82" t="s"/>
      <x:c r="AZ47" s="82" t="s"/>
      <x:c r="BA47" s="82" t="s"/>
      <x:c r="BB47" s="82" t="s"/>
      <x:c r="BC47" s="82" t="s"/>
      <x:c r="BD47" s="82" t="s"/>
      <x:c r="BE47" s="82" t="s"/>
      <x:c r="BF47" s="82" t="s"/>
      <x:c r="BG47" s="82" t="s"/>
      <x:c r="BH47" s="82" t="s"/>
      <x:c r="BI47" s="82" t="s"/>
      <x:c r="BJ47" s="82" t="s"/>
      <x:c r="BK47" s="82" t="s"/>
      <x:c r="BL47" s="82" t="s"/>
      <x:c r="BM47" s="82" t="s"/>
      <x:c r="BN47" s="82" t="s"/>
      <x:c r="BO47" s="82" t="s"/>
      <x:c r="BP47" s="82" t="s"/>
      <x:c r="BQ47" s="82" t="s"/>
      <x:c r="BR47" s="82" t="s"/>
    </x:row>
    <x:row r="48" spans="1:70" x14ac:dyDescent="0.25">
      <x:c r="A48" s="82" t="s">
        <x:v>106</x:v>
      </x:c>
      <x:c r="B48" s="82" t="s">
        <x:v>107</x:v>
      </x:c>
      <x:c r="C48" s="82" t="s">
        <x:v>110</x:v>
      </x:c>
      <x:c r="D48" s="85">
        <x:v>42107</x:v>
      </x:c>
      <x:c r="E48" s="82" t="n">
        <x:v>29684</x:v>
      </x:c>
      <x:c r="F48" s="86" t="n">
        <x:v>0.347791876253523</x:v>
      </x:c>
      <x:c r="G48" s="127" t="n">
        <x:v>0.343502301963248</x:v>
      </x:c>
      <x:c r="H48" s="86" t="n">
        <x:v>0.320904335028642</x:v>
      </x:c>
      <x:c r="I48" s="86" t="n">
        <x:v>0.280865017098368</x:v>
      </x:c>
      <x:c r="J48" s="82" t="s"/>
      <x:c r="K48" s="82" t="s"/>
      <x:c r="L48" s="82" t="s"/>
      <x:c r="M48" s="82" t="s"/>
      <x:c r="N48" s="82" t="s"/>
      <x:c r="O48" s="82" t="s"/>
      <x:c r="P48" s="82" t="s"/>
      <x:c r="Q48" s="82" t="s"/>
      <x:c r="R48" s="82" t="s"/>
      <x:c r="S48" s="82" t="s"/>
      <x:c r="T48" s="82" t="s"/>
      <x:c r="U48" s="82" t="s"/>
      <x:c r="V48" s="82" t="s"/>
      <x:c r="W48" s="82" t="s"/>
      <x:c r="X48" s="82" t="s"/>
      <x:c r="Y48" s="82" t="s"/>
      <x:c r="Z48" s="82" t="s"/>
      <x:c r="AA48" s="82" t="s"/>
      <x:c r="AB48" s="82" t="s"/>
      <x:c r="AC48" s="82" t="s"/>
      <x:c r="AD48" s="82" t="s"/>
      <x:c r="AE48" s="82" t="s"/>
      <x:c r="AF48" s="82" t="s"/>
      <x:c r="AG48" s="82" t="s"/>
      <x:c r="AH48" s="82" t="s"/>
      <x:c r="AI48" s="82" t="s"/>
      <x:c r="AJ48" s="82" t="s"/>
      <x:c r="AK48" s="82" t="s"/>
      <x:c r="AL48" s="82" t="s"/>
      <x:c r="AM48" s="82" t="s"/>
      <x:c r="AN48" s="82" t="s"/>
      <x:c r="AO48" s="82" t="s"/>
      <x:c r="AP48" s="82" t="s"/>
      <x:c r="AQ48" s="82" t="s"/>
      <x:c r="AR48" s="82" t="s"/>
      <x:c r="AS48" s="82" t="s"/>
      <x:c r="AT48" s="82" t="s"/>
      <x:c r="AU48" s="82" t="s"/>
      <x:c r="AV48" s="82" t="s"/>
      <x:c r="AW48" s="82" t="s"/>
      <x:c r="AX48" s="82" t="s"/>
      <x:c r="AY48" s="82" t="s"/>
      <x:c r="AZ48" s="82" t="s"/>
      <x:c r="BA48" s="82" t="s"/>
      <x:c r="BB48" s="82" t="s"/>
      <x:c r="BC48" s="82" t="s"/>
      <x:c r="BD48" s="82" t="s"/>
      <x:c r="BE48" s="82" t="s"/>
      <x:c r="BF48" s="82" t="s"/>
      <x:c r="BG48" s="82" t="s"/>
      <x:c r="BH48" s="82" t="s"/>
      <x:c r="BI48" s="82" t="s"/>
      <x:c r="BJ48" s="82" t="s"/>
      <x:c r="BK48" s="82" t="s"/>
      <x:c r="BL48" s="82" t="s"/>
      <x:c r="BM48" s="82" t="s"/>
      <x:c r="BN48" s="82" t="s"/>
      <x:c r="BO48" s="82" t="s"/>
      <x:c r="BP48" s="82" t="s"/>
      <x:c r="BQ48" s="82" t="s"/>
      <x:c r="BR48" s="82" t="s"/>
    </x:row>
    <x:row r="49" spans="1:70" x14ac:dyDescent="0.25">
      <x:c r="A49" s="82" t="s">
        <x:v>106</x:v>
      </x:c>
      <x:c r="B49" s="82" t="s">
        <x:v>107</x:v>
      </x:c>
      <x:c r="C49" s="82" t="s">
        <x:v>111</x:v>
      </x:c>
      <x:c r="D49" s="85">
        <x:v>42107</x:v>
      </x:c>
      <x:c r="E49" s="82" t="n">
        <x:v>29684</x:v>
      </x:c>
      <x:c r="F49" s="86" t="n">
        <x:v>3.72984808364626</x:v>
      </x:c>
      <x:c r="G49" s="127" t="n">
        <x:v>3.90033599468631</x:v>
      </x:c>
      <x:c r="H49" s="86" t="n">
        <x:v>3.19378055126655</x:v>
      </x:c>
      <x:c r="I49" s="86" t="n">
        <x:v>3.68551258567081</x:v>
      </x:c>
      <x:c r="J49" s="82" t="s"/>
      <x:c r="K49" s="82" t="s"/>
      <x:c r="L49" s="82" t="s"/>
      <x:c r="M49" s="82" t="s"/>
      <x:c r="N49" s="82" t="s"/>
      <x:c r="O49" s="82" t="s"/>
      <x:c r="P49" s="82" t="s"/>
      <x:c r="Q49" s="82" t="s"/>
      <x:c r="R49" s="82" t="s"/>
      <x:c r="S49" s="82" t="s"/>
      <x:c r="T49" s="82" t="s"/>
      <x:c r="U49" s="82" t="s"/>
      <x:c r="V49" s="82" t="s"/>
      <x:c r="W49" s="82" t="s"/>
      <x:c r="X49" s="82" t="s"/>
      <x:c r="Y49" s="82" t="s"/>
      <x:c r="Z49" s="82" t="s"/>
      <x:c r="AA49" s="82" t="s"/>
      <x:c r="AB49" s="82" t="s"/>
      <x:c r="AC49" s="82" t="s"/>
      <x:c r="AD49" s="82" t="s"/>
      <x:c r="AE49" s="82" t="s"/>
      <x:c r="AF49" s="82" t="s"/>
      <x:c r="AG49" s="82" t="s"/>
      <x:c r="AH49" s="82" t="s"/>
      <x:c r="AI49" s="82" t="s"/>
      <x:c r="AJ49" s="82" t="s"/>
      <x:c r="AK49" s="82" t="s"/>
      <x:c r="AL49" s="82" t="s"/>
      <x:c r="AM49" s="82" t="s"/>
      <x:c r="AN49" s="82" t="s"/>
      <x:c r="AO49" s="82" t="s"/>
      <x:c r="AP49" s="82" t="s"/>
      <x:c r="AQ49" s="82" t="s"/>
      <x:c r="AR49" s="82" t="s"/>
      <x:c r="AS49" s="82" t="s"/>
      <x:c r="AT49" s="82" t="s"/>
      <x:c r="AU49" s="82" t="s"/>
      <x:c r="AV49" s="82" t="s"/>
      <x:c r="AW49" s="82" t="s"/>
      <x:c r="AX49" s="82" t="s"/>
      <x:c r="AY49" s="82" t="s"/>
      <x:c r="AZ49" s="82" t="s"/>
      <x:c r="BA49" s="82" t="s"/>
      <x:c r="BB49" s="82" t="s"/>
      <x:c r="BC49" s="82" t="s"/>
      <x:c r="BD49" s="82" t="s"/>
      <x:c r="BE49" s="82" t="s"/>
      <x:c r="BF49" s="82" t="s"/>
      <x:c r="BG49" s="82" t="s"/>
      <x:c r="BH49" s="82" t="s"/>
      <x:c r="BI49" s="82" t="s"/>
      <x:c r="BJ49" s="82" t="s"/>
      <x:c r="BK49" s="82" t="s"/>
      <x:c r="BL49" s="82" t="s"/>
      <x:c r="BM49" s="82" t="s"/>
      <x:c r="BN49" s="82" t="s"/>
      <x:c r="BO49" s="82" t="s"/>
      <x:c r="BP49" s="82" t="s"/>
      <x:c r="BQ49" s="82" t="s"/>
      <x:c r="BR49" s="82" t="s"/>
    </x:row>
    <x:row r="50" spans="1:70" x14ac:dyDescent="0.25">
      <x:c r="A50" s="82" t="s">
        <x:v>106</x:v>
      </x:c>
      <x:c r="B50" s="82" t="s">
        <x:v>107</x:v>
      </x:c>
      <x:c r="C50" s="82" t="s">
        <x:v>112</x:v>
      </x:c>
      <x:c r="D50" s="85">
        <x:v>42107</x:v>
      </x:c>
      <x:c r="E50" s="82" t="n">
        <x:v>29684</x:v>
      </x:c>
      <x:c r="F50" s="82" t="n">
        <x:v>11.1736262796326</x:v>
      </x:c>
      <x:c r="G50" s="82" t="n">
        <x:v>11.6843624169861</x:v>
      </x:c>
      <x:c r="H50" s="82" t="n">
        <x:v>9.56771147207826</x:v>
      </x:c>
      <x:c r="I50" s="82" t="n">
        <x:v>11.0408089974835</x:v>
      </x:c>
      <x:c r="J50" s="82" t="s"/>
      <x:c r="K50" s="82" t="s"/>
      <x:c r="L50" s="82" t="s"/>
      <x:c r="M50" s="82" t="s"/>
      <x:c r="N50" s="82" t="s"/>
      <x:c r="O50" s="82" t="s"/>
      <x:c r="P50" s="82" t="s"/>
      <x:c r="Q50" s="82" t="s"/>
      <x:c r="R50" s="82" t="s"/>
      <x:c r="S50" s="82" t="s"/>
      <x:c r="T50" s="82" t="s"/>
      <x:c r="U50" s="82" t="s"/>
      <x:c r="V50" s="82" t="s"/>
      <x:c r="W50" s="82" t="s"/>
      <x:c r="X50" s="82" t="s"/>
      <x:c r="Y50" s="82" t="s"/>
      <x:c r="Z50" s="82" t="s"/>
      <x:c r="AA50" s="82" t="s"/>
      <x:c r="AB50" s="82" t="s"/>
      <x:c r="AC50" s="82" t="s"/>
      <x:c r="AD50" s="82" t="s"/>
      <x:c r="AE50" s="82" t="s"/>
      <x:c r="AF50" s="82" t="s"/>
      <x:c r="AG50" s="82" t="s"/>
      <x:c r="AH50" s="82" t="s"/>
      <x:c r="AI50" s="82" t="s"/>
      <x:c r="AJ50" s="82" t="s"/>
      <x:c r="AK50" s="82" t="s"/>
      <x:c r="AL50" s="82" t="s"/>
      <x:c r="AM50" s="82" t="s"/>
      <x:c r="AN50" s="82" t="s"/>
      <x:c r="AO50" s="82" t="s"/>
      <x:c r="AP50" s="82" t="s"/>
      <x:c r="AQ50" s="82" t="s"/>
      <x:c r="AR50" s="82" t="s"/>
      <x:c r="AS50" s="82" t="s"/>
      <x:c r="AT50" s="82" t="s"/>
      <x:c r="AU50" s="82" t="s"/>
      <x:c r="AV50" s="82" t="s"/>
      <x:c r="AW50" s="82" t="s"/>
      <x:c r="AX50" s="82" t="s"/>
      <x:c r="AY50" s="82" t="s"/>
      <x:c r="AZ50" s="82" t="s"/>
      <x:c r="BA50" s="82" t="s"/>
      <x:c r="BB50" s="82" t="s"/>
      <x:c r="BC50" s="82" t="s"/>
      <x:c r="BD50" s="82" t="s"/>
      <x:c r="BE50" s="82" t="s"/>
      <x:c r="BF50" s="82" t="s"/>
      <x:c r="BG50" s="82" t="s"/>
      <x:c r="BH50" s="82" t="s"/>
      <x:c r="BI50" s="82" t="s"/>
      <x:c r="BJ50" s="82" t="s"/>
      <x:c r="BK50" s="82" t="s"/>
      <x:c r="BL50" s="82" t="s"/>
      <x:c r="BM50" s="82" t="s"/>
      <x:c r="BN50" s="82" t="s"/>
      <x:c r="BO50" s="82" t="s"/>
      <x:c r="BP50" s="82" t="s"/>
      <x:c r="BQ50" s="82" t="s"/>
      <x:c r="BR50" s="82" t="s"/>
    </x:row>
    <x:row r="51" spans="1:70" x14ac:dyDescent="0.25">
      <x:c r="A51" s="82" t="s">
        <x:v>106</x:v>
      </x:c>
      <x:c r="B51" s="82" t="s">
        <x:v>107</x:v>
      </x:c>
      <x:c r="C51" s="82" t="s">
        <x:v>113</x:v>
      </x:c>
      <x:c r="D51" s="85">
        <x:v>42107</x:v>
      </x:c>
      <x:c r="E51" s="82" t="n">
        <x:v>29684</x:v>
      </x:c>
      <x:c r="F51" s="88" t="n">
        <x:v>-7.857</x:v>
      </x:c>
      <x:c r="G51" s="88" t="n">
        <x:v>-7.316</x:v>
      </x:c>
      <x:c r="H51" s="82" t="s"/>
      <x:c r="I51" s="82" t="s"/>
      <x:c r="J51" s="82" t="s"/>
      <x:c r="K51" s="82" t="s"/>
      <x:c r="L51" s="82" t="s"/>
      <x:c r="M51" s="82" t="s"/>
      <x:c r="N51" s="82" t="s"/>
      <x:c r="O51" s="82" t="s"/>
      <x:c r="P51" s="82" t="s"/>
      <x:c r="Q51" s="82" t="s"/>
      <x:c r="R51" s="82" t="s"/>
      <x:c r="S51" s="82" t="s"/>
      <x:c r="T51" s="82" t="s"/>
      <x:c r="U51" s="82" t="s"/>
      <x:c r="V51" s="82" t="s"/>
      <x:c r="W51" s="82" t="s"/>
      <x:c r="X51" s="82" t="s"/>
      <x:c r="Y51" s="82" t="s"/>
      <x:c r="Z51" s="82" t="s"/>
      <x:c r="AA51" s="82" t="s"/>
      <x:c r="AB51" s="82" t="s"/>
      <x:c r="AC51" s="82" t="s"/>
      <x:c r="AD51" s="82" t="s"/>
      <x:c r="AE51" s="82" t="s"/>
      <x:c r="AF51" s="82" t="s"/>
      <x:c r="AG51" s="82" t="s"/>
      <x:c r="AH51" s="82" t="s"/>
      <x:c r="AI51" s="82" t="s"/>
      <x:c r="AJ51" s="82" t="s"/>
      <x:c r="AK51" s="82" t="s"/>
      <x:c r="AL51" s="82" t="s"/>
      <x:c r="AM51" s="82" t="s"/>
      <x:c r="AN51" s="82" t="s"/>
      <x:c r="AO51" s="82" t="s"/>
      <x:c r="AP51" s="82" t="s"/>
      <x:c r="AQ51" s="82" t="s"/>
      <x:c r="AR51" s="82" t="s"/>
      <x:c r="AS51" s="82" t="s"/>
      <x:c r="AT51" s="82" t="s"/>
      <x:c r="AU51" s="82" t="s"/>
      <x:c r="AV51" s="82" t="s"/>
      <x:c r="AW51" s="82" t="s"/>
      <x:c r="AX51" s="82" t="s"/>
      <x:c r="AY51" s="82" t="s"/>
      <x:c r="AZ51" s="82" t="s"/>
      <x:c r="BA51" s="82" t="s"/>
      <x:c r="BB51" s="82" t="s"/>
      <x:c r="BC51" s="82" t="s"/>
      <x:c r="BD51" s="82" t="s"/>
      <x:c r="BE51" s="82" t="s"/>
      <x:c r="BF51" s="82" t="s"/>
      <x:c r="BG51" s="82" t="s"/>
      <x:c r="BH51" s="82" t="s"/>
      <x:c r="BI51" s="82" t="s"/>
      <x:c r="BJ51" s="82" t="s"/>
      <x:c r="BK51" s="82" t="s"/>
      <x:c r="BL51" s="82" t="s"/>
      <x:c r="BM51" s="82" t="s"/>
      <x:c r="BN51" s="82" t="s"/>
      <x:c r="BO51" s="82" t="s"/>
      <x:c r="BP51" s="82" t="s"/>
      <x:c r="BQ51" s="82" t="s"/>
      <x:c r="BR51" s="82" t="s"/>
    </x:row>
    <x:row r="52" spans="1:70" x14ac:dyDescent="0.25">
      <x:c r="A52" s="82" t="s">
        <x:v>106</x:v>
      </x:c>
      <x:c r="B52" s="82" t="s">
        <x:v>107</x:v>
      </x:c>
      <x:c r="C52" s="82" t="s">
        <x:v>114</x:v>
      </x:c>
      <x:c r="D52" s="85">
        <x:v>42107</x:v>
      </x:c>
      <x:c r="E52" s="82" t="n">
        <x:v>29684</x:v>
      </x:c>
      <x:c r="F52" s="88" t="n">
        <x:v>0.74</x:v>
      </x:c>
      <x:c r="G52" s="88" t="n">
        <x:v>1.016</x:v>
      </x:c>
      <x:c r="H52" s="82" t="s"/>
      <x:c r="I52" s="82" t="s"/>
      <x:c r="J52" s="82" t="s"/>
      <x:c r="K52" s="82" t="s"/>
      <x:c r="L52" s="82" t="s"/>
      <x:c r="M52" s="82" t="s"/>
      <x:c r="N52" s="82" t="s"/>
      <x:c r="O52" s="82" t="s"/>
      <x:c r="P52" s="82" t="s"/>
      <x:c r="Q52" s="82" t="s"/>
      <x:c r="R52" s="82" t="s"/>
      <x:c r="S52" s="82" t="s"/>
      <x:c r="T52" s="82" t="s"/>
      <x:c r="U52" s="82" t="s"/>
      <x:c r="V52" s="82" t="s"/>
      <x:c r="W52" s="82" t="s"/>
      <x:c r="X52" s="82" t="s"/>
      <x:c r="Y52" s="82" t="s"/>
      <x:c r="Z52" s="82" t="s"/>
      <x:c r="AA52" s="82" t="s"/>
      <x:c r="AB52" s="82" t="s"/>
      <x:c r="AC52" s="82" t="s"/>
      <x:c r="AD52" s="82" t="s"/>
      <x:c r="AE52" s="82" t="s"/>
      <x:c r="AF52" s="82" t="s"/>
      <x:c r="AG52" s="82" t="s"/>
      <x:c r="AH52" s="82" t="s"/>
      <x:c r="AI52" s="82" t="s"/>
      <x:c r="AJ52" s="82" t="s"/>
      <x:c r="AK52" s="82" t="s"/>
      <x:c r="AL52" s="82" t="s"/>
      <x:c r="AM52" s="82" t="s"/>
      <x:c r="AN52" s="82" t="s"/>
      <x:c r="AO52" s="82" t="s"/>
      <x:c r="AP52" s="82" t="s"/>
      <x:c r="AQ52" s="82" t="s"/>
      <x:c r="AR52" s="82" t="s"/>
      <x:c r="AS52" s="82" t="s"/>
      <x:c r="AT52" s="82" t="s"/>
      <x:c r="AU52" s="82" t="s"/>
      <x:c r="AV52" s="82" t="s"/>
      <x:c r="AW52" s="82" t="s"/>
      <x:c r="AX52" s="82" t="s"/>
      <x:c r="AY52" s="82" t="s"/>
      <x:c r="AZ52" s="82" t="s"/>
      <x:c r="BA52" s="82" t="s"/>
      <x:c r="BB52" s="82" t="s"/>
      <x:c r="BC52" s="82" t="s"/>
      <x:c r="BD52" s="82" t="s"/>
      <x:c r="BE52" s="82" t="s"/>
      <x:c r="BF52" s="82" t="s"/>
      <x:c r="BG52" s="82" t="s"/>
      <x:c r="BH52" s="82" t="s"/>
      <x:c r="BI52" s="82" t="s"/>
      <x:c r="BJ52" s="82" t="s"/>
      <x:c r="BK52" s="82" t="s"/>
      <x:c r="BL52" s="82" t="s"/>
      <x:c r="BM52" s="82" t="s"/>
      <x:c r="BN52" s="82" t="s"/>
      <x:c r="BO52" s="82" t="s"/>
      <x:c r="BP52" s="82" t="s"/>
      <x:c r="BQ52" s="82" t="s"/>
      <x:c r="BR52" s="82" t="s"/>
    </x:row>
    <x:row r="53" spans="1:70" x14ac:dyDescent="0.25">
      <x:c r="A53" s="82" t="s">
        <x:v>106</x:v>
      </x:c>
      <x:c r="B53" s="82" t="s">
        <x:v>107</x:v>
      </x:c>
      <x:c r="C53" s="82" t="s">
        <x:v>115</x:v>
      </x:c>
      <x:c r="D53" s="85">
        <x:v>42107</x:v>
      </x:c>
      <x:c r="E53" s="82" t="n">
        <x:v>29684</x:v>
      </x:c>
      <x:c r="F53" s="101" t="n">
        <x:v>-8.363</x:v>
      </x:c>
      <x:c r="G53" s="101" t="n">
        <x:v>-8.459</x:v>
      </x:c>
      <x:c r="H53" s="82" t="s"/>
      <x:c r="I53" s="82" t="s"/>
      <x:c r="J53" s="82" t="s"/>
      <x:c r="K53" s="82" t="s"/>
      <x:c r="L53" s="82" t="s"/>
      <x:c r="M53" s="82" t="s"/>
      <x:c r="N53" s="82" t="s"/>
      <x:c r="O53" s="82" t="s"/>
      <x:c r="P53" s="82" t="s"/>
      <x:c r="Q53" s="82" t="s"/>
      <x:c r="R53" s="82" t="s"/>
      <x:c r="S53" s="82" t="s"/>
      <x:c r="T53" s="82" t="s"/>
      <x:c r="U53" s="82" t="s"/>
      <x:c r="V53" s="82" t="s"/>
      <x:c r="W53" s="82" t="s"/>
      <x:c r="X53" s="82" t="s"/>
      <x:c r="Y53" s="82" t="s"/>
      <x:c r="Z53" s="82" t="s"/>
      <x:c r="AA53" s="82" t="s"/>
      <x:c r="AB53" s="82" t="s"/>
      <x:c r="AC53" s="82" t="s"/>
      <x:c r="AD53" s="82" t="s"/>
      <x:c r="AE53" s="82" t="s"/>
      <x:c r="AF53" s="82" t="s"/>
      <x:c r="AG53" s="82" t="s"/>
      <x:c r="AH53" s="82" t="s"/>
      <x:c r="AI53" s="82" t="s"/>
      <x:c r="AJ53" s="82" t="s"/>
      <x:c r="AK53" s="82" t="s"/>
      <x:c r="AL53" s="82" t="s"/>
      <x:c r="AM53" s="82" t="s"/>
      <x:c r="AN53" s="82" t="s"/>
      <x:c r="AO53" s="82" t="s"/>
      <x:c r="AP53" s="82" t="s"/>
      <x:c r="AQ53" s="82" t="s"/>
      <x:c r="AR53" s="82" t="s"/>
      <x:c r="AS53" s="82" t="s"/>
      <x:c r="AT53" s="82" t="s"/>
      <x:c r="AU53" s="82" t="s"/>
      <x:c r="AV53" s="82" t="s"/>
      <x:c r="AW53" s="82" t="s"/>
      <x:c r="AX53" s="82" t="s"/>
      <x:c r="AY53" s="82" t="s"/>
      <x:c r="AZ53" s="82" t="s"/>
      <x:c r="BA53" s="82" t="s"/>
      <x:c r="BB53" s="82" t="s"/>
      <x:c r="BC53" s="82" t="s"/>
      <x:c r="BD53" s="82" t="s"/>
      <x:c r="BE53" s="82" t="s"/>
      <x:c r="BF53" s="82" t="s"/>
      <x:c r="BG53" s="82" t="s"/>
      <x:c r="BH53" s="82" t="s"/>
      <x:c r="BI53" s="82" t="s"/>
      <x:c r="BJ53" s="82" t="s"/>
      <x:c r="BK53" s="82" t="s"/>
      <x:c r="BL53" s="82" t="s"/>
      <x:c r="BM53" s="82" t="s"/>
      <x:c r="BN53" s="82" t="s"/>
      <x:c r="BO53" s="82" t="s"/>
      <x:c r="BP53" s="82" t="s"/>
      <x:c r="BQ53" s="82" t="s"/>
      <x:c r="BR53" s="82" t="s"/>
    </x:row>
    <x:row r="54" spans="1:70" x14ac:dyDescent="0.25">
      <x:c r="A54" s="82" t="s">
        <x:v>106</x:v>
      </x:c>
      <x:c r="B54" s="82" t="s">
        <x:v>107</x:v>
      </x:c>
      <x:c r="C54" s="82" t="s">
        <x:v>116</x:v>
      </x:c>
      <x:c r="D54" s="85">
        <x:v>42107</x:v>
      </x:c>
      <x:c r="E54" s="82" t="n">
        <x:v>29684</x:v>
      </x:c>
      <x:c r="F54" s="101" t="n">
        <x:v>0.712</x:v>
      </x:c>
      <x:c r="G54" s="101" t="n">
        <x:v>0.692</x:v>
      </x:c>
      <x:c r="H54" s="82" t="s"/>
      <x:c r="I54" s="82" t="s"/>
      <x:c r="J54" s="82" t="s"/>
      <x:c r="K54" s="82" t="s"/>
      <x:c r="L54" s="82" t="s"/>
      <x:c r="M54" s="82" t="s"/>
      <x:c r="N54" s="82" t="s"/>
      <x:c r="O54" s="82" t="s"/>
      <x:c r="P54" s="82" t="s"/>
      <x:c r="Q54" s="82" t="s"/>
      <x:c r="R54" s="82" t="s"/>
      <x:c r="S54" s="82" t="s"/>
      <x:c r="T54" s="82" t="s"/>
      <x:c r="U54" s="82" t="s"/>
      <x:c r="V54" s="82" t="s"/>
      <x:c r="W54" s="82" t="s"/>
      <x:c r="X54" s="82" t="s"/>
      <x:c r="Y54" s="82" t="s"/>
      <x:c r="Z54" s="82" t="s"/>
      <x:c r="AA54" s="82" t="s"/>
      <x:c r="AB54" s="82" t="s"/>
      <x:c r="AC54" s="82" t="s"/>
      <x:c r="AD54" s="82" t="s"/>
      <x:c r="AE54" s="82" t="s"/>
      <x:c r="AF54" s="82" t="s"/>
      <x:c r="AG54" s="82" t="s"/>
      <x:c r="AH54" s="82" t="s"/>
      <x:c r="AI54" s="82" t="s"/>
      <x:c r="AJ54" s="82" t="s"/>
      <x:c r="AK54" s="82" t="s"/>
      <x:c r="AL54" s="82" t="s"/>
      <x:c r="AM54" s="82" t="s"/>
      <x:c r="AN54" s="82" t="s"/>
      <x:c r="AO54" s="82" t="s"/>
      <x:c r="AP54" s="82" t="s"/>
      <x:c r="AQ54" s="82" t="s"/>
      <x:c r="AR54" s="82" t="s"/>
      <x:c r="AS54" s="82" t="s"/>
      <x:c r="AT54" s="82" t="s"/>
      <x:c r="AU54" s="82" t="s"/>
      <x:c r="AV54" s="82" t="s"/>
      <x:c r="AW54" s="82" t="s"/>
      <x:c r="AX54" s="82" t="s"/>
      <x:c r="AY54" s="82" t="s"/>
      <x:c r="AZ54" s="82" t="s"/>
      <x:c r="BA54" s="82" t="s"/>
      <x:c r="BB54" s="82" t="s"/>
      <x:c r="BC54" s="82" t="s"/>
      <x:c r="BD54" s="82" t="s"/>
      <x:c r="BE54" s="82" t="s"/>
      <x:c r="BF54" s="82" t="s"/>
      <x:c r="BG54" s="82" t="s"/>
      <x:c r="BH54" s="82" t="s"/>
      <x:c r="BI54" s="82" t="s"/>
      <x:c r="BJ54" s="82" t="s"/>
      <x:c r="BK54" s="82" t="s"/>
      <x:c r="BL54" s="82" t="s"/>
      <x:c r="BM54" s="82" t="s"/>
      <x:c r="BN54" s="82" t="s"/>
      <x:c r="BO54" s="82" t="s"/>
      <x:c r="BP54" s="82" t="s"/>
      <x:c r="BQ54" s="82" t="s"/>
      <x:c r="BR54" s="82" t="s"/>
    </x:row>
    <x:row r="55" spans="1:70" x14ac:dyDescent="0.25">
      <x:c r="A55" s="82" t="s">
        <x:v>106</x:v>
      </x:c>
      <x:c r="B55" s="82" t="s">
        <x:v>107</x:v>
      </x:c>
      <x:c r="C55" s="82" t="s">
        <x:v>17</x:v>
      </x:c>
      <x:c r="D55" s="85">
        <x:v>42107</x:v>
      </x:c>
      <x:c r="E55" s="82" t="n">
        <x:v>29684</x:v>
      </x:c>
      <x:c r="F55" s="102" t="n">
        <x:v>36.1987119725901</x:v>
      </x:c>
      <x:c r="G55" s="102" t="n">
        <x:v>34.989416567872</x:v>
      </x:c>
      <x:c r="H55" s="82" t="s"/>
      <x:c r="I55" s="82" t="s"/>
      <x:c r="J55" s="82" t="s"/>
      <x:c r="K55" s="82" t="s"/>
      <x:c r="L55" s="82" t="s"/>
      <x:c r="M55" s="82" t="s"/>
      <x:c r="N55" s="82" t="s"/>
      <x:c r="O55" s="82" t="s"/>
      <x:c r="P55" s="82" t="s"/>
      <x:c r="Q55" s="82" t="s"/>
      <x:c r="R55" s="82" t="s"/>
      <x:c r="S55" s="82" t="s"/>
      <x:c r="T55" s="82" t="s"/>
      <x:c r="U55" s="82" t="s"/>
      <x:c r="V55" s="82" t="s"/>
      <x:c r="W55" s="82" t="s"/>
      <x:c r="X55" s="82" t="s"/>
      <x:c r="Y55" s="82" t="s"/>
      <x:c r="Z55" s="82" t="s"/>
      <x:c r="AA55" s="82" t="s"/>
      <x:c r="AB55" s="82" t="s"/>
      <x:c r="AC55" s="82" t="s"/>
      <x:c r="AD55" s="82" t="s"/>
      <x:c r="AE55" s="82" t="s"/>
      <x:c r="AF55" s="82" t="s"/>
      <x:c r="AG55" s="82" t="s"/>
      <x:c r="AH55" s="82" t="s"/>
      <x:c r="AI55" s="82" t="s"/>
      <x:c r="AJ55" s="82" t="s"/>
      <x:c r="AK55" s="82" t="s"/>
      <x:c r="AL55" s="82" t="s"/>
      <x:c r="AM55" s="82" t="s"/>
      <x:c r="AN55" s="82" t="s"/>
      <x:c r="AO55" s="82" t="s"/>
      <x:c r="AP55" s="82" t="s"/>
      <x:c r="AQ55" s="82" t="s"/>
      <x:c r="AR55" s="82" t="s"/>
      <x:c r="AS55" s="82" t="s"/>
      <x:c r="AT55" s="82" t="s"/>
      <x:c r="AU55" s="82" t="s"/>
      <x:c r="AV55" s="82" t="s"/>
      <x:c r="AW55" s="82" t="s"/>
      <x:c r="AX55" s="82" t="s"/>
      <x:c r="AY55" s="82" t="s"/>
      <x:c r="AZ55" s="82" t="s"/>
      <x:c r="BA55" s="82" t="s"/>
      <x:c r="BB55" s="82" t="s"/>
      <x:c r="BC55" s="82" t="s"/>
      <x:c r="BD55" s="82" t="s"/>
      <x:c r="BE55" s="82" t="s"/>
      <x:c r="BF55" s="82" t="s"/>
      <x:c r="BG55" s="82" t="s"/>
      <x:c r="BH55" s="82" t="s"/>
      <x:c r="BI55" s="82" t="s"/>
      <x:c r="BJ55" s="82" t="s"/>
      <x:c r="BK55" s="82" t="s"/>
      <x:c r="BL55" s="82" t="s"/>
      <x:c r="BM55" s="82" t="s"/>
      <x:c r="BN55" s="82" t="s"/>
      <x:c r="BO55" s="82" t="s"/>
      <x:c r="BP55" s="82" t="s"/>
      <x:c r="BQ55" s="82" t="s"/>
      <x:c r="BR55" s="82" t="s"/>
    </x:row>
    <x:row r="56" spans="1:70" x14ac:dyDescent="0.25">
      <x:c r="A56" s="82" t="s">
        <x:v>106</x:v>
      </x:c>
      <x:c r="B56" s="82" t="s">
        <x:v>107</x:v>
      </x:c>
      <x:c r="C56" s="82" t="s">
        <x:v>18</x:v>
      </x:c>
      <x:c r="D56" s="85">
        <x:v>42107</x:v>
      </x:c>
      <x:c r="E56" s="82" t="n">
        <x:v>29684</x:v>
      </x:c>
      <x:c r="F56" s="102" t="n">
        <x:v>0.0628171682268586</x:v>
      </x:c>
      <x:c r="G56" s="102" t="n">
        <x:v>0.0626776884892006</x:v>
      </x:c>
      <x:c r="H56" s="82" t="s"/>
      <x:c r="I56" s="82" t="s"/>
      <x:c r="J56" s="82" t="s"/>
      <x:c r="K56" s="82" t="s"/>
      <x:c r="L56" s="82" t="s"/>
      <x:c r="M56" s="82" t="s"/>
      <x:c r="N56" s="82" t="s"/>
      <x:c r="O56" s="82" t="s"/>
      <x:c r="P56" s="82" t="s"/>
      <x:c r="Q56" s="82" t="s"/>
      <x:c r="R56" s="82" t="s"/>
      <x:c r="S56" s="82" t="s"/>
      <x:c r="T56" s="82" t="s"/>
      <x:c r="U56" s="82" t="s"/>
      <x:c r="V56" s="82" t="s"/>
      <x:c r="W56" s="82" t="s"/>
      <x:c r="X56" s="82" t="s"/>
      <x:c r="Y56" s="82" t="s"/>
      <x:c r="Z56" s="82" t="s"/>
      <x:c r="AA56" s="82" t="s"/>
      <x:c r="AB56" s="82" t="s"/>
      <x:c r="AC56" s="82" t="s"/>
      <x:c r="AD56" s="82" t="s"/>
      <x:c r="AE56" s="82" t="s"/>
      <x:c r="AF56" s="82" t="s"/>
      <x:c r="AG56" s="82" t="s"/>
      <x:c r="AH56" s="82" t="s"/>
      <x:c r="AI56" s="82" t="s"/>
      <x:c r="AJ56" s="82" t="s"/>
      <x:c r="AK56" s="82" t="s"/>
      <x:c r="AL56" s="82" t="s"/>
      <x:c r="AM56" s="82" t="s"/>
      <x:c r="AN56" s="82" t="s"/>
      <x:c r="AO56" s="82" t="s"/>
      <x:c r="AP56" s="82" t="s"/>
      <x:c r="AQ56" s="82" t="s"/>
      <x:c r="AR56" s="82" t="s"/>
      <x:c r="AS56" s="82" t="s"/>
      <x:c r="AT56" s="82" t="s"/>
      <x:c r="AU56" s="82" t="s"/>
      <x:c r="AV56" s="82" t="s"/>
      <x:c r="AW56" s="82" t="s"/>
      <x:c r="AX56" s="82" t="s"/>
      <x:c r="AY56" s="82" t="s"/>
      <x:c r="AZ56" s="82" t="s"/>
      <x:c r="BA56" s="82" t="s"/>
      <x:c r="BB56" s="82" t="s"/>
      <x:c r="BC56" s="82" t="s"/>
      <x:c r="BD56" s="82" t="s"/>
      <x:c r="BE56" s="82" t="s"/>
      <x:c r="BF56" s="82" t="s"/>
      <x:c r="BG56" s="82" t="s"/>
      <x:c r="BH56" s="82" t="s"/>
      <x:c r="BI56" s="82" t="s"/>
      <x:c r="BJ56" s="82" t="s"/>
      <x:c r="BK56" s="82" t="s"/>
      <x:c r="BL56" s="82" t="s"/>
      <x:c r="BM56" s="82" t="s"/>
      <x:c r="BN56" s="82" t="s"/>
      <x:c r="BO56" s="82" t="s"/>
      <x:c r="BP56" s="82" t="s"/>
      <x:c r="BQ56" s="82" t="s"/>
      <x:c r="BR56" s="82" t="s"/>
    </x:row>
    <x:row r="57" spans="1:70" x14ac:dyDescent="0.25">
      <x:c r="A57" s="82" t="s">
        <x:v>106</x:v>
      </x:c>
      <x:c r="B57" s="82" t="s">
        <x:v>107</x:v>
      </x:c>
      <x:c r="C57" s="82" t="s">
        <x:v>19</x:v>
      </x:c>
      <x:c r="D57" s="85">
        <x:v>42107</x:v>
      </x:c>
      <x:c r="E57" s="82" t="n">
        <x:v>29684</x:v>
      </x:c>
      <x:c r="F57" s="102" t="n">
        <x:v>122.11422291967</x:v>
      </x:c>
      <x:c r="G57" s="102" t="n">
        <x:v>115.002476561178</x:v>
      </x:c>
      <x:c r="H57" s="82" t="s"/>
      <x:c r="I57" s="82" t="s"/>
      <x:c r="J57" s="82" t="s"/>
      <x:c r="K57" s="82" t="s"/>
      <x:c r="L57" s="82" t="s"/>
      <x:c r="M57" s="82" t="s"/>
      <x:c r="N57" s="82" t="s"/>
      <x:c r="O57" s="82" t="s"/>
      <x:c r="P57" s="82" t="s"/>
      <x:c r="Q57" s="82" t="s"/>
      <x:c r="R57" s="82" t="s"/>
      <x:c r="S57" s="82" t="s"/>
      <x:c r="T57" s="82" t="s"/>
      <x:c r="U57" s="82" t="s"/>
      <x:c r="V57" s="82" t="s"/>
      <x:c r="W57" s="82" t="s"/>
      <x:c r="X57" s="82" t="s"/>
      <x:c r="Y57" s="82" t="s"/>
      <x:c r="Z57" s="82" t="s"/>
      <x:c r="AA57" s="82" t="s"/>
      <x:c r="AB57" s="82" t="s"/>
      <x:c r="AC57" s="82" t="s"/>
      <x:c r="AD57" s="82" t="s"/>
      <x:c r="AE57" s="82" t="s"/>
      <x:c r="AF57" s="82" t="s"/>
      <x:c r="AG57" s="82" t="s"/>
      <x:c r="AH57" s="82" t="s"/>
      <x:c r="AI57" s="82" t="s"/>
      <x:c r="AJ57" s="82" t="s"/>
      <x:c r="AK57" s="82" t="s"/>
      <x:c r="AL57" s="82" t="s"/>
      <x:c r="AM57" s="82" t="s"/>
      <x:c r="AN57" s="82" t="s"/>
      <x:c r="AO57" s="82" t="s"/>
      <x:c r="AP57" s="82" t="s"/>
      <x:c r="AQ57" s="82" t="s"/>
      <x:c r="AR57" s="82" t="s"/>
      <x:c r="AS57" s="82" t="s"/>
      <x:c r="AT57" s="82" t="s"/>
      <x:c r="AU57" s="82" t="s"/>
      <x:c r="AV57" s="82" t="s"/>
      <x:c r="AW57" s="82" t="s"/>
      <x:c r="AX57" s="82" t="s"/>
      <x:c r="AY57" s="82" t="s"/>
      <x:c r="AZ57" s="82" t="s"/>
      <x:c r="BA57" s="82" t="s"/>
      <x:c r="BB57" s="82" t="s"/>
      <x:c r="BC57" s="82" t="s"/>
      <x:c r="BD57" s="82" t="s"/>
      <x:c r="BE57" s="82" t="s"/>
      <x:c r="BF57" s="82" t="s"/>
      <x:c r="BG57" s="82" t="s"/>
      <x:c r="BH57" s="82" t="s"/>
      <x:c r="BI57" s="82" t="s"/>
      <x:c r="BJ57" s="82" t="s"/>
      <x:c r="BK57" s="82" t="s"/>
      <x:c r="BL57" s="82" t="s"/>
      <x:c r="BM57" s="82" t="s"/>
      <x:c r="BN57" s="82" t="s"/>
      <x:c r="BO57" s="82" t="s"/>
      <x:c r="BP57" s="82" t="s"/>
      <x:c r="BQ57" s="82" t="s"/>
      <x:c r="BR57" s="82" t="s"/>
    </x:row>
    <x:row r="58" spans="1:70" x14ac:dyDescent="0.25">
      <x:c r="A58" s="82" t="s">
        <x:v>106</x:v>
      </x:c>
      <x:c r="B58" s="82" t="s">
        <x:v>107</x:v>
      </x:c>
      <x:c r="C58" s="82" t="s">
        <x:v>20</x:v>
      </x:c>
      <x:c r="D58" s="85">
        <x:v>42107</x:v>
      </x:c>
      <x:c r="E58" s="82" t="n">
        <x:v>29684</x:v>
      </x:c>
      <x:c r="F58" s="102" t="n">
        <x:v>0.543875704999856</x:v>
      </x:c>
      <x:c r="G58" s="102" t="n">
        <x:v>0.48386706230629</x:v>
      </x:c>
      <x:c r="H58" s="82" t="s"/>
      <x:c r="I58" s="82" t="s"/>
      <x:c r="J58" s="82" t="s"/>
      <x:c r="K58" s="82" t="s"/>
      <x:c r="L58" s="82" t="s"/>
      <x:c r="M58" s="82" t="s"/>
      <x:c r="N58" s="82" t="s"/>
      <x:c r="O58" s="82" t="s"/>
      <x:c r="P58" s="82" t="s"/>
      <x:c r="Q58" s="82" t="s"/>
      <x:c r="R58" s="82" t="s"/>
      <x:c r="S58" s="82" t="s"/>
      <x:c r="T58" s="82" t="s"/>
      <x:c r="U58" s="82" t="s"/>
      <x:c r="V58" s="82" t="s"/>
      <x:c r="W58" s="82" t="s"/>
      <x:c r="X58" s="82" t="s"/>
      <x:c r="Y58" s="82" t="s"/>
      <x:c r="Z58" s="82" t="s"/>
      <x:c r="AA58" s="82" t="s"/>
      <x:c r="AB58" s="82" t="s"/>
      <x:c r="AC58" s="82" t="s"/>
      <x:c r="AD58" s="82" t="s"/>
      <x:c r="AE58" s="82" t="s"/>
      <x:c r="AF58" s="82" t="s"/>
      <x:c r="AG58" s="82" t="s"/>
      <x:c r="AH58" s="82" t="s"/>
      <x:c r="AI58" s="82" t="s"/>
      <x:c r="AJ58" s="82" t="s"/>
      <x:c r="AK58" s="82" t="s"/>
      <x:c r="AL58" s="82" t="s"/>
      <x:c r="AM58" s="82" t="s"/>
      <x:c r="AN58" s="82" t="s"/>
      <x:c r="AO58" s="82" t="s"/>
      <x:c r="AP58" s="82" t="s"/>
      <x:c r="AQ58" s="82" t="s"/>
      <x:c r="AR58" s="82" t="s"/>
      <x:c r="AS58" s="82" t="s"/>
      <x:c r="AT58" s="82" t="s"/>
      <x:c r="AU58" s="82" t="s"/>
      <x:c r="AV58" s="82" t="s"/>
      <x:c r="AW58" s="82" t="s"/>
      <x:c r="AX58" s="82" t="s"/>
      <x:c r="AY58" s="82" t="s"/>
      <x:c r="AZ58" s="82" t="s"/>
      <x:c r="BA58" s="82" t="s"/>
      <x:c r="BB58" s="82" t="s"/>
      <x:c r="BC58" s="82" t="s"/>
      <x:c r="BD58" s="82" t="s"/>
      <x:c r="BE58" s="82" t="s"/>
      <x:c r="BF58" s="82" t="s"/>
      <x:c r="BG58" s="82" t="s"/>
      <x:c r="BH58" s="82" t="s"/>
      <x:c r="BI58" s="82" t="s"/>
      <x:c r="BJ58" s="82" t="s"/>
      <x:c r="BK58" s="82" t="s"/>
      <x:c r="BL58" s="82" t="s"/>
      <x:c r="BM58" s="82" t="s"/>
      <x:c r="BN58" s="82" t="s"/>
      <x:c r="BO58" s="82" t="s"/>
      <x:c r="BP58" s="82" t="s"/>
      <x:c r="BQ58" s="82" t="s"/>
      <x:c r="BR58" s="82" t="s"/>
    </x:row>
    <x:row r="59" spans="1:70" x14ac:dyDescent="0.25">
      <x:c r="A59" s="82" t="s">
        <x:v>106</x:v>
      </x:c>
      <x:c r="B59" s="82" t="s">
        <x:v>107</x:v>
      </x:c>
      <x:c r="C59" s="82" t="s">
        <x:v>21</x:v>
      </x:c>
      <x:c r="D59" s="85">
        <x:v>42107</x:v>
      </x:c>
      <x:c r="E59" s="82" t="n">
        <x:v>29684</x:v>
      </x:c>
      <x:c r="F59" s="102" t="n">
        <x:v>135.017857142857</x:v>
      </x:c>
      <x:c r="G59" s="102" t="n">
        <x:v>126.114438502674</x:v>
      </x:c>
      <x:c r="H59" s="82" t="s"/>
      <x:c r="I59" s="82" t="s"/>
      <x:c r="J59" s="82" t="s"/>
      <x:c r="K59" s="82" t="s"/>
      <x:c r="L59" s="82" t="s"/>
      <x:c r="M59" s="82" t="s"/>
      <x:c r="N59" s="82" t="s"/>
      <x:c r="O59" s="82" t="s"/>
      <x:c r="P59" s="82" t="s"/>
      <x:c r="Q59" s="82" t="s"/>
      <x:c r="R59" s="82" t="s"/>
      <x:c r="S59" s="82" t="s"/>
      <x:c r="T59" s="82" t="s"/>
      <x:c r="U59" s="82" t="s"/>
      <x:c r="V59" s="82" t="s"/>
      <x:c r="W59" s="82" t="s"/>
      <x:c r="X59" s="82" t="s"/>
      <x:c r="Y59" s="82" t="s"/>
      <x:c r="Z59" s="82" t="s"/>
      <x:c r="AA59" s="82" t="s"/>
      <x:c r="AB59" s="82" t="s"/>
      <x:c r="AC59" s="82" t="s"/>
      <x:c r="AD59" s="82" t="s"/>
      <x:c r="AE59" s="82" t="s"/>
      <x:c r="AF59" s="82" t="s"/>
      <x:c r="AG59" s="82" t="s"/>
      <x:c r="AH59" s="82" t="s"/>
      <x:c r="AI59" s="82" t="s"/>
      <x:c r="AJ59" s="82" t="s"/>
      <x:c r="AK59" s="82" t="s"/>
      <x:c r="AL59" s="82" t="s"/>
      <x:c r="AM59" s="82" t="s"/>
      <x:c r="AN59" s="82" t="s"/>
      <x:c r="AO59" s="82" t="s"/>
      <x:c r="AP59" s="82" t="s"/>
      <x:c r="AQ59" s="82" t="s"/>
      <x:c r="AR59" s="82" t="s"/>
      <x:c r="AS59" s="82" t="s"/>
      <x:c r="AT59" s="82" t="s"/>
      <x:c r="AU59" s="82" t="s"/>
      <x:c r="AV59" s="82" t="s"/>
      <x:c r="AW59" s="82" t="s"/>
      <x:c r="AX59" s="82" t="s"/>
      <x:c r="AY59" s="82" t="s"/>
      <x:c r="AZ59" s="82" t="s"/>
      <x:c r="BA59" s="82" t="s"/>
      <x:c r="BB59" s="82" t="s"/>
      <x:c r="BC59" s="82" t="s"/>
      <x:c r="BD59" s="82" t="s"/>
      <x:c r="BE59" s="82" t="s"/>
      <x:c r="BF59" s="82" t="s"/>
      <x:c r="BG59" s="82" t="s"/>
      <x:c r="BH59" s="82" t="s"/>
      <x:c r="BI59" s="82" t="s"/>
      <x:c r="BJ59" s="82" t="s"/>
      <x:c r="BK59" s="82" t="s"/>
      <x:c r="BL59" s="82" t="s"/>
      <x:c r="BM59" s="82" t="s"/>
      <x:c r="BN59" s="82" t="s"/>
      <x:c r="BO59" s="82" t="s"/>
      <x:c r="BP59" s="82" t="s"/>
      <x:c r="BQ59" s="82" t="s"/>
      <x:c r="BR59" s="82" t="s"/>
    </x:row>
    <x:row r="60" spans="1:70" x14ac:dyDescent="0.25">
      <x:c r="A60" s="82" t="s">
        <x:v>106</x:v>
      </x:c>
      <x:c r="B60" s="82" t="s">
        <x:v>107</x:v>
      </x:c>
      <x:c r="C60" s="82" t="s">
        <x:v>22</x:v>
      </x:c>
      <x:c r="D60" s="85">
        <x:v>42107</x:v>
      </x:c>
      <x:c r="E60" s="82" t="n">
        <x:v>29684</x:v>
      </x:c>
      <x:c r="F60" s="102" t="n">
        <x:v>0.608805892857143</x:v>
      </x:c>
      <x:c r="G60" s="102" t="n">
        <x:v>0.636572406417112</x:v>
      </x:c>
      <x:c r="H60" s="82" t="s"/>
      <x:c r="I60" s="82" t="s"/>
      <x:c r="J60" s="82" t="s"/>
      <x:c r="K60" s="82" t="s"/>
      <x:c r="L60" s="82" t="s"/>
      <x:c r="M60" s="82" t="s"/>
      <x:c r="N60" s="82" t="s"/>
      <x:c r="O60" s="82" t="s"/>
      <x:c r="P60" s="82" t="s"/>
      <x:c r="Q60" s="82" t="s"/>
      <x:c r="R60" s="82" t="s"/>
      <x:c r="S60" s="82" t="s"/>
      <x:c r="T60" s="82" t="s"/>
      <x:c r="U60" s="82" t="s"/>
      <x:c r="V60" s="82" t="s"/>
      <x:c r="W60" s="82" t="s"/>
      <x:c r="X60" s="82" t="s"/>
      <x:c r="Y60" s="82" t="s"/>
      <x:c r="Z60" s="82" t="s"/>
      <x:c r="AA60" s="82" t="s"/>
      <x:c r="AB60" s="82" t="s"/>
      <x:c r="AC60" s="82" t="s"/>
      <x:c r="AD60" s="82" t="s"/>
      <x:c r="AE60" s="82" t="s"/>
      <x:c r="AF60" s="82" t="s"/>
      <x:c r="AG60" s="82" t="s"/>
      <x:c r="AH60" s="82" t="s"/>
      <x:c r="AI60" s="82" t="s"/>
      <x:c r="AJ60" s="82" t="s"/>
      <x:c r="AK60" s="82" t="s"/>
      <x:c r="AL60" s="82" t="s"/>
      <x:c r="AM60" s="82" t="s"/>
      <x:c r="AN60" s="82" t="s"/>
      <x:c r="AO60" s="82" t="s"/>
      <x:c r="AP60" s="82" t="s"/>
      <x:c r="AQ60" s="82" t="s"/>
      <x:c r="AR60" s="82" t="s"/>
      <x:c r="AS60" s="82" t="s"/>
      <x:c r="AT60" s="82" t="s"/>
      <x:c r="AU60" s="82" t="s"/>
      <x:c r="AV60" s="82" t="s"/>
      <x:c r="AW60" s="82" t="s"/>
      <x:c r="AX60" s="82" t="s"/>
      <x:c r="AY60" s="82" t="s"/>
      <x:c r="AZ60" s="82" t="s"/>
      <x:c r="BA60" s="82" t="s"/>
      <x:c r="BB60" s="82" t="s"/>
      <x:c r="BC60" s="82" t="s"/>
      <x:c r="BD60" s="82" t="s"/>
      <x:c r="BE60" s="82" t="s"/>
      <x:c r="BF60" s="82" t="s"/>
      <x:c r="BG60" s="82" t="s"/>
      <x:c r="BH60" s="82" t="s"/>
      <x:c r="BI60" s="82" t="s"/>
      <x:c r="BJ60" s="82" t="s"/>
      <x:c r="BK60" s="82" t="s"/>
      <x:c r="BL60" s="82" t="s"/>
      <x:c r="BM60" s="82" t="s"/>
      <x:c r="BN60" s="82" t="s"/>
      <x:c r="BO60" s="82" t="s"/>
      <x:c r="BP60" s="82" t="s"/>
      <x:c r="BQ60" s="82" t="s"/>
      <x:c r="BR60" s="82" t="s"/>
    </x:row>
    <x:row r="61" spans="1:70" x14ac:dyDescent="0.25">
      <x:c r="A61" s="82" t="s">
        <x:v>106</x:v>
      </x:c>
      <x:c r="B61" s="82" t="s">
        <x:v>107</x:v>
      </x:c>
      <x:c r="C61" s="82" t="s">
        <x:v>23</x:v>
      </x:c>
      <x:c r="D61" s="85">
        <x:v>42107</x:v>
      </x:c>
      <x:c r="E61" s="82" t="n">
        <x:v>29684</x:v>
      </x:c>
      <x:c r="F61" s="102" t="n">
        <x:v>717.04</x:v>
      </x:c>
      <x:c r="G61" s="102" t="n">
        <x:v>692.84</x:v>
      </x:c>
      <x:c r="H61" s="82" t="s"/>
      <x:c r="I61" s="82" t="s"/>
      <x:c r="J61" s="82" t="s"/>
      <x:c r="K61" s="82" t="s"/>
      <x:c r="L61" s="82" t="s"/>
      <x:c r="M61" s="82" t="s"/>
      <x:c r="N61" s="82" t="s"/>
      <x:c r="O61" s="82" t="s"/>
      <x:c r="P61" s="82" t="s"/>
      <x:c r="Q61" s="82" t="s"/>
      <x:c r="R61" s="82" t="s"/>
      <x:c r="S61" s="82" t="s"/>
      <x:c r="T61" s="82" t="s"/>
      <x:c r="U61" s="82" t="s"/>
      <x:c r="V61" s="82" t="s"/>
      <x:c r="W61" s="82" t="s"/>
      <x:c r="X61" s="82" t="s"/>
      <x:c r="Y61" s="82" t="s"/>
      <x:c r="Z61" s="82" t="s"/>
      <x:c r="AA61" s="82" t="s"/>
      <x:c r="AB61" s="82" t="s"/>
      <x:c r="AC61" s="82" t="s"/>
      <x:c r="AD61" s="82" t="s"/>
      <x:c r="AE61" s="82" t="s"/>
      <x:c r="AF61" s="82" t="s"/>
      <x:c r="AG61" s="82" t="s"/>
      <x:c r="AH61" s="82" t="s"/>
      <x:c r="AI61" s="82" t="s"/>
      <x:c r="AJ61" s="82" t="s"/>
      <x:c r="AK61" s="82" t="s"/>
      <x:c r="AL61" s="82" t="s"/>
      <x:c r="AM61" s="82" t="s"/>
      <x:c r="AN61" s="82" t="s"/>
      <x:c r="AO61" s="82" t="s"/>
      <x:c r="AP61" s="82" t="s"/>
      <x:c r="AQ61" s="82" t="s"/>
      <x:c r="AR61" s="82" t="s"/>
      <x:c r="AS61" s="82" t="s"/>
      <x:c r="AT61" s="82" t="s"/>
      <x:c r="AU61" s="82" t="s"/>
      <x:c r="AV61" s="82" t="s"/>
      <x:c r="AW61" s="82" t="s"/>
      <x:c r="AX61" s="82" t="s"/>
      <x:c r="AY61" s="82" t="s"/>
      <x:c r="AZ61" s="82" t="s"/>
      <x:c r="BA61" s="82" t="s"/>
      <x:c r="BB61" s="82" t="s"/>
      <x:c r="BC61" s="82" t="s"/>
      <x:c r="BD61" s="82" t="s"/>
      <x:c r="BE61" s="82" t="s"/>
      <x:c r="BF61" s="82" t="s"/>
      <x:c r="BG61" s="82" t="s"/>
      <x:c r="BH61" s="82" t="s"/>
      <x:c r="BI61" s="82" t="s"/>
      <x:c r="BJ61" s="82" t="s"/>
      <x:c r="BK61" s="82" t="s"/>
      <x:c r="BL61" s="82" t="s"/>
      <x:c r="BM61" s="82" t="s"/>
      <x:c r="BN61" s="82" t="s"/>
      <x:c r="BO61" s="82" t="s"/>
      <x:c r="BP61" s="82" t="s"/>
      <x:c r="BQ61" s="82" t="s"/>
      <x:c r="BR61" s="82" t="s"/>
    </x:row>
    <x:row r="62" spans="1:70" x14ac:dyDescent="0.25">
      <x:c r="A62" s="82" t="s">
        <x:v>106</x:v>
      </x:c>
      <x:c r="B62" s="82" t="s">
        <x:v>107</x:v>
      </x:c>
      <x:c r="C62" s="82" t="s">
        <x:v>24</x:v>
      </x:c>
      <x:c r="D62" s="85">
        <x:v>42107</x:v>
      </x:c>
      <x:c r="E62" s="82" t="n">
        <x:v>29684</x:v>
      </x:c>
      <x:c r="F62" s="102" t="n">
        <x:v>92.908</x:v>
      </x:c>
      <x:c r="G62" s="102" t="n">
        <x:v>94.216</x:v>
      </x:c>
      <x:c r="H62" s="82" t="s"/>
      <x:c r="I62" s="82" t="s"/>
      <x:c r="J62" s="82" t="s"/>
      <x:c r="K62" s="82" t="s"/>
      <x:c r="L62" s="82" t="s"/>
      <x:c r="M62" s="82" t="s"/>
      <x:c r="N62" s="82" t="s"/>
      <x:c r="O62" s="82" t="s"/>
      <x:c r="P62" s="82" t="s"/>
      <x:c r="Q62" s="82" t="s"/>
      <x:c r="R62" s="82" t="s"/>
      <x:c r="S62" s="82" t="s"/>
      <x:c r="T62" s="82" t="s"/>
      <x:c r="U62" s="82" t="s"/>
      <x:c r="V62" s="82" t="s"/>
      <x:c r="W62" s="82" t="s"/>
      <x:c r="X62" s="82" t="s"/>
      <x:c r="Y62" s="82" t="s"/>
      <x:c r="Z62" s="82" t="s"/>
      <x:c r="AA62" s="82" t="s"/>
      <x:c r="AB62" s="82" t="s"/>
      <x:c r="AC62" s="82" t="s"/>
      <x:c r="AD62" s="82" t="s"/>
      <x:c r="AE62" s="82" t="s"/>
      <x:c r="AF62" s="82" t="s"/>
      <x:c r="AG62" s="82" t="s"/>
      <x:c r="AH62" s="82" t="s"/>
      <x:c r="AI62" s="82" t="s"/>
      <x:c r="AJ62" s="82" t="s"/>
      <x:c r="AK62" s="82" t="s"/>
      <x:c r="AL62" s="82" t="s"/>
      <x:c r="AM62" s="82" t="s"/>
      <x:c r="AN62" s="82" t="s"/>
      <x:c r="AO62" s="82" t="s"/>
      <x:c r="AP62" s="82" t="s"/>
      <x:c r="AQ62" s="82" t="s"/>
      <x:c r="AR62" s="82" t="s"/>
      <x:c r="AS62" s="82" t="s"/>
      <x:c r="AT62" s="82" t="s"/>
      <x:c r="AU62" s="82" t="s"/>
      <x:c r="AV62" s="82" t="s"/>
      <x:c r="AW62" s="82" t="s"/>
      <x:c r="AX62" s="82" t="s"/>
      <x:c r="AY62" s="82" t="s"/>
      <x:c r="AZ62" s="82" t="s"/>
      <x:c r="BA62" s="82" t="s"/>
      <x:c r="BB62" s="82" t="s"/>
      <x:c r="BC62" s="82" t="s"/>
      <x:c r="BD62" s="82" t="s"/>
      <x:c r="BE62" s="82" t="s"/>
      <x:c r="BF62" s="82" t="s"/>
      <x:c r="BG62" s="82" t="s"/>
      <x:c r="BH62" s="82" t="s"/>
      <x:c r="BI62" s="82" t="s"/>
      <x:c r="BJ62" s="82" t="s"/>
      <x:c r="BK62" s="82" t="s"/>
      <x:c r="BL62" s="82" t="s"/>
      <x:c r="BM62" s="82" t="s"/>
      <x:c r="BN62" s="82" t="s"/>
      <x:c r="BO62" s="82" t="s"/>
      <x:c r="BP62" s="82" t="s"/>
      <x:c r="BQ62" s="82" t="s"/>
      <x:c r="BR62" s="82" t="s"/>
    </x:row>
    <x:row r="63" spans="1:70" x14ac:dyDescent="0.25">
      <x:c r="A63" s="82" t="s">
        <x:v>106</x:v>
      </x:c>
      <x:c r="B63" s="82" t="s">
        <x:v>107</x:v>
      </x:c>
      <x:c r="C63" s="82" t="s">
        <x:v>117</x:v>
      </x:c>
      <x:c r="D63" s="85">
        <x:v>42107</x:v>
      </x:c>
      <x:c r="E63" s="82" t="n">
        <x:v>29684</x:v>
      </x:c>
      <x:c r="F63" s="82" t="n">
        <x:v>1</x:v>
      </x:c>
      <x:c r="G63" s="82" t="n">
        <x:v>1</x:v>
      </x:c>
      <x:c r="H63" s="82" t="s"/>
      <x:c r="I63" s="82" t="s"/>
      <x:c r="J63" s="82" t="s"/>
      <x:c r="K63" s="82" t="s"/>
      <x:c r="L63" s="82" t="s"/>
      <x:c r="M63" s="82" t="s"/>
      <x:c r="N63" s="82" t="s"/>
      <x:c r="O63" s="82" t="s"/>
      <x:c r="P63" s="82" t="s"/>
      <x:c r="Q63" s="82" t="s"/>
      <x:c r="R63" s="82" t="s"/>
      <x:c r="S63" s="82" t="s"/>
      <x:c r="T63" s="82" t="s"/>
      <x:c r="U63" s="82" t="s"/>
      <x:c r="V63" s="82" t="s"/>
      <x:c r="W63" s="82" t="s"/>
      <x:c r="X63" s="82" t="s"/>
      <x:c r="Y63" s="82" t="s"/>
      <x:c r="Z63" s="82" t="s"/>
      <x:c r="AA63" s="82" t="s"/>
      <x:c r="AB63" s="82" t="s"/>
      <x:c r="AC63" s="82" t="s"/>
      <x:c r="AD63" s="82" t="s"/>
      <x:c r="AE63" s="82" t="s"/>
      <x:c r="AF63" s="82" t="s"/>
      <x:c r="AG63" s="82" t="s"/>
      <x:c r="AH63" s="82" t="s"/>
      <x:c r="AI63" s="82" t="s"/>
      <x:c r="AJ63" s="82" t="s"/>
      <x:c r="AK63" s="82" t="s"/>
      <x:c r="AL63" s="82" t="s"/>
      <x:c r="AM63" s="82" t="s"/>
      <x:c r="AN63" s="82" t="s"/>
      <x:c r="AO63" s="82" t="s"/>
      <x:c r="AP63" s="82" t="s"/>
      <x:c r="AQ63" s="82" t="s"/>
      <x:c r="AR63" s="82" t="s"/>
      <x:c r="AS63" s="82" t="s"/>
      <x:c r="AT63" s="82" t="s"/>
      <x:c r="AU63" s="82" t="s"/>
      <x:c r="AV63" s="82" t="s"/>
      <x:c r="AW63" s="82" t="s"/>
      <x:c r="AX63" s="82" t="s"/>
      <x:c r="AY63" s="82" t="s"/>
      <x:c r="AZ63" s="82" t="s"/>
      <x:c r="BA63" s="82" t="s"/>
      <x:c r="BB63" s="82" t="s"/>
      <x:c r="BC63" s="82" t="s"/>
      <x:c r="BD63" s="82" t="s"/>
      <x:c r="BE63" s="82" t="s"/>
      <x:c r="BF63" s="82" t="s"/>
      <x:c r="BG63" s="82" t="s"/>
      <x:c r="BH63" s="82" t="s"/>
      <x:c r="BI63" s="82" t="s"/>
      <x:c r="BJ63" s="82" t="s"/>
      <x:c r="BK63" s="82" t="s"/>
      <x:c r="BL63" s="82" t="s"/>
      <x:c r="BM63" s="82" t="s"/>
      <x:c r="BN63" s="82" t="s"/>
      <x:c r="BO63" s="82" t="s"/>
      <x:c r="BP63" s="82" t="s"/>
      <x:c r="BQ63" s="82" t="s"/>
      <x:c r="BR63" s="82" t="s"/>
    </x:row>
    <x:row r="64" spans="1:70" x14ac:dyDescent="0.25">
      <x:c r="A64" s="82" t="s">
        <x:v>106</x:v>
      </x:c>
      <x:c r="B64" s="82" t="s">
        <x:v>107</x:v>
      </x:c>
      <x:c r="C64" s="82" t="s">
        <x:v>118</x:v>
      </x:c>
      <x:c r="D64" s="85">
        <x:v>42107</x:v>
      </x:c>
      <x:c r="E64" s="82" t="n">
        <x:v>29684</x:v>
      </x:c>
      <x:c r="F64" s="90" t="n">
        <x:v>109.7</x:v>
      </x:c>
      <x:c r="G64" s="90" t="n">
        <x:v>105.6</x:v>
      </x:c>
      <x:c r="H64" s="82" t="s"/>
      <x:c r="I64" s="82" t="s"/>
      <x:c r="J64" s="82" t="s"/>
      <x:c r="K64" s="82" t="s"/>
      <x:c r="L64" s="82" t="s"/>
      <x:c r="M64" s="82" t="s"/>
      <x:c r="N64" s="82" t="s"/>
      <x:c r="O64" s="82" t="s"/>
      <x:c r="P64" s="82" t="s"/>
      <x:c r="Q64" s="82" t="s"/>
      <x:c r="R64" s="82" t="s"/>
      <x:c r="S64" s="82" t="s"/>
      <x:c r="T64" s="82" t="s"/>
      <x:c r="U64" s="82" t="s"/>
      <x:c r="V64" s="82" t="s"/>
      <x:c r="W64" s="82" t="s"/>
      <x:c r="X64" s="82" t="s"/>
      <x:c r="Y64" s="82" t="s"/>
      <x:c r="Z64" s="82" t="s"/>
      <x:c r="AA64" s="82" t="s"/>
      <x:c r="AB64" s="82" t="s"/>
      <x:c r="AC64" s="82" t="s"/>
      <x:c r="AD64" s="82" t="s"/>
      <x:c r="AE64" s="82" t="s"/>
      <x:c r="AF64" s="82" t="s"/>
      <x:c r="AG64" s="82" t="s"/>
      <x:c r="AH64" s="82" t="s"/>
      <x:c r="AI64" s="82" t="s"/>
      <x:c r="AJ64" s="82" t="s"/>
      <x:c r="AK64" s="82" t="s"/>
      <x:c r="AL64" s="82" t="s"/>
      <x:c r="AM64" s="82" t="s"/>
      <x:c r="AN64" s="82" t="s"/>
      <x:c r="AO64" s="82" t="s"/>
      <x:c r="AP64" s="82" t="s"/>
      <x:c r="AQ64" s="82" t="s"/>
      <x:c r="AR64" s="82" t="s"/>
      <x:c r="AS64" s="82" t="s"/>
      <x:c r="AT64" s="82" t="s"/>
      <x:c r="AU64" s="82" t="s"/>
      <x:c r="AV64" s="82" t="s"/>
      <x:c r="AW64" s="82" t="s"/>
      <x:c r="AX64" s="82" t="s"/>
      <x:c r="AY64" s="82" t="s"/>
      <x:c r="AZ64" s="82" t="s"/>
      <x:c r="BA64" s="82" t="s"/>
      <x:c r="BB64" s="82" t="s"/>
      <x:c r="BC64" s="82" t="s"/>
      <x:c r="BD64" s="82" t="s"/>
      <x:c r="BE64" s="82" t="s"/>
      <x:c r="BF64" s="82" t="s"/>
      <x:c r="BG64" s="82" t="s"/>
      <x:c r="BH64" s="82" t="s"/>
      <x:c r="BI64" s="82" t="s"/>
      <x:c r="BJ64" s="82" t="s"/>
      <x:c r="BK64" s="82" t="s"/>
      <x:c r="BL64" s="82" t="s"/>
      <x:c r="BM64" s="82" t="s"/>
      <x:c r="BN64" s="82" t="s"/>
      <x:c r="BO64" s="82" t="s"/>
      <x:c r="BP64" s="82" t="s"/>
      <x:c r="BQ64" s="82" t="s"/>
      <x:c r="BR64" s="82" t="s"/>
    </x:row>
    <x:row r="65" spans="1:70" x14ac:dyDescent="0.25">
      <x:c r="A65" s="82" t="s">
        <x:v>106</x:v>
      </x:c>
      <x:c r="B65" s="82" t="s">
        <x:v>107</x:v>
      </x:c>
      <x:c r="C65" s="82" t="s">
        <x:v>119</x:v>
      </x:c>
      <x:c r="D65" s="85">
        <x:v>42107</x:v>
      </x:c>
      <x:c r="E65" s="82" t="n">
        <x:v>29684</x:v>
      </x:c>
      <x:c r="F65" s="90" t="n">
        <x:v>106</x:v>
      </x:c>
      <x:c r="G65" s="90" t="n">
        <x:v>104.2</x:v>
      </x:c>
      <x:c r="H65" s="82" t="s"/>
      <x:c r="I65" s="82" t="s"/>
      <x:c r="J65" s="82" t="s"/>
      <x:c r="K65" s="82" t="s"/>
      <x:c r="L65" s="82" t="s"/>
      <x:c r="M65" s="82" t="s"/>
      <x:c r="N65" s="82" t="s"/>
      <x:c r="O65" s="82" t="s"/>
      <x:c r="P65" s="82" t="s"/>
      <x:c r="Q65" s="82" t="s"/>
      <x:c r="R65" s="82" t="s"/>
      <x:c r="S65" s="82" t="s"/>
      <x:c r="T65" s="82" t="s"/>
      <x:c r="U65" s="82" t="s"/>
      <x:c r="V65" s="82" t="s"/>
      <x:c r="W65" s="82" t="s"/>
      <x:c r="X65" s="82" t="s"/>
      <x:c r="Y65" s="82" t="s"/>
      <x:c r="Z65" s="82" t="s"/>
      <x:c r="AA65" s="82" t="s"/>
      <x:c r="AB65" s="82" t="s"/>
      <x:c r="AC65" s="82" t="s"/>
      <x:c r="AD65" s="82" t="s"/>
      <x:c r="AE65" s="82" t="s"/>
      <x:c r="AF65" s="82" t="s"/>
      <x:c r="AG65" s="82" t="s"/>
      <x:c r="AH65" s="82" t="s"/>
      <x:c r="AI65" s="82" t="s"/>
      <x:c r="AJ65" s="82" t="s"/>
      <x:c r="AK65" s="82" t="s"/>
      <x:c r="AL65" s="82" t="s"/>
      <x:c r="AM65" s="82" t="s"/>
      <x:c r="AN65" s="82" t="s"/>
      <x:c r="AO65" s="82" t="s"/>
      <x:c r="AP65" s="82" t="s"/>
      <x:c r="AQ65" s="82" t="s"/>
      <x:c r="AR65" s="82" t="s"/>
      <x:c r="AS65" s="82" t="s"/>
      <x:c r="AT65" s="82" t="s"/>
      <x:c r="AU65" s="82" t="s"/>
      <x:c r="AV65" s="82" t="s"/>
      <x:c r="AW65" s="82" t="s"/>
      <x:c r="AX65" s="82" t="s"/>
      <x:c r="AY65" s="82" t="s"/>
      <x:c r="AZ65" s="82" t="s"/>
      <x:c r="BA65" s="82" t="s"/>
      <x:c r="BB65" s="82" t="s"/>
      <x:c r="BC65" s="82" t="s"/>
      <x:c r="BD65" s="82" t="s"/>
      <x:c r="BE65" s="82" t="s"/>
      <x:c r="BF65" s="82" t="s"/>
      <x:c r="BG65" s="82" t="s"/>
      <x:c r="BH65" s="82" t="s"/>
      <x:c r="BI65" s="82" t="s"/>
      <x:c r="BJ65" s="82" t="s"/>
      <x:c r="BK65" s="82" t="s"/>
      <x:c r="BL65" s="82" t="s"/>
      <x:c r="BM65" s="82" t="s"/>
      <x:c r="BN65" s="82" t="s"/>
      <x:c r="BO65" s="82" t="s"/>
      <x:c r="BP65" s="82" t="s"/>
      <x:c r="BQ65" s="82" t="s"/>
      <x:c r="BR65" s="82" t="s"/>
    </x:row>
    <x:row r="66" spans="1:70" x14ac:dyDescent="0.25">
      <x:c r="A66" s="82" t="s">
        <x:v>106</x:v>
      </x:c>
      <x:c r="B66" s="82" t="s">
        <x:v>107</x:v>
      </x:c>
      <x:c r="C66" s="82" t="s">
        <x:v>120</x:v>
      </x:c>
      <x:c r="D66" s="85">
        <x:v>42107</x:v>
      </x:c>
      <x:c r="E66" s="82" t="n">
        <x:v>29684</x:v>
      </x:c>
      <x:c r="F66" s="90" t="n">
        <x:v>-3.7</x:v>
      </x:c>
      <x:c r="G66" s="90" t="n">
        <x:v>-1.39999999999999</x:v>
      </x:c>
      <x:c r="H66" s="82" t="s"/>
      <x:c r="I66" s="82" t="s"/>
      <x:c r="J66" s="82" t="s"/>
      <x:c r="K66" s="82" t="s"/>
      <x:c r="L66" s="82" t="s"/>
      <x:c r="M66" s="82" t="s"/>
      <x:c r="N66" s="82" t="s"/>
      <x:c r="O66" s="82" t="s"/>
      <x:c r="P66" s="82" t="s"/>
      <x:c r="Q66" s="82" t="s"/>
      <x:c r="R66" s="82" t="s"/>
      <x:c r="S66" s="82" t="s"/>
      <x:c r="T66" s="82" t="s"/>
      <x:c r="U66" s="82" t="s"/>
      <x:c r="V66" s="82" t="s"/>
      <x:c r="W66" s="82" t="s"/>
      <x:c r="X66" s="82" t="s"/>
      <x:c r="Y66" s="82" t="s"/>
      <x:c r="Z66" s="82" t="s"/>
      <x:c r="AA66" s="82" t="s"/>
      <x:c r="AB66" s="82" t="s"/>
      <x:c r="AC66" s="82" t="s"/>
      <x:c r="AD66" s="82" t="s"/>
      <x:c r="AE66" s="82" t="s"/>
      <x:c r="AF66" s="82" t="s"/>
      <x:c r="AG66" s="82" t="s"/>
      <x:c r="AH66" s="82" t="s"/>
      <x:c r="AI66" s="82" t="s"/>
      <x:c r="AJ66" s="82" t="s"/>
      <x:c r="AK66" s="82" t="s"/>
      <x:c r="AL66" s="82" t="s"/>
      <x:c r="AM66" s="82" t="s"/>
      <x:c r="AN66" s="82" t="s"/>
      <x:c r="AO66" s="82" t="s"/>
      <x:c r="AP66" s="82" t="s"/>
      <x:c r="AQ66" s="82" t="s"/>
      <x:c r="AR66" s="82" t="s"/>
      <x:c r="AS66" s="82" t="s"/>
      <x:c r="AT66" s="82" t="s"/>
      <x:c r="AU66" s="82" t="s"/>
      <x:c r="AV66" s="82" t="s"/>
      <x:c r="AW66" s="82" t="s"/>
      <x:c r="AX66" s="82" t="s"/>
      <x:c r="AY66" s="82" t="s"/>
      <x:c r="AZ66" s="82" t="s"/>
      <x:c r="BA66" s="82" t="s"/>
      <x:c r="BB66" s="82" t="s"/>
      <x:c r="BC66" s="82" t="s"/>
      <x:c r="BD66" s="82" t="s"/>
      <x:c r="BE66" s="82" t="s"/>
      <x:c r="BF66" s="82" t="s"/>
      <x:c r="BG66" s="82" t="s"/>
      <x:c r="BH66" s="82" t="s"/>
      <x:c r="BI66" s="82" t="s"/>
      <x:c r="BJ66" s="82" t="s"/>
      <x:c r="BK66" s="82" t="s"/>
      <x:c r="BL66" s="82" t="s"/>
      <x:c r="BM66" s="82" t="s"/>
      <x:c r="BN66" s="82" t="s"/>
      <x:c r="BO66" s="82" t="s"/>
      <x:c r="BP66" s="82" t="s"/>
      <x:c r="BQ66" s="82" t="s"/>
      <x:c r="BR66" s="82" t="s"/>
    </x:row>
    <x:row r="67" spans="1:70" customFormat="1" ht="15.75" customHeight="1" thickBot="1" x14ac:dyDescent="0.3">
      <x:c r="A67" s="106" t="s">
        <x:v>106</x:v>
      </x:c>
      <x:c r="B67" s="106" t="s">
        <x:v>107</x:v>
      </x:c>
      <x:c r="C67" s="106" t="s">
        <x:v>121</x:v>
      </x:c>
      <x:c r="D67" s="105">
        <x:v>42107</x:v>
      </x:c>
      <x:c r="E67" s="106" t="n">
        <x:v>29684</x:v>
      </x:c>
      <x:c r="F67" s="126" t="n">
        <x:v>113.8</x:v>
      </x:c>
      <x:c r="G67" s="126" t="n">
        <x:v>107.3</x:v>
      </x:c>
      <x:c r="H67" s="106" t="s"/>
      <x:c r="I67" s="106" t="s"/>
      <x:c r="J67" s="82" t="s"/>
      <x:c r="K67" s="82" t="s"/>
      <x:c r="L67" s="82" t="s"/>
      <x:c r="M67" s="82" t="s"/>
      <x:c r="N67" s="82" t="s"/>
      <x:c r="O67" s="82" t="s"/>
      <x:c r="P67" s="82" t="s"/>
      <x:c r="Q67" s="82" t="s"/>
      <x:c r="R67" s="82" t="s"/>
      <x:c r="S67" s="82" t="s"/>
      <x:c r="T67" s="82" t="s"/>
      <x:c r="U67" s="82" t="s"/>
      <x:c r="V67" s="82" t="s"/>
      <x:c r="W67" s="82" t="s"/>
      <x:c r="X67" s="82" t="s"/>
      <x:c r="Y67" s="82" t="s"/>
      <x:c r="Z67" s="82" t="s"/>
      <x:c r="AA67" s="82" t="s"/>
      <x:c r="AB67" s="82" t="s"/>
      <x:c r="AC67" s="82" t="s"/>
      <x:c r="AD67" s="82" t="s"/>
      <x:c r="AE67" s="82" t="s"/>
      <x:c r="AF67" s="82" t="s"/>
      <x:c r="AG67" s="82" t="s"/>
      <x:c r="AH67" s="82" t="s"/>
      <x:c r="AI67" s="82" t="s"/>
      <x:c r="AJ67" s="82" t="s"/>
      <x:c r="AK67" s="82" t="s"/>
      <x:c r="AL67" s="82" t="s"/>
      <x:c r="AM67" s="82" t="s"/>
      <x:c r="AN67" s="82" t="s"/>
      <x:c r="AO67" s="82" t="s"/>
      <x:c r="AP67" s="82" t="s"/>
      <x:c r="AQ67" s="82" t="s"/>
      <x:c r="AR67" s="82" t="s"/>
      <x:c r="AS67" s="82" t="s"/>
      <x:c r="AT67" s="82" t="s"/>
      <x:c r="AU67" s="82" t="s"/>
      <x:c r="AV67" s="82" t="s"/>
      <x:c r="AW67" s="82" t="s"/>
      <x:c r="AX67" s="82" t="s"/>
      <x:c r="AY67" s="82" t="s"/>
      <x:c r="AZ67" s="82" t="s"/>
      <x:c r="BA67" s="82" t="s"/>
      <x:c r="BB67" s="82" t="s"/>
      <x:c r="BC67" s="82" t="s"/>
      <x:c r="BD67" s="82" t="s"/>
      <x:c r="BE67" s="82" t="s"/>
      <x:c r="BF67" s="82" t="s"/>
      <x:c r="BG67" s="82" t="s"/>
      <x:c r="BH67" s="82" t="s"/>
      <x:c r="BI67" s="82" t="s"/>
      <x:c r="BJ67" s="82" t="s"/>
      <x:c r="BK67" s="82" t="s"/>
      <x:c r="BL67" s="82" t="s"/>
      <x:c r="BM67" s="82" t="s"/>
      <x:c r="BN67" s="82" t="s"/>
      <x:c r="BO67" s="82" t="s"/>
      <x:c r="BP67" s="82" t="s"/>
      <x:c r="BQ67" s="82" t="s"/>
      <x:c r="BR67" s="82" t="s"/>
    </x:row>
    <x:row r="68" spans="1:70" x14ac:dyDescent="0.25">
      <x:c r="A68" s="82" t="s">
        <x:v>106</x:v>
      </x:c>
      <x:c r="B68" s="82" t="s">
        <x:v>107</x:v>
      </x:c>
      <x:c r="C68" s="82" t="s">
        <x:v>108</x:v>
      </x:c>
      <x:c r="D68" s="85">
        <x:v>42107</x:v>
      </x:c>
      <x:c r="E68" s="82" t="n">
        <x:v>29694</x:v>
      </x:c>
      <x:c r="F68" s="86" t="n">
        <x:v>0.00497923607244905</x:v>
      </x:c>
      <x:c r="G68" s="86" t="n">
        <x:v>0.00383437207449695</x:v>
      </x:c>
      <x:c r="H68" s="86" t="n">
        <x:v>0.0113824797776757</x:v>
      </x:c>
      <x:c r="I68" s="86" t="n">
        <x:v>0.00467159672500828</x:v>
      </x:c>
      <x:c r="J68" s="82" t="s"/>
      <x:c r="K68" s="82" t="s"/>
      <x:c r="L68" s="82" t="s"/>
      <x:c r="M68" s="82" t="s"/>
      <x:c r="N68" s="82" t="s"/>
      <x:c r="O68" s="82" t="s"/>
      <x:c r="P68" s="82" t="s"/>
      <x:c r="Q68" s="82" t="s"/>
      <x:c r="R68" s="82" t="s"/>
      <x:c r="S68" s="82" t="s"/>
      <x:c r="T68" s="82" t="s"/>
      <x:c r="U68" s="82" t="s"/>
      <x:c r="V68" s="82" t="s"/>
      <x:c r="W68" s="82" t="s"/>
      <x:c r="X68" s="82" t="s"/>
      <x:c r="Y68" s="82" t="s"/>
      <x:c r="Z68" s="82" t="s"/>
      <x:c r="AA68" s="82" t="s"/>
      <x:c r="AB68" s="82" t="s"/>
      <x:c r="AC68" s="82" t="s"/>
      <x:c r="AD68" s="82" t="s"/>
      <x:c r="AE68" s="82" t="s"/>
      <x:c r="AF68" s="82" t="s"/>
      <x:c r="AG68" s="82" t="s"/>
      <x:c r="AH68" s="82" t="s"/>
      <x:c r="AI68" s="82" t="s"/>
      <x:c r="AJ68" s="82" t="s"/>
      <x:c r="AK68" s="82" t="s"/>
      <x:c r="AL68" s="82" t="s"/>
      <x:c r="AM68" s="82" t="s"/>
      <x:c r="AN68" s="82" t="s"/>
      <x:c r="AO68" s="82" t="s"/>
      <x:c r="AP68" s="82" t="s"/>
      <x:c r="AQ68" s="82" t="s"/>
      <x:c r="AR68" s="82" t="s"/>
      <x:c r="AS68" s="82" t="s"/>
      <x:c r="AT68" s="82" t="s"/>
      <x:c r="AU68" s="82" t="s"/>
      <x:c r="AV68" s="82" t="s"/>
      <x:c r="AW68" s="82" t="s"/>
      <x:c r="AX68" s="82" t="s"/>
      <x:c r="AY68" s="82" t="s"/>
      <x:c r="AZ68" s="82" t="s"/>
      <x:c r="BA68" s="82" t="s"/>
      <x:c r="BB68" s="82" t="s"/>
      <x:c r="BC68" s="82" t="s"/>
      <x:c r="BD68" s="82" t="s"/>
      <x:c r="BE68" s="82" t="s"/>
      <x:c r="BF68" s="82" t="s"/>
      <x:c r="BG68" s="82" t="s"/>
      <x:c r="BH68" s="82" t="s"/>
      <x:c r="BI68" s="82" t="s"/>
      <x:c r="BJ68" s="82" t="s"/>
      <x:c r="BK68" s="82" t="s"/>
      <x:c r="BL68" s="82" t="s"/>
      <x:c r="BM68" s="82" t="s"/>
      <x:c r="BN68" s="82" t="s"/>
      <x:c r="BO68" s="82" t="s"/>
      <x:c r="BP68" s="82" t="s"/>
      <x:c r="BQ68" s="82" t="s"/>
      <x:c r="BR68" s="82" t="s"/>
    </x:row>
    <x:row r="69" spans="1:70" x14ac:dyDescent="0.25">
      <x:c r="A69" s="82" t="s">
        <x:v>106</x:v>
      </x:c>
      <x:c r="B69" s="82" t="s">
        <x:v>107</x:v>
      </x:c>
      <x:c r="C69" s="82" t="s">
        <x:v>109</x:v>
      </x:c>
      <x:c r="D69" s="85">
        <x:v>42107</x:v>
      </x:c>
      <x:c r="E69" s="82" t="n">
        <x:v>29694</x:v>
      </x:c>
      <x:c r="F69" s="86" t="n">
        <x:v>8.16812143908845</x:v>
      </x:c>
      <x:c r="G69" s="86" t="n">
        <x:v>9.78156374190597</x:v>
      </x:c>
      <x:c r="H69" s="86" t="n">
        <x:v>8.68954340034982</x:v>
      </x:c>
      <x:c r="I69" s="86" t="n">
        <x:v>1.21631873730508</x:v>
      </x:c>
      <x:c r="J69" s="82" t="s"/>
      <x:c r="K69" s="82" t="s"/>
      <x:c r="L69" s="82" t="s"/>
      <x:c r="M69" s="82" t="s"/>
      <x:c r="N69" s="82" t="s"/>
      <x:c r="O69" s="82" t="s"/>
      <x:c r="P69" s="82" t="s"/>
      <x:c r="Q69" s="82" t="s"/>
      <x:c r="R69" s="82" t="s"/>
      <x:c r="S69" s="82" t="s"/>
      <x:c r="T69" s="82" t="s"/>
      <x:c r="U69" s="82" t="s"/>
      <x:c r="V69" s="82" t="s"/>
      <x:c r="W69" s="82" t="s"/>
      <x:c r="X69" s="82" t="s"/>
      <x:c r="Y69" s="82" t="s"/>
      <x:c r="Z69" s="82" t="s"/>
      <x:c r="AA69" s="82" t="s"/>
      <x:c r="AB69" s="82" t="s"/>
      <x:c r="AC69" s="82" t="s"/>
      <x:c r="AD69" s="82" t="s"/>
      <x:c r="AE69" s="82" t="s"/>
      <x:c r="AF69" s="82" t="s"/>
      <x:c r="AG69" s="82" t="s"/>
      <x:c r="AH69" s="82" t="s"/>
      <x:c r="AI69" s="82" t="s"/>
      <x:c r="AJ69" s="82" t="s"/>
      <x:c r="AK69" s="82" t="s"/>
      <x:c r="AL69" s="82" t="s"/>
      <x:c r="AM69" s="82" t="s"/>
      <x:c r="AN69" s="82" t="s"/>
      <x:c r="AO69" s="82" t="s"/>
      <x:c r="AP69" s="82" t="s"/>
      <x:c r="AQ69" s="82" t="s"/>
      <x:c r="AR69" s="82" t="s"/>
      <x:c r="AS69" s="82" t="s"/>
      <x:c r="AT69" s="82" t="s"/>
      <x:c r="AU69" s="82" t="s"/>
      <x:c r="AV69" s="82" t="s"/>
      <x:c r="AW69" s="82" t="s"/>
      <x:c r="AX69" s="82" t="s"/>
      <x:c r="AY69" s="82" t="s"/>
      <x:c r="AZ69" s="82" t="s"/>
      <x:c r="BA69" s="82" t="s"/>
      <x:c r="BB69" s="82" t="s"/>
      <x:c r="BC69" s="82" t="s"/>
      <x:c r="BD69" s="82" t="s"/>
      <x:c r="BE69" s="82" t="s"/>
      <x:c r="BF69" s="82" t="s"/>
      <x:c r="BG69" s="82" t="s"/>
      <x:c r="BH69" s="82" t="s"/>
      <x:c r="BI69" s="82" t="s"/>
      <x:c r="BJ69" s="82" t="s"/>
      <x:c r="BK69" s="82" t="s"/>
      <x:c r="BL69" s="82" t="s"/>
      <x:c r="BM69" s="82" t="s"/>
      <x:c r="BN69" s="82" t="s"/>
      <x:c r="BO69" s="82" t="s"/>
      <x:c r="BP69" s="82" t="s"/>
      <x:c r="BQ69" s="82" t="s"/>
      <x:c r="BR69" s="82" t="s"/>
    </x:row>
    <x:row r="70" spans="1:70" x14ac:dyDescent="0.25">
      <x:c r="A70" s="82" t="s">
        <x:v>106</x:v>
      </x:c>
      <x:c r="B70" s="82" t="s">
        <x:v>107</x:v>
      </x:c>
      <x:c r="C70" s="82" t="s">
        <x:v>110</x:v>
      </x:c>
      <x:c r="D70" s="85">
        <x:v>42107</x:v>
      </x:c>
      <x:c r="E70" s="82" t="n">
        <x:v>29694</x:v>
      </x:c>
      <x:c r="F70" s="86" t="n">
        <x:v>0.285132145451485</x:v>
      </x:c>
      <x:c r="G70" s="86" t="n">
        <x:v>0.312303808698234</x:v>
      </x:c>
      <x:c r="H70" s="86" t="n">
        <x:v>0.223129891740167</x:v>
      </x:c>
      <x:c r="I70" s="86" t="n">
        <x:v>0.251160419280826</x:v>
      </x:c>
      <x:c r="J70" s="82" t="s"/>
      <x:c r="K70" s="82" t="s"/>
      <x:c r="L70" s="82" t="s"/>
      <x:c r="M70" s="82" t="s"/>
      <x:c r="N70" s="82" t="s"/>
      <x:c r="O70" s="82" t="s"/>
      <x:c r="P70" s="82" t="s"/>
      <x:c r="Q70" s="82" t="s"/>
      <x:c r="R70" s="82" t="s"/>
      <x:c r="S70" s="82" t="s"/>
      <x:c r="T70" s="82" t="s"/>
      <x:c r="U70" s="82" t="s"/>
      <x:c r="V70" s="82" t="s"/>
      <x:c r="W70" s="82" t="s"/>
      <x:c r="X70" s="82" t="s"/>
      <x:c r="Y70" s="82" t="s"/>
      <x:c r="Z70" s="82" t="s"/>
      <x:c r="AA70" s="82" t="s"/>
      <x:c r="AB70" s="82" t="s"/>
      <x:c r="AC70" s="82" t="s"/>
      <x:c r="AD70" s="82" t="s"/>
      <x:c r="AE70" s="82" t="s"/>
      <x:c r="AF70" s="82" t="s"/>
      <x:c r="AG70" s="82" t="s"/>
      <x:c r="AH70" s="82" t="s"/>
      <x:c r="AI70" s="82" t="s"/>
      <x:c r="AJ70" s="82" t="s"/>
      <x:c r="AK70" s="82" t="s"/>
      <x:c r="AL70" s="82" t="s"/>
      <x:c r="AM70" s="82" t="s"/>
      <x:c r="AN70" s="82" t="s"/>
      <x:c r="AO70" s="82" t="s"/>
      <x:c r="AP70" s="82" t="s"/>
      <x:c r="AQ70" s="82" t="s"/>
      <x:c r="AR70" s="82" t="s"/>
      <x:c r="AS70" s="82" t="s"/>
      <x:c r="AT70" s="82" t="s"/>
      <x:c r="AU70" s="82" t="s"/>
      <x:c r="AV70" s="82" t="s"/>
      <x:c r="AW70" s="82" t="s"/>
      <x:c r="AX70" s="82" t="s"/>
      <x:c r="AY70" s="82" t="s"/>
      <x:c r="AZ70" s="82" t="s"/>
      <x:c r="BA70" s="82" t="s"/>
      <x:c r="BB70" s="82" t="s"/>
      <x:c r="BC70" s="82" t="s"/>
      <x:c r="BD70" s="82" t="s"/>
      <x:c r="BE70" s="82" t="s"/>
      <x:c r="BF70" s="82" t="s"/>
      <x:c r="BG70" s="82" t="s"/>
      <x:c r="BH70" s="82" t="s"/>
      <x:c r="BI70" s="82" t="s"/>
      <x:c r="BJ70" s="82" t="s"/>
      <x:c r="BK70" s="82" t="s"/>
      <x:c r="BL70" s="82" t="s"/>
      <x:c r="BM70" s="82" t="s"/>
      <x:c r="BN70" s="82" t="s"/>
      <x:c r="BO70" s="82" t="s"/>
      <x:c r="BP70" s="82" t="s"/>
      <x:c r="BQ70" s="82" t="s"/>
      <x:c r="BR70" s="82" t="s"/>
    </x:row>
    <x:row r="71" spans="1:70" x14ac:dyDescent="0.25">
      <x:c r="A71" s="82" t="s">
        <x:v>106</x:v>
      </x:c>
      <x:c r="B71" s="82" t="s">
        <x:v>107</x:v>
      </x:c>
      <x:c r="C71" s="82" t="s">
        <x:v>111</x:v>
      </x:c>
      <x:c r="D71" s="85">
        <x:v>42107</x:v>
      </x:c>
      <x:c r="E71" s="82" t="n">
        <x:v>29694</x:v>
      </x:c>
      <x:c r="F71" s="86" t="n">
        <x:v>1.34693943756609</x:v>
      </x:c>
      <x:c r="G71" s="86" t="n">
        <x:v>1.2890389682857</x:v>
      </x:c>
      <x:c r="H71" s="86" t="n">
        <x:v>1.22153139175206</x:v>
      </x:c>
      <x:c r="I71" s="86" t="n">
        <x:v>1.90552113700557</x:v>
      </x:c>
      <x:c r="J71" s="82" t="s"/>
      <x:c r="K71" s="82" t="s"/>
      <x:c r="L71" s="82" t="s"/>
      <x:c r="M71" s="82" t="s"/>
      <x:c r="N71" s="82" t="s"/>
      <x:c r="O71" s="82" t="s"/>
      <x:c r="P71" s="82" t="s"/>
      <x:c r="Q71" s="82" t="s"/>
      <x:c r="R71" s="82" t="s"/>
      <x:c r="S71" s="82" t="s"/>
      <x:c r="T71" s="82" t="s"/>
      <x:c r="U71" s="82" t="s"/>
      <x:c r="V71" s="82" t="s"/>
      <x:c r="W71" s="82" t="s"/>
      <x:c r="X71" s="82" t="s"/>
      <x:c r="Y71" s="82" t="s"/>
      <x:c r="Z71" s="82" t="s"/>
      <x:c r="AA71" s="82" t="s"/>
      <x:c r="AB71" s="82" t="s"/>
      <x:c r="AC71" s="82" t="s"/>
      <x:c r="AD71" s="82" t="s"/>
      <x:c r="AE71" s="82" t="s"/>
      <x:c r="AF71" s="82" t="s"/>
      <x:c r="AG71" s="82" t="s"/>
      <x:c r="AH71" s="82" t="s"/>
      <x:c r="AI71" s="82" t="s"/>
      <x:c r="AJ71" s="82" t="s"/>
      <x:c r="AK71" s="82" t="s"/>
      <x:c r="AL71" s="82" t="s"/>
      <x:c r="AM71" s="82" t="s"/>
      <x:c r="AN71" s="82" t="s"/>
      <x:c r="AO71" s="82" t="s"/>
      <x:c r="AP71" s="82" t="s"/>
      <x:c r="AQ71" s="82" t="s"/>
      <x:c r="AR71" s="82" t="s"/>
      <x:c r="AS71" s="82" t="s"/>
      <x:c r="AT71" s="82" t="s"/>
      <x:c r="AU71" s="82" t="s"/>
      <x:c r="AV71" s="82" t="s"/>
      <x:c r="AW71" s="82" t="s"/>
      <x:c r="AX71" s="82" t="s"/>
      <x:c r="AY71" s="82" t="s"/>
      <x:c r="AZ71" s="82" t="s"/>
      <x:c r="BA71" s="82" t="s"/>
      <x:c r="BB71" s="82" t="s"/>
      <x:c r="BC71" s="82" t="s"/>
      <x:c r="BD71" s="82" t="s"/>
      <x:c r="BE71" s="82" t="s"/>
      <x:c r="BF71" s="82" t="s"/>
      <x:c r="BG71" s="82" t="s"/>
      <x:c r="BH71" s="82" t="s"/>
      <x:c r="BI71" s="82" t="s"/>
      <x:c r="BJ71" s="82" t="s"/>
      <x:c r="BK71" s="82" t="s"/>
      <x:c r="BL71" s="82" t="s"/>
      <x:c r="BM71" s="82" t="s"/>
      <x:c r="BN71" s="82" t="s"/>
      <x:c r="BO71" s="82" t="s"/>
      <x:c r="BP71" s="82" t="s"/>
      <x:c r="BQ71" s="82" t="s"/>
      <x:c r="BR71" s="82" t="s"/>
    </x:row>
    <x:row r="72" spans="1:70" x14ac:dyDescent="0.25">
      <x:c r="A72" s="82" t="s">
        <x:v>106</x:v>
      </x:c>
      <x:c r="B72" s="82" t="s">
        <x:v>107</x:v>
      </x:c>
      <x:c r="C72" s="82" t="s">
        <x:v>112</x:v>
      </x:c>
      <x:c r="D72" s="85">
        <x:v>42107</x:v>
      </x:c>
      <x:c r="E72" s="82" t="n">
        <x:v>29694</x:v>
      </x:c>
      <x:c r="F72" s="82" t="n">
        <x:v>4.03506994363941</x:v>
      </x:c>
      <x:c r="G72" s="82" t="n">
        <x:v>3.86161563916221</x:v>
      </x:c>
      <x:c r="H72" s="82" t="n">
        <x:v>3.65938101343096</x:v>
      </x:c>
      <x:c r="I72" s="82" t="n">
        <x:v>5.70843116806687</x:v>
      </x:c>
      <x:c r="J72" s="82" t="s"/>
      <x:c r="K72" s="82" t="s"/>
      <x:c r="L72" s="82" t="s"/>
      <x:c r="M72" s="82" t="s"/>
      <x:c r="N72" s="82" t="s"/>
      <x:c r="O72" s="82" t="s"/>
      <x:c r="P72" s="82" t="s"/>
      <x:c r="Q72" s="82" t="s"/>
      <x:c r="R72" s="82" t="s"/>
      <x:c r="S72" s="82" t="s"/>
      <x:c r="T72" s="82" t="s"/>
      <x:c r="U72" s="82" t="s"/>
      <x:c r="V72" s="82" t="s"/>
      <x:c r="W72" s="82" t="s"/>
      <x:c r="X72" s="82" t="s"/>
      <x:c r="Y72" s="82" t="s"/>
      <x:c r="Z72" s="82" t="s"/>
      <x:c r="AA72" s="82" t="s"/>
      <x:c r="AB72" s="82" t="s"/>
      <x:c r="AC72" s="82" t="s"/>
      <x:c r="AD72" s="82" t="s"/>
      <x:c r="AE72" s="82" t="s"/>
      <x:c r="AF72" s="82" t="s"/>
      <x:c r="AG72" s="82" t="s"/>
      <x:c r="AH72" s="82" t="s"/>
      <x:c r="AI72" s="82" t="s"/>
      <x:c r="AJ72" s="82" t="s"/>
      <x:c r="AK72" s="82" t="s"/>
      <x:c r="AL72" s="82" t="s"/>
      <x:c r="AM72" s="82" t="s"/>
      <x:c r="AN72" s="82" t="s"/>
      <x:c r="AO72" s="82" t="s"/>
      <x:c r="AP72" s="82" t="s"/>
      <x:c r="AQ72" s="82" t="s"/>
      <x:c r="AR72" s="82" t="s"/>
      <x:c r="AS72" s="82" t="s"/>
      <x:c r="AT72" s="82" t="s"/>
      <x:c r="AU72" s="82" t="s"/>
      <x:c r="AV72" s="82" t="s"/>
      <x:c r="AW72" s="82" t="s"/>
      <x:c r="AX72" s="82" t="s"/>
      <x:c r="AY72" s="82" t="s"/>
      <x:c r="AZ72" s="82" t="s"/>
      <x:c r="BA72" s="82" t="s"/>
      <x:c r="BB72" s="82" t="s"/>
      <x:c r="BC72" s="82" t="s"/>
      <x:c r="BD72" s="82" t="s"/>
      <x:c r="BE72" s="82" t="s"/>
      <x:c r="BF72" s="82" t="s"/>
      <x:c r="BG72" s="82" t="s"/>
      <x:c r="BH72" s="82" t="s"/>
      <x:c r="BI72" s="82" t="s"/>
      <x:c r="BJ72" s="82" t="s"/>
      <x:c r="BK72" s="82" t="s"/>
      <x:c r="BL72" s="82" t="s"/>
      <x:c r="BM72" s="82" t="s"/>
      <x:c r="BN72" s="82" t="s"/>
      <x:c r="BO72" s="82" t="s"/>
      <x:c r="BP72" s="82" t="s"/>
      <x:c r="BQ72" s="82" t="s"/>
      <x:c r="BR72" s="82" t="s"/>
    </x:row>
    <x:row r="73" spans="1:70" x14ac:dyDescent="0.25">
      <x:c r="A73" s="82" t="s">
        <x:v>106</x:v>
      </x:c>
      <x:c r="B73" s="82" t="s">
        <x:v>107</x:v>
      </x:c>
      <x:c r="C73" s="82" t="s">
        <x:v>113</x:v>
      </x:c>
      <x:c r="D73" s="85">
        <x:v>42107</x:v>
      </x:c>
      <x:c r="E73" s="82" t="n">
        <x:v>29694</x:v>
      </x:c>
      <x:c r="F73" s="88" t="n">
        <x:v>-5.264</x:v>
      </x:c>
      <x:c r="G73" s="88" t="n">
        <x:v>-5.558</x:v>
      </x:c>
      <x:c r="H73" s="82" t="s"/>
      <x:c r="I73" s="82" t="s"/>
      <x:c r="J73" s="82" t="s"/>
      <x:c r="K73" s="82" t="s"/>
      <x:c r="L73" s="82" t="s"/>
      <x:c r="M73" s="82" t="s"/>
      <x:c r="N73" s="82" t="s"/>
      <x:c r="O73" s="82" t="s"/>
      <x:c r="P73" s="82" t="s"/>
      <x:c r="Q73" s="82" t="s"/>
      <x:c r="R73" s="82" t="s"/>
      <x:c r="S73" s="82" t="s"/>
      <x:c r="T73" s="82" t="s"/>
      <x:c r="U73" s="82" t="s"/>
      <x:c r="V73" s="82" t="s"/>
      <x:c r="W73" s="82" t="s"/>
      <x:c r="X73" s="82" t="s"/>
      <x:c r="Y73" s="82" t="s"/>
      <x:c r="Z73" s="82" t="s"/>
      <x:c r="AA73" s="82" t="s"/>
      <x:c r="AB73" s="82" t="s"/>
      <x:c r="AC73" s="82" t="s"/>
      <x:c r="AD73" s="82" t="s"/>
      <x:c r="AE73" s="82" t="s"/>
      <x:c r="AF73" s="82" t="s"/>
      <x:c r="AG73" s="82" t="s"/>
      <x:c r="AH73" s="82" t="s"/>
      <x:c r="AI73" s="82" t="s"/>
      <x:c r="AJ73" s="82" t="s"/>
      <x:c r="AK73" s="82" t="s"/>
      <x:c r="AL73" s="82" t="s"/>
      <x:c r="AM73" s="82" t="s"/>
      <x:c r="AN73" s="82" t="s"/>
      <x:c r="AO73" s="82" t="s"/>
      <x:c r="AP73" s="82" t="s"/>
      <x:c r="AQ73" s="82" t="s"/>
      <x:c r="AR73" s="82" t="s"/>
      <x:c r="AS73" s="82" t="s"/>
      <x:c r="AT73" s="82" t="s"/>
      <x:c r="AU73" s="82" t="s"/>
      <x:c r="AV73" s="82" t="s"/>
      <x:c r="AW73" s="82" t="s"/>
      <x:c r="AX73" s="82" t="s"/>
      <x:c r="AY73" s="82" t="s"/>
      <x:c r="AZ73" s="82" t="s"/>
      <x:c r="BA73" s="82" t="s"/>
      <x:c r="BB73" s="82" t="s"/>
      <x:c r="BC73" s="82" t="s"/>
      <x:c r="BD73" s="82" t="s"/>
      <x:c r="BE73" s="82" t="s"/>
      <x:c r="BF73" s="82" t="s"/>
      <x:c r="BG73" s="82" t="s"/>
      <x:c r="BH73" s="82" t="s"/>
      <x:c r="BI73" s="82" t="s"/>
      <x:c r="BJ73" s="82" t="s"/>
      <x:c r="BK73" s="82" t="s"/>
      <x:c r="BL73" s="82" t="s"/>
      <x:c r="BM73" s="82" t="s"/>
      <x:c r="BN73" s="82" t="s"/>
      <x:c r="BO73" s="82" t="s"/>
      <x:c r="BP73" s="82" t="s"/>
      <x:c r="BQ73" s="82" t="s"/>
      <x:c r="BR73" s="82" t="s"/>
    </x:row>
    <x:row r="74" spans="1:70" x14ac:dyDescent="0.25">
      <x:c r="A74" s="82" t="s">
        <x:v>106</x:v>
      </x:c>
      <x:c r="B74" s="82" t="s">
        <x:v>107</x:v>
      </x:c>
      <x:c r="C74" s="82" t="s">
        <x:v>114</x:v>
      </x:c>
      <x:c r="D74" s="85">
        <x:v>42107</x:v>
      </x:c>
      <x:c r="E74" s="82" t="n">
        <x:v>29694</x:v>
      </x:c>
      <x:c r="F74" s="88" t="n">
        <x:v>0.824</x:v>
      </x:c>
      <x:c r="G74" s="88" t="n">
        <x:v>0.852</x:v>
      </x:c>
      <x:c r="H74" s="82" t="s"/>
      <x:c r="I74" s="82" t="s"/>
      <x:c r="J74" s="82" t="s"/>
      <x:c r="K74" s="82" t="s"/>
      <x:c r="L74" s="82" t="s"/>
      <x:c r="M74" s="82" t="s"/>
      <x:c r="N74" s="82" t="s"/>
      <x:c r="O74" s="82" t="s"/>
      <x:c r="P74" s="82" t="s"/>
      <x:c r="Q74" s="82" t="s"/>
      <x:c r="R74" s="82" t="s"/>
      <x:c r="S74" s="82" t="s"/>
      <x:c r="T74" s="82" t="s"/>
      <x:c r="U74" s="82" t="s"/>
      <x:c r="V74" s="82" t="s"/>
      <x:c r="W74" s="82" t="s"/>
      <x:c r="X74" s="82" t="s"/>
      <x:c r="Y74" s="82" t="s"/>
      <x:c r="Z74" s="82" t="s"/>
      <x:c r="AA74" s="82" t="s"/>
      <x:c r="AB74" s="82" t="s"/>
      <x:c r="AC74" s="82" t="s"/>
      <x:c r="AD74" s="82" t="s"/>
      <x:c r="AE74" s="82" t="s"/>
      <x:c r="AF74" s="82" t="s"/>
      <x:c r="AG74" s="82" t="s"/>
      <x:c r="AH74" s="82" t="s"/>
      <x:c r="AI74" s="82" t="s"/>
      <x:c r="AJ74" s="82" t="s"/>
      <x:c r="AK74" s="82" t="s"/>
      <x:c r="AL74" s="82" t="s"/>
      <x:c r="AM74" s="82" t="s"/>
      <x:c r="AN74" s="82" t="s"/>
      <x:c r="AO74" s="82" t="s"/>
      <x:c r="AP74" s="82" t="s"/>
      <x:c r="AQ74" s="82" t="s"/>
      <x:c r="AR74" s="82" t="s"/>
      <x:c r="AS74" s="82" t="s"/>
      <x:c r="AT74" s="82" t="s"/>
      <x:c r="AU74" s="82" t="s"/>
      <x:c r="AV74" s="82" t="s"/>
      <x:c r="AW74" s="82" t="s"/>
      <x:c r="AX74" s="82" t="s"/>
      <x:c r="AY74" s="82" t="s"/>
      <x:c r="AZ74" s="82" t="s"/>
      <x:c r="BA74" s="82" t="s"/>
      <x:c r="BB74" s="82" t="s"/>
      <x:c r="BC74" s="82" t="s"/>
      <x:c r="BD74" s="82" t="s"/>
      <x:c r="BE74" s="82" t="s"/>
      <x:c r="BF74" s="82" t="s"/>
      <x:c r="BG74" s="82" t="s"/>
      <x:c r="BH74" s="82" t="s"/>
      <x:c r="BI74" s="82" t="s"/>
      <x:c r="BJ74" s="82" t="s"/>
      <x:c r="BK74" s="82" t="s"/>
      <x:c r="BL74" s="82" t="s"/>
      <x:c r="BM74" s="82" t="s"/>
      <x:c r="BN74" s="82" t="s"/>
      <x:c r="BO74" s="82" t="s"/>
      <x:c r="BP74" s="82" t="s"/>
      <x:c r="BQ74" s="82" t="s"/>
      <x:c r="BR74" s="82" t="s"/>
    </x:row>
    <x:row r="75" spans="1:70" x14ac:dyDescent="0.25">
      <x:c r="A75" s="82" t="s">
        <x:v>106</x:v>
      </x:c>
      <x:c r="B75" s="82" t="s">
        <x:v>107</x:v>
      </x:c>
      <x:c r="C75" s="82" t="s">
        <x:v>115</x:v>
      </x:c>
      <x:c r="D75" s="85">
        <x:v>42107</x:v>
      </x:c>
      <x:c r="E75" s="82" t="n">
        <x:v>29694</x:v>
      </x:c>
      <x:c r="F75" s="101" t="n">
        <x:v>-5.454</x:v>
      </x:c>
      <x:c r="G75" s="101" t="n">
        <x:v>-5.691</x:v>
      </x:c>
      <x:c r="H75" s="82" t="s"/>
      <x:c r="I75" s="82" t="s"/>
      <x:c r="J75" s="82" t="s"/>
      <x:c r="K75" s="82" t="s"/>
      <x:c r="L75" s="82" t="s"/>
      <x:c r="M75" s="82" t="s"/>
      <x:c r="N75" s="82" t="s"/>
      <x:c r="O75" s="82" t="s"/>
      <x:c r="P75" s="82" t="s"/>
      <x:c r="Q75" s="82" t="s"/>
      <x:c r="R75" s="82" t="s"/>
      <x:c r="S75" s="82" t="s"/>
      <x:c r="T75" s="82" t="s"/>
      <x:c r="U75" s="82" t="s"/>
      <x:c r="V75" s="82" t="s"/>
      <x:c r="W75" s="82" t="s"/>
      <x:c r="X75" s="82" t="s"/>
      <x:c r="Y75" s="82" t="s"/>
      <x:c r="Z75" s="82" t="s"/>
      <x:c r="AA75" s="82" t="s"/>
      <x:c r="AB75" s="82" t="s"/>
      <x:c r="AC75" s="82" t="s"/>
      <x:c r="AD75" s="82" t="s"/>
      <x:c r="AE75" s="82" t="s"/>
      <x:c r="AF75" s="82" t="s"/>
      <x:c r="AG75" s="82" t="s"/>
      <x:c r="AH75" s="82" t="s"/>
      <x:c r="AI75" s="82" t="s"/>
      <x:c r="AJ75" s="82" t="s"/>
      <x:c r="AK75" s="82" t="s"/>
      <x:c r="AL75" s="82" t="s"/>
      <x:c r="AM75" s="82" t="s"/>
      <x:c r="AN75" s="82" t="s"/>
      <x:c r="AO75" s="82" t="s"/>
      <x:c r="AP75" s="82" t="s"/>
      <x:c r="AQ75" s="82" t="s"/>
      <x:c r="AR75" s="82" t="s"/>
      <x:c r="AS75" s="82" t="s"/>
      <x:c r="AT75" s="82" t="s"/>
      <x:c r="AU75" s="82" t="s"/>
      <x:c r="AV75" s="82" t="s"/>
      <x:c r="AW75" s="82" t="s"/>
      <x:c r="AX75" s="82" t="s"/>
      <x:c r="AY75" s="82" t="s"/>
      <x:c r="AZ75" s="82" t="s"/>
      <x:c r="BA75" s="82" t="s"/>
      <x:c r="BB75" s="82" t="s"/>
      <x:c r="BC75" s="82" t="s"/>
      <x:c r="BD75" s="82" t="s"/>
      <x:c r="BE75" s="82" t="s"/>
      <x:c r="BF75" s="82" t="s"/>
      <x:c r="BG75" s="82" t="s"/>
      <x:c r="BH75" s="82" t="s"/>
      <x:c r="BI75" s="82" t="s"/>
      <x:c r="BJ75" s="82" t="s"/>
      <x:c r="BK75" s="82" t="s"/>
      <x:c r="BL75" s="82" t="s"/>
      <x:c r="BM75" s="82" t="s"/>
      <x:c r="BN75" s="82" t="s"/>
      <x:c r="BO75" s="82" t="s"/>
      <x:c r="BP75" s="82" t="s"/>
      <x:c r="BQ75" s="82" t="s"/>
      <x:c r="BR75" s="82" t="s"/>
    </x:row>
    <x:row r="76" spans="1:70" x14ac:dyDescent="0.25">
      <x:c r="A76" s="82" t="s">
        <x:v>106</x:v>
      </x:c>
      <x:c r="B76" s="82" t="s">
        <x:v>107</x:v>
      </x:c>
      <x:c r="C76" s="82" t="s">
        <x:v>116</x:v>
      </x:c>
      <x:c r="D76" s="85">
        <x:v>42107</x:v>
      </x:c>
      <x:c r="E76" s="82" t="n">
        <x:v>29694</x:v>
      </x:c>
      <x:c r="F76" s="101" t="n">
        <x:v>0.828</x:v>
      </x:c>
      <x:c r="G76" s="101" t="n">
        <x:v>0.652</x:v>
      </x:c>
      <x:c r="H76" s="82" t="s"/>
      <x:c r="I76" s="82" t="s"/>
      <x:c r="J76" s="82" t="s"/>
      <x:c r="K76" s="82" t="s"/>
      <x:c r="L76" s="82" t="s"/>
      <x:c r="M76" s="82" t="s"/>
      <x:c r="N76" s="82" t="s"/>
      <x:c r="O76" s="82" t="s"/>
      <x:c r="P76" s="82" t="s"/>
      <x:c r="Q76" s="82" t="s"/>
      <x:c r="R76" s="82" t="s"/>
      <x:c r="S76" s="82" t="s"/>
      <x:c r="T76" s="82" t="s"/>
      <x:c r="U76" s="82" t="s"/>
      <x:c r="V76" s="82" t="s"/>
      <x:c r="W76" s="82" t="s"/>
      <x:c r="X76" s="82" t="s"/>
      <x:c r="Y76" s="82" t="s"/>
      <x:c r="Z76" s="82" t="s"/>
      <x:c r="AA76" s="82" t="s"/>
      <x:c r="AB76" s="82" t="s"/>
      <x:c r="AC76" s="82" t="s"/>
      <x:c r="AD76" s="82" t="s"/>
      <x:c r="AE76" s="82" t="s"/>
      <x:c r="AF76" s="82" t="s"/>
      <x:c r="AG76" s="82" t="s"/>
      <x:c r="AH76" s="82" t="s"/>
      <x:c r="AI76" s="82" t="s"/>
      <x:c r="AJ76" s="82" t="s"/>
      <x:c r="AK76" s="82" t="s"/>
      <x:c r="AL76" s="82" t="s"/>
      <x:c r="AM76" s="82" t="s"/>
      <x:c r="AN76" s="82" t="s"/>
      <x:c r="AO76" s="82" t="s"/>
      <x:c r="AP76" s="82" t="s"/>
      <x:c r="AQ76" s="82" t="s"/>
      <x:c r="AR76" s="82" t="s"/>
      <x:c r="AS76" s="82" t="s"/>
      <x:c r="AT76" s="82" t="s"/>
      <x:c r="AU76" s="82" t="s"/>
      <x:c r="AV76" s="82" t="s"/>
      <x:c r="AW76" s="82" t="s"/>
      <x:c r="AX76" s="82" t="s"/>
      <x:c r="AY76" s="82" t="s"/>
      <x:c r="AZ76" s="82" t="s"/>
      <x:c r="BA76" s="82" t="s"/>
      <x:c r="BB76" s="82" t="s"/>
      <x:c r="BC76" s="82" t="s"/>
      <x:c r="BD76" s="82" t="s"/>
      <x:c r="BE76" s="82" t="s"/>
      <x:c r="BF76" s="82" t="s"/>
      <x:c r="BG76" s="82" t="s"/>
      <x:c r="BH76" s="82" t="s"/>
      <x:c r="BI76" s="82" t="s"/>
      <x:c r="BJ76" s="82" t="s"/>
      <x:c r="BK76" s="82" t="s"/>
      <x:c r="BL76" s="82" t="s"/>
      <x:c r="BM76" s="82" t="s"/>
      <x:c r="BN76" s="82" t="s"/>
      <x:c r="BO76" s="82" t="s"/>
      <x:c r="BP76" s="82" t="s"/>
      <x:c r="BQ76" s="82" t="s"/>
      <x:c r="BR76" s="82" t="s"/>
    </x:row>
    <x:row r="77" spans="1:70" x14ac:dyDescent="0.25">
      <x:c r="A77" s="82" t="s">
        <x:v>106</x:v>
      </x:c>
      <x:c r="B77" s="82" t="s">
        <x:v>107</x:v>
      </x:c>
      <x:c r="C77" s="82" t="s">
        <x:v>17</x:v>
      </x:c>
      <x:c r="D77" s="85">
        <x:v>42107</x:v>
      </x:c>
      <x:c r="E77" s="82" t="n">
        <x:v>29694</x:v>
      </x:c>
      <x:c r="F77" s="102" t="n">
        <x:v>19.8937989340854</x:v>
      </x:c>
      <x:c r="G77" s="102" t="n">
        <x:v>22.9621046101033</x:v>
      </x:c>
      <x:c r="H77" s="82" t="s"/>
      <x:c r="I77" s="82" t="s"/>
      <x:c r="J77" s="82" t="s"/>
      <x:c r="K77" s="82" t="s"/>
      <x:c r="L77" s="82" t="s"/>
      <x:c r="M77" s="82" t="s"/>
      <x:c r="N77" s="82" t="s"/>
      <x:c r="O77" s="82" t="s"/>
      <x:c r="P77" s="82" t="s"/>
      <x:c r="Q77" s="82" t="s"/>
      <x:c r="R77" s="82" t="s"/>
      <x:c r="S77" s="82" t="s"/>
      <x:c r="T77" s="82" t="s"/>
      <x:c r="U77" s="82" t="s"/>
      <x:c r="V77" s="82" t="s"/>
      <x:c r="W77" s="82" t="s"/>
      <x:c r="X77" s="82" t="s"/>
      <x:c r="Y77" s="82" t="s"/>
      <x:c r="Z77" s="82" t="s"/>
      <x:c r="AA77" s="82" t="s"/>
      <x:c r="AB77" s="82" t="s"/>
      <x:c r="AC77" s="82" t="s"/>
      <x:c r="AD77" s="82" t="s"/>
      <x:c r="AE77" s="82" t="s"/>
      <x:c r="AF77" s="82" t="s"/>
      <x:c r="AG77" s="82" t="s"/>
      <x:c r="AH77" s="82" t="s"/>
      <x:c r="AI77" s="82" t="s"/>
      <x:c r="AJ77" s="82" t="s"/>
      <x:c r="AK77" s="82" t="s"/>
      <x:c r="AL77" s="82" t="s"/>
      <x:c r="AM77" s="82" t="s"/>
      <x:c r="AN77" s="82" t="s"/>
      <x:c r="AO77" s="82" t="s"/>
      <x:c r="AP77" s="82" t="s"/>
      <x:c r="AQ77" s="82" t="s"/>
      <x:c r="AR77" s="82" t="s"/>
      <x:c r="AS77" s="82" t="s"/>
      <x:c r="AT77" s="82" t="s"/>
      <x:c r="AU77" s="82" t="s"/>
      <x:c r="AV77" s="82" t="s"/>
      <x:c r="AW77" s="82" t="s"/>
      <x:c r="AX77" s="82" t="s"/>
      <x:c r="AY77" s="82" t="s"/>
      <x:c r="AZ77" s="82" t="s"/>
      <x:c r="BA77" s="82" t="s"/>
      <x:c r="BB77" s="82" t="s"/>
      <x:c r="BC77" s="82" t="s"/>
      <x:c r="BD77" s="82" t="s"/>
      <x:c r="BE77" s="82" t="s"/>
      <x:c r="BF77" s="82" t="s"/>
      <x:c r="BG77" s="82" t="s"/>
      <x:c r="BH77" s="82" t="s"/>
      <x:c r="BI77" s="82" t="s"/>
      <x:c r="BJ77" s="82" t="s"/>
      <x:c r="BK77" s="82" t="s"/>
      <x:c r="BL77" s="82" t="s"/>
      <x:c r="BM77" s="82" t="s"/>
      <x:c r="BN77" s="82" t="s"/>
      <x:c r="BO77" s="82" t="s"/>
      <x:c r="BP77" s="82" t="s"/>
      <x:c r="BQ77" s="82" t="s"/>
      <x:c r="BR77" s="82" t="s"/>
    </x:row>
    <x:row r="78" spans="1:70" x14ac:dyDescent="0.25">
      <x:c r="A78" s="82" t="s">
        <x:v>106</x:v>
      </x:c>
      <x:c r="B78" s="82" t="s">
        <x:v>107</x:v>
      </x:c>
      <x:c r="C78" s="82" t="s">
        <x:v>18</x:v>
      </x:c>
      <x:c r="D78" s="85">
        <x:v>42107</x:v>
      </x:c>
      <x:c r="E78" s="82" t="n">
        <x:v>29694</x:v>
      </x:c>
      <x:c r="F78" s="102" t="n">
        <x:v>0.0581047491246146</x:v>
      </x:c>
      <x:c r="G78" s="102" t="n">
        <x:v>0.0679330467407837</x:v>
      </x:c>
      <x:c r="H78" s="82" t="s"/>
      <x:c r="I78" s="82" t="s"/>
      <x:c r="J78" s="82" t="s"/>
      <x:c r="K78" s="82" t="s"/>
      <x:c r="L78" s="82" t="s"/>
      <x:c r="M78" s="82" t="s"/>
      <x:c r="N78" s="82" t="s"/>
      <x:c r="O78" s="82" t="s"/>
      <x:c r="P78" s="82" t="s"/>
      <x:c r="Q78" s="82" t="s"/>
      <x:c r="R78" s="82" t="s"/>
      <x:c r="S78" s="82" t="s"/>
      <x:c r="T78" s="82" t="s"/>
      <x:c r="U78" s="82" t="s"/>
      <x:c r="V78" s="82" t="s"/>
      <x:c r="W78" s="82" t="s"/>
      <x:c r="X78" s="82" t="s"/>
      <x:c r="Y78" s="82" t="s"/>
      <x:c r="Z78" s="82" t="s"/>
      <x:c r="AA78" s="82" t="s"/>
      <x:c r="AB78" s="82" t="s"/>
      <x:c r="AC78" s="82" t="s"/>
      <x:c r="AD78" s="82" t="s"/>
      <x:c r="AE78" s="82" t="s"/>
      <x:c r="AF78" s="82" t="s"/>
      <x:c r="AG78" s="82" t="s"/>
      <x:c r="AH78" s="82" t="s"/>
      <x:c r="AI78" s="82" t="s"/>
      <x:c r="AJ78" s="82" t="s"/>
      <x:c r="AK78" s="82" t="s"/>
      <x:c r="AL78" s="82" t="s"/>
      <x:c r="AM78" s="82" t="s"/>
      <x:c r="AN78" s="82" t="s"/>
      <x:c r="AO78" s="82" t="s"/>
      <x:c r="AP78" s="82" t="s"/>
      <x:c r="AQ78" s="82" t="s"/>
      <x:c r="AR78" s="82" t="s"/>
      <x:c r="AS78" s="82" t="s"/>
      <x:c r="AT78" s="82" t="s"/>
      <x:c r="AU78" s="82" t="s"/>
      <x:c r="AV78" s="82" t="s"/>
      <x:c r="AW78" s="82" t="s"/>
      <x:c r="AX78" s="82" t="s"/>
      <x:c r="AY78" s="82" t="s"/>
      <x:c r="AZ78" s="82" t="s"/>
      <x:c r="BA78" s="82" t="s"/>
      <x:c r="BB78" s="82" t="s"/>
      <x:c r="BC78" s="82" t="s"/>
      <x:c r="BD78" s="82" t="s"/>
      <x:c r="BE78" s="82" t="s"/>
      <x:c r="BF78" s="82" t="s"/>
      <x:c r="BG78" s="82" t="s"/>
      <x:c r="BH78" s="82" t="s"/>
      <x:c r="BI78" s="82" t="s"/>
      <x:c r="BJ78" s="82" t="s"/>
      <x:c r="BK78" s="82" t="s"/>
      <x:c r="BL78" s="82" t="s"/>
      <x:c r="BM78" s="82" t="s"/>
      <x:c r="BN78" s="82" t="s"/>
      <x:c r="BO78" s="82" t="s"/>
      <x:c r="BP78" s="82" t="s"/>
      <x:c r="BQ78" s="82" t="s"/>
      <x:c r="BR78" s="82" t="s"/>
    </x:row>
    <x:row r="79" spans="1:70" x14ac:dyDescent="0.25">
      <x:c r="A79" s="82" t="s">
        <x:v>106</x:v>
      </x:c>
      <x:c r="B79" s="82" t="s">
        <x:v>107</x:v>
      </x:c>
      <x:c r="C79" s="82" t="s">
        <x:v>19</x:v>
      </x:c>
      <x:c r="D79" s="85">
        <x:v>42107</x:v>
      </x:c>
      <x:c r="E79" s="82" t="n">
        <x:v>29694</x:v>
      </x:c>
      <x:c r="F79" s="102" t="n">
        <x:v>73.3077685354941</x:v>
      </x:c>
      <x:c r="G79" s="102" t="n">
        <x:v>77.9287629823001</x:v>
      </x:c>
      <x:c r="H79" s="82" t="s"/>
      <x:c r="I79" s="82" t="s"/>
      <x:c r="J79" s="82" t="s"/>
      <x:c r="K79" s="82" t="s"/>
      <x:c r="L79" s="82" t="s"/>
      <x:c r="M79" s="82" t="s"/>
      <x:c r="N79" s="82" t="s"/>
      <x:c r="O79" s="82" t="s"/>
      <x:c r="P79" s="82" t="s"/>
      <x:c r="Q79" s="82" t="s"/>
      <x:c r="R79" s="82" t="s"/>
      <x:c r="S79" s="82" t="s"/>
      <x:c r="T79" s="82" t="s"/>
      <x:c r="U79" s="82" t="s"/>
      <x:c r="V79" s="82" t="s"/>
      <x:c r="W79" s="82" t="s"/>
      <x:c r="X79" s="82" t="s"/>
      <x:c r="Y79" s="82" t="s"/>
      <x:c r="Z79" s="82" t="s"/>
      <x:c r="AA79" s="82" t="s"/>
      <x:c r="AB79" s="82" t="s"/>
      <x:c r="AC79" s="82" t="s"/>
      <x:c r="AD79" s="82" t="s"/>
      <x:c r="AE79" s="82" t="s"/>
      <x:c r="AF79" s="82" t="s"/>
      <x:c r="AG79" s="82" t="s"/>
      <x:c r="AH79" s="82" t="s"/>
      <x:c r="AI79" s="82" t="s"/>
      <x:c r="AJ79" s="82" t="s"/>
      <x:c r="AK79" s="82" t="s"/>
      <x:c r="AL79" s="82" t="s"/>
      <x:c r="AM79" s="82" t="s"/>
      <x:c r="AN79" s="82" t="s"/>
      <x:c r="AO79" s="82" t="s"/>
      <x:c r="AP79" s="82" t="s"/>
      <x:c r="AQ79" s="82" t="s"/>
      <x:c r="AR79" s="82" t="s"/>
      <x:c r="AS79" s="82" t="s"/>
      <x:c r="AT79" s="82" t="s"/>
      <x:c r="AU79" s="82" t="s"/>
      <x:c r="AV79" s="82" t="s"/>
      <x:c r="AW79" s="82" t="s"/>
      <x:c r="AX79" s="82" t="s"/>
      <x:c r="AY79" s="82" t="s"/>
      <x:c r="AZ79" s="82" t="s"/>
      <x:c r="BA79" s="82" t="s"/>
      <x:c r="BB79" s="82" t="s"/>
      <x:c r="BC79" s="82" t="s"/>
      <x:c r="BD79" s="82" t="s"/>
      <x:c r="BE79" s="82" t="s"/>
      <x:c r="BF79" s="82" t="s"/>
      <x:c r="BG79" s="82" t="s"/>
      <x:c r="BH79" s="82" t="s"/>
      <x:c r="BI79" s="82" t="s"/>
      <x:c r="BJ79" s="82" t="s"/>
      <x:c r="BK79" s="82" t="s"/>
      <x:c r="BL79" s="82" t="s"/>
      <x:c r="BM79" s="82" t="s"/>
      <x:c r="BN79" s="82" t="s"/>
      <x:c r="BO79" s="82" t="s"/>
      <x:c r="BP79" s="82" t="s"/>
      <x:c r="BQ79" s="82" t="s"/>
      <x:c r="BR79" s="82" t="s"/>
    </x:row>
    <x:row r="80" spans="1:70" x14ac:dyDescent="0.25">
      <x:c r="A80" s="82" t="s">
        <x:v>106</x:v>
      </x:c>
      <x:c r="B80" s="82" t="s">
        <x:v>107</x:v>
      </x:c>
      <x:c r="C80" s="82" t="s">
        <x:v>20</x:v>
      </x:c>
      <x:c r="D80" s="85">
        <x:v>42107</x:v>
      </x:c>
      <x:c r="E80" s="82" t="n">
        <x:v>29694</x:v>
      </x:c>
      <x:c r="F80" s="102" t="n">
        <x:v>0.456059925320825</x:v>
      </x:c>
      <x:c r="G80" s="102" t="n">
        <x:v>0.487183210141726</x:v>
      </x:c>
      <x:c r="H80" s="82" t="s"/>
      <x:c r="I80" s="82" t="s"/>
      <x:c r="J80" s="82" t="s"/>
      <x:c r="K80" s="82" t="s"/>
      <x:c r="L80" s="82" t="s"/>
      <x:c r="M80" s="82" t="s"/>
      <x:c r="N80" s="82" t="s"/>
      <x:c r="O80" s="82" t="s"/>
      <x:c r="P80" s="82" t="s"/>
      <x:c r="Q80" s="82" t="s"/>
      <x:c r="R80" s="82" t="s"/>
      <x:c r="S80" s="82" t="s"/>
      <x:c r="T80" s="82" t="s"/>
      <x:c r="U80" s="82" t="s"/>
      <x:c r="V80" s="82" t="s"/>
      <x:c r="W80" s="82" t="s"/>
      <x:c r="X80" s="82" t="s"/>
      <x:c r="Y80" s="82" t="s"/>
      <x:c r="Z80" s="82" t="s"/>
      <x:c r="AA80" s="82" t="s"/>
      <x:c r="AB80" s="82" t="s"/>
      <x:c r="AC80" s="82" t="s"/>
      <x:c r="AD80" s="82" t="s"/>
      <x:c r="AE80" s="82" t="s"/>
      <x:c r="AF80" s="82" t="s"/>
      <x:c r="AG80" s="82" t="s"/>
      <x:c r="AH80" s="82" t="s"/>
      <x:c r="AI80" s="82" t="s"/>
      <x:c r="AJ80" s="82" t="s"/>
      <x:c r="AK80" s="82" t="s"/>
      <x:c r="AL80" s="82" t="s"/>
      <x:c r="AM80" s="82" t="s"/>
      <x:c r="AN80" s="82" t="s"/>
      <x:c r="AO80" s="82" t="s"/>
      <x:c r="AP80" s="82" t="s"/>
      <x:c r="AQ80" s="82" t="s"/>
      <x:c r="AR80" s="82" t="s"/>
      <x:c r="AS80" s="82" t="s"/>
      <x:c r="AT80" s="82" t="s"/>
      <x:c r="AU80" s="82" t="s"/>
      <x:c r="AV80" s="82" t="s"/>
      <x:c r="AW80" s="82" t="s"/>
      <x:c r="AX80" s="82" t="s"/>
      <x:c r="AY80" s="82" t="s"/>
      <x:c r="AZ80" s="82" t="s"/>
      <x:c r="BA80" s="82" t="s"/>
      <x:c r="BB80" s="82" t="s"/>
      <x:c r="BC80" s="82" t="s"/>
      <x:c r="BD80" s="82" t="s"/>
      <x:c r="BE80" s="82" t="s"/>
      <x:c r="BF80" s="82" t="s"/>
      <x:c r="BG80" s="82" t="s"/>
      <x:c r="BH80" s="82" t="s"/>
      <x:c r="BI80" s="82" t="s"/>
      <x:c r="BJ80" s="82" t="s"/>
      <x:c r="BK80" s="82" t="s"/>
      <x:c r="BL80" s="82" t="s"/>
      <x:c r="BM80" s="82" t="s"/>
      <x:c r="BN80" s="82" t="s"/>
      <x:c r="BO80" s="82" t="s"/>
      <x:c r="BP80" s="82" t="s"/>
      <x:c r="BQ80" s="82" t="s"/>
      <x:c r="BR80" s="82" t="s"/>
    </x:row>
    <x:row r="81" spans="1:70" x14ac:dyDescent="0.25">
      <x:c r="A81" s="82" t="s">
        <x:v>106</x:v>
      </x:c>
      <x:c r="B81" s="82" t="s">
        <x:v>107</x:v>
      </x:c>
      <x:c r="C81" s="82" t="s">
        <x:v>21</x:v>
      </x:c>
      <x:c r="D81" s="85">
        <x:v>42107</x:v>
      </x:c>
      <x:c r="E81" s="82" t="n">
        <x:v>29694</x:v>
      </x:c>
      <x:c r="F81" s="102" t="n">
        <x:v>122.723595505618</x:v>
      </x:c>
      <x:c r="G81" s="102" t="n">
        <x:v>124.851351351351</x:v>
      </x:c>
      <x:c r="H81" s="82" t="s"/>
      <x:c r="I81" s="82" t="s"/>
      <x:c r="J81" s="82" t="s"/>
      <x:c r="K81" s="82" t="s"/>
      <x:c r="L81" s="82" t="s"/>
      <x:c r="M81" s="82" t="s"/>
      <x:c r="N81" s="82" t="s"/>
      <x:c r="O81" s="82" t="s"/>
      <x:c r="P81" s="82" t="s"/>
      <x:c r="Q81" s="82" t="s"/>
      <x:c r="R81" s="82" t="s"/>
      <x:c r="S81" s="82" t="s"/>
      <x:c r="T81" s="82" t="s"/>
      <x:c r="U81" s="82" t="s"/>
      <x:c r="V81" s="82" t="s"/>
      <x:c r="W81" s="82" t="s"/>
      <x:c r="X81" s="82" t="s"/>
      <x:c r="Y81" s="82" t="s"/>
      <x:c r="Z81" s="82" t="s"/>
      <x:c r="AA81" s="82" t="s"/>
      <x:c r="AB81" s="82" t="s"/>
      <x:c r="AC81" s="82" t="s"/>
      <x:c r="AD81" s="82" t="s"/>
      <x:c r="AE81" s="82" t="s"/>
      <x:c r="AF81" s="82" t="s"/>
      <x:c r="AG81" s="82" t="s"/>
      <x:c r="AH81" s="82" t="s"/>
      <x:c r="AI81" s="82" t="s"/>
      <x:c r="AJ81" s="82" t="s"/>
      <x:c r="AK81" s="82" t="s"/>
      <x:c r="AL81" s="82" t="s"/>
      <x:c r="AM81" s="82" t="s"/>
      <x:c r="AN81" s="82" t="s"/>
      <x:c r="AO81" s="82" t="s"/>
      <x:c r="AP81" s="82" t="s"/>
      <x:c r="AQ81" s="82" t="s"/>
      <x:c r="AR81" s="82" t="s"/>
      <x:c r="AS81" s="82" t="s"/>
      <x:c r="AT81" s="82" t="s"/>
      <x:c r="AU81" s="82" t="s"/>
      <x:c r="AV81" s="82" t="s"/>
      <x:c r="AW81" s="82" t="s"/>
      <x:c r="AX81" s="82" t="s"/>
      <x:c r="AY81" s="82" t="s"/>
      <x:c r="AZ81" s="82" t="s"/>
      <x:c r="BA81" s="82" t="s"/>
      <x:c r="BB81" s="82" t="s"/>
      <x:c r="BC81" s="82" t="s"/>
      <x:c r="BD81" s="82" t="s"/>
      <x:c r="BE81" s="82" t="s"/>
      <x:c r="BF81" s="82" t="s"/>
      <x:c r="BG81" s="82" t="s"/>
      <x:c r="BH81" s="82" t="s"/>
      <x:c r="BI81" s="82" t="s"/>
      <x:c r="BJ81" s="82" t="s"/>
      <x:c r="BK81" s="82" t="s"/>
      <x:c r="BL81" s="82" t="s"/>
      <x:c r="BM81" s="82" t="s"/>
      <x:c r="BN81" s="82" t="s"/>
      <x:c r="BO81" s="82" t="s"/>
      <x:c r="BP81" s="82" t="s"/>
      <x:c r="BQ81" s="82" t="s"/>
      <x:c r="BR81" s="82" t="s"/>
    </x:row>
    <x:row r="82" spans="1:70" x14ac:dyDescent="0.25">
      <x:c r="A82" s="82" t="s">
        <x:v>106</x:v>
      </x:c>
      <x:c r="B82" s="82" t="s">
        <x:v>107</x:v>
      </x:c>
      <x:c r="C82" s="82" t="s">
        <x:v>22</x:v>
      </x:c>
      <x:c r="D82" s="85">
        <x:v>42107</x:v>
      </x:c>
      <x:c r="E82" s="82" t="n">
        <x:v>29694</x:v>
      </x:c>
      <x:c r="F82" s="102" t="n">
        <x:v>0.365117415730337</x:v>
      </x:c>
      <x:c r="G82" s="102" t="n">
        <x:v>0.375062324324324</x:v>
      </x:c>
      <x:c r="H82" s="82" t="s"/>
      <x:c r="I82" s="82" t="s"/>
      <x:c r="J82" s="82" t="s"/>
      <x:c r="K82" s="82" t="s"/>
      <x:c r="L82" s="82" t="s"/>
      <x:c r="M82" s="82" t="s"/>
      <x:c r="N82" s="82" t="s"/>
      <x:c r="O82" s="82" t="s"/>
      <x:c r="P82" s="82" t="s"/>
      <x:c r="Q82" s="82" t="s"/>
      <x:c r="R82" s="82" t="s"/>
      <x:c r="S82" s="82" t="s"/>
      <x:c r="T82" s="82" t="s"/>
      <x:c r="U82" s="82" t="s"/>
      <x:c r="V82" s="82" t="s"/>
      <x:c r="W82" s="82" t="s"/>
      <x:c r="X82" s="82" t="s"/>
      <x:c r="Y82" s="82" t="s"/>
      <x:c r="Z82" s="82" t="s"/>
      <x:c r="AA82" s="82" t="s"/>
      <x:c r="AB82" s="82" t="s"/>
      <x:c r="AC82" s="82" t="s"/>
      <x:c r="AD82" s="82" t="s"/>
      <x:c r="AE82" s="82" t="s"/>
      <x:c r="AF82" s="82" t="s"/>
      <x:c r="AG82" s="82" t="s"/>
      <x:c r="AH82" s="82" t="s"/>
      <x:c r="AI82" s="82" t="s"/>
      <x:c r="AJ82" s="82" t="s"/>
      <x:c r="AK82" s="82" t="s"/>
      <x:c r="AL82" s="82" t="s"/>
      <x:c r="AM82" s="82" t="s"/>
      <x:c r="AN82" s="82" t="s"/>
      <x:c r="AO82" s="82" t="s"/>
      <x:c r="AP82" s="82" t="s"/>
      <x:c r="AQ82" s="82" t="s"/>
      <x:c r="AR82" s="82" t="s"/>
      <x:c r="AS82" s="82" t="s"/>
      <x:c r="AT82" s="82" t="s"/>
      <x:c r="AU82" s="82" t="s"/>
      <x:c r="AV82" s="82" t="s"/>
      <x:c r="AW82" s="82" t="s"/>
      <x:c r="AX82" s="82" t="s"/>
      <x:c r="AY82" s="82" t="s"/>
      <x:c r="AZ82" s="82" t="s"/>
      <x:c r="BA82" s="82" t="s"/>
      <x:c r="BB82" s="82" t="s"/>
      <x:c r="BC82" s="82" t="s"/>
      <x:c r="BD82" s="82" t="s"/>
      <x:c r="BE82" s="82" t="s"/>
      <x:c r="BF82" s="82" t="s"/>
      <x:c r="BG82" s="82" t="s"/>
      <x:c r="BH82" s="82" t="s"/>
      <x:c r="BI82" s="82" t="s"/>
      <x:c r="BJ82" s="82" t="s"/>
      <x:c r="BK82" s="82" t="s"/>
      <x:c r="BL82" s="82" t="s"/>
      <x:c r="BM82" s="82" t="s"/>
      <x:c r="BN82" s="82" t="s"/>
      <x:c r="BO82" s="82" t="s"/>
      <x:c r="BP82" s="82" t="s"/>
      <x:c r="BQ82" s="82" t="s"/>
      <x:c r="BR82" s="82" t="s"/>
    </x:row>
    <x:row r="83" spans="1:70" x14ac:dyDescent="0.25">
      <x:c r="A83" s="82" t="s">
        <x:v>106</x:v>
      </x:c>
      <x:c r="B83" s="82" t="s">
        <x:v>107</x:v>
      </x:c>
      <x:c r="C83" s="82" t="s">
        <x:v>23</x:v>
      </x:c>
      <x:c r="D83" s="85">
        <x:v>42107</x:v>
      </x:c>
      <x:c r="E83" s="82" t="n">
        <x:v>29694</x:v>
      </x:c>
      <x:c r="F83" s="102" t="n">
        <x:v>368.12</x:v>
      </x:c>
      <x:c r="G83" s="102" t="n">
        <x:v>371.22</x:v>
      </x:c>
      <x:c r="H83" s="82" t="s"/>
      <x:c r="I83" s="82" t="s"/>
      <x:c r="J83" s="82" t="s"/>
      <x:c r="K83" s="82" t="s"/>
      <x:c r="L83" s="82" t="s"/>
      <x:c r="M83" s="82" t="s"/>
      <x:c r="N83" s="82" t="s"/>
      <x:c r="O83" s="82" t="s"/>
      <x:c r="P83" s="82" t="s"/>
      <x:c r="Q83" s="82" t="s"/>
      <x:c r="R83" s="82" t="s"/>
      <x:c r="S83" s="82" t="s"/>
      <x:c r="T83" s="82" t="s"/>
      <x:c r="U83" s="82" t="s"/>
      <x:c r="V83" s="82" t="s"/>
      <x:c r="W83" s="82" t="s"/>
      <x:c r="X83" s="82" t="s"/>
      <x:c r="Y83" s="82" t="s"/>
      <x:c r="Z83" s="82" t="s"/>
      <x:c r="AA83" s="82" t="s"/>
      <x:c r="AB83" s="82" t="s"/>
      <x:c r="AC83" s="82" t="s"/>
      <x:c r="AD83" s="82" t="s"/>
      <x:c r="AE83" s="82" t="s"/>
      <x:c r="AF83" s="82" t="s"/>
      <x:c r="AG83" s="82" t="s"/>
      <x:c r="AH83" s="82" t="s"/>
      <x:c r="AI83" s="82" t="s"/>
      <x:c r="AJ83" s="82" t="s"/>
      <x:c r="AK83" s="82" t="s"/>
      <x:c r="AL83" s="82" t="s"/>
      <x:c r="AM83" s="82" t="s"/>
      <x:c r="AN83" s="82" t="s"/>
      <x:c r="AO83" s="82" t="s"/>
      <x:c r="AP83" s="82" t="s"/>
      <x:c r="AQ83" s="82" t="s"/>
      <x:c r="AR83" s="82" t="s"/>
      <x:c r="AS83" s="82" t="s"/>
      <x:c r="AT83" s="82" t="s"/>
      <x:c r="AU83" s="82" t="s"/>
      <x:c r="AV83" s="82" t="s"/>
      <x:c r="AW83" s="82" t="s"/>
      <x:c r="AX83" s="82" t="s"/>
      <x:c r="AY83" s="82" t="s"/>
      <x:c r="AZ83" s="82" t="s"/>
      <x:c r="BA83" s="82" t="s"/>
      <x:c r="BB83" s="82" t="s"/>
      <x:c r="BC83" s="82" t="s"/>
      <x:c r="BD83" s="82" t="s"/>
      <x:c r="BE83" s="82" t="s"/>
      <x:c r="BF83" s="82" t="s"/>
      <x:c r="BG83" s="82" t="s"/>
      <x:c r="BH83" s="82" t="s"/>
      <x:c r="BI83" s="82" t="s"/>
      <x:c r="BJ83" s="82" t="s"/>
      <x:c r="BK83" s="82" t="s"/>
      <x:c r="BL83" s="82" t="s"/>
      <x:c r="BM83" s="82" t="s"/>
      <x:c r="BN83" s="82" t="s"/>
      <x:c r="BO83" s="82" t="s"/>
      <x:c r="BP83" s="82" t="s"/>
      <x:c r="BQ83" s="82" t="s"/>
      <x:c r="BR83" s="82" t="s"/>
    </x:row>
    <x:row r="84" spans="1:70" x14ac:dyDescent="0.25">
      <x:c r="A84" s="82" t="s">
        <x:v>106</x:v>
      </x:c>
      <x:c r="B84" s="82" t="s">
        <x:v>107</x:v>
      </x:c>
      <x:c r="C84" s="82" t="s">
        <x:v>24</x:v>
      </x:c>
      <x:c r="D84" s="85">
        <x:v>42107</x:v>
      </x:c>
      <x:c r="E84" s="82" t="n">
        <x:v>29694</x:v>
      </x:c>
      <x:c r="F84" s="102" t="n">
        <x:v>94.09</x:v>
      </x:c>
      <x:c r="G84" s="102" t="n">
        <x:v>92.568</x:v>
      </x:c>
      <x:c r="H84" s="82" t="s"/>
      <x:c r="I84" s="82" t="s"/>
      <x:c r="J84" s="82" t="s"/>
      <x:c r="K84" s="82" t="s"/>
      <x:c r="L84" s="82" t="s"/>
      <x:c r="M84" s="82" t="s"/>
      <x:c r="N84" s="82" t="s"/>
      <x:c r="O84" s="82" t="s"/>
      <x:c r="P84" s="82" t="s"/>
      <x:c r="Q84" s="82" t="s"/>
      <x:c r="R84" s="82" t="s"/>
      <x:c r="S84" s="82" t="s"/>
      <x:c r="T84" s="82" t="s"/>
      <x:c r="U84" s="82" t="s"/>
      <x:c r="V84" s="82" t="s"/>
      <x:c r="W84" s="82" t="s"/>
      <x:c r="X84" s="82" t="s"/>
      <x:c r="Y84" s="82" t="s"/>
      <x:c r="Z84" s="82" t="s"/>
      <x:c r="AA84" s="82" t="s"/>
      <x:c r="AB84" s="82" t="s"/>
      <x:c r="AC84" s="82" t="s"/>
      <x:c r="AD84" s="82" t="s"/>
      <x:c r="AE84" s="82" t="s"/>
      <x:c r="AF84" s="82" t="s"/>
      <x:c r="AG84" s="82" t="s"/>
      <x:c r="AH84" s="82" t="s"/>
      <x:c r="AI84" s="82" t="s"/>
      <x:c r="AJ84" s="82" t="s"/>
      <x:c r="AK84" s="82" t="s"/>
      <x:c r="AL84" s="82" t="s"/>
      <x:c r="AM84" s="82" t="s"/>
      <x:c r="AN84" s="82" t="s"/>
      <x:c r="AO84" s="82" t="s"/>
      <x:c r="AP84" s="82" t="s"/>
      <x:c r="AQ84" s="82" t="s"/>
      <x:c r="AR84" s="82" t="s"/>
      <x:c r="AS84" s="82" t="s"/>
      <x:c r="AT84" s="82" t="s"/>
      <x:c r="AU84" s="82" t="s"/>
      <x:c r="AV84" s="82" t="s"/>
      <x:c r="AW84" s="82" t="s"/>
      <x:c r="AX84" s="82" t="s"/>
      <x:c r="AY84" s="82" t="s"/>
      <x:c r="AZ84" s="82" t="s"/>
      <x:c r="BA84" s="82" t="s"/>
      <x:c r="BB84" s="82" t="s"/>
      <x:c r="BC84" s="82" t="s"/>
      <x:c r="BD84" s="82" t="s"/>
      <x:c r="BE84" s="82" t="s"/>
      <x:c r="BF84" s="82" t="s"/>
      <x:c r="BG84" s="82" t="s"/>
      <x:c r="BH84" s="82" t="s"/>
      <x:c r="BI84" s="82" t="s"/>
      <x:c r="BJ84" s="82" t="s"/>
      <x:c r="BK84" s="82" t="s"/>
      <x:c r="BL84" s="82" t="s"/>
      <x:c r="BM84" s="82" t="s"/>
      <x:c r="BN84" s="82" t="s"/>
      <x:c r="BO84" s="82" t="s"/>
      <x:c r="BP84" s="82" t="s"/>
      <x:c r="BQ84" s="82" t="s"/>
      <x:c r="BR84" s="82" t="s"/>
    </x:row>
    <x:row r="85" spans="1:70" x14ac:dyDescent="0.25">
      <x:c r="A85" s="82" t="s">
        <x:v>106</x:v>
      </x:c>
      <x:c r="B85" s="82" t="s">
        <x:v>107</x:v>
      </x:c>
      <x:c r="C85" s="82" t="s">
        <x:v>117</x:v>
      </x:c>
      <x:c r="D85" s="85">
        <x:v>42107</x:v>
      </x:c>
      <x:c r="E85" s="82" t="n">
        <x:v>29694</x:v>
      </x:c>
      <x:c r="F85" s="82" t="n">
        <x:v>1</x:v>
      </x:c>
      <x:c r="G85" s="82" t="n">
        <x:v>1</x:v>
      </x:c>
      <x:c r="H85" s="82" t="s"/>
      <x:c r="I85" s="82" t="s"/>
      <x:c r="J85" s="82" t="s"/>
      <x:c r="K85" s="82" t="s"/>
      <x:c r="L85" s="82" t="s"/>
      <x:c r="M85" s="82" t="s"/>
      <x:c r="N85" s="82" t="s"/>
      <x:c r="O85" s="82" t="s"/>
      <x:c r="P85" s="82" t="s"/>
      <x:c r="Q85" s="82" t="s"/>
      <x:c r="R85" s="82" t="s"/>
      <x:c r="S85" s="82" t="s"/>
      <x:c r="T85" s="82" t="s"/>
      <x:c r="U85" s="82" t="s"/>
      <x:c r="V85" s="82" t="s"/>
      <x:c r="W85" s="82" t="s"/>
      <x:c r="X85" s="82" t="s"/>
      <x:c r="Y85" s="82" t="s"/>
      <x:c r="Z85" s="82" t="s"/>
      <x:c r="AA85" s="82" t="s"/>
      <x:c r="AB85" s="82" t="s"/>
      <x:c r="AC85" s="82" t="s"/>
      <x:c r="AD85" s="82" t="s"/>
      <x:c r="AE85" s="82" t="s"/>
      <x:c r="AF85" s="82" t="s"/>
      <x:c r="AG85" s="82" t="s"/>
      <x:c r="AH85" s="82" t="s"/>
      <x:c r="AI85" s="82" t="s"/>
      <x:c r="AJ85" s="82" t="s"/>
      <x:c r="AK85" s="82" t="s"/>
      <x:c r="AL85" s="82" t="s"/>
      <x:c r="AM85" s="82" t="s"/>
      <x:c r="AN85" s="82" t="s"/>
      <x:c r="AO85" s="82" t="s"/>
      <x:c r="AP85" s="82" t="s"/>
      <x:c r="AQ85" s="82" t="s"/>
      <x:c r="AR85" s="82" t="s"/>
      <x:c r="AS85" s="82" t="s"/>
      <x:c r="AT85" s="82" t="s"/>
      <x:c r="AU85" s="82" t="s"/>
      <x:c r="AV85" s="82" t="s"/>
      <x:c r="AW85" s="82" t="s"/>
      <x:c r="AX85" s="82" t="s"/>
      <x:c r="AY85" s="82" t="s"/>
      <x:c r="AZ85" s="82" t="s"/>
      <x:c r="BA85" s="82" t="s"/>
      <x:c r="BB85" s="82" t="s"/>
      <x:c r="BC85" s="82" t="s"/>
      <x:c r="BD85" s="82" t="s"/>
      <x:c r="BE85" s="82" t="s"/>
      <x:c r="BF85" s="82" t="s"/>
      <x:c r="BG85" s="82" t="s"/>
      <x:c r="BH85" s="82" t="s"/>
      <x:c r="BI85" s="82" t="s"/>
      <x:c r="BJ85" s="82" t="s"/>
      <x:c r="BK85" s="82" t="s"/>
      <x:c r="BL85" s="82" t="s"/>
      <x:c r="BM85" s="82" t="s"/>
      <x:c r="BN85" s="82" t="s"/>
      <x:c r="BO85" s="82" t="s"/>
      <x:c r="BP85" s="82" t="s"/>
      <x:c r="BQ85" s="82" t="s"/>
      <x:c r="BR85" s="82" t="s"/>
    </x:row>
    <x:row r="86" spans="1:70" x14ac:dyDescent="0.25">
      <x:c r="A86" s="82" t="s">
        <x:v>106</x:v>
      </x:c>
      <x:c r="B86" s="82" t="s">
        <x:v>107</x:v>
      </x:c>
      <x:c r="C86" s="82" t="s">
        <x:v>118</x:v>
      </x:c>
      <x:c r="D86" s="85">
        <x:v>42107</x:v>
      </x:c>
      <x:c r="E86" s="82" t="n">
        <x:v>29694</x:v>
      </x:c>
      <x:c r="F86" s="90" t="n">
        <x:v>44.91</x:v>
      </x:c>
      <x:c r="G86" s="90" t="n">
        <x:v>48.57</x:v>
      </x:c>
      <x:c r="H86" s="82" t="s"/>
      <x:c r="I86" s="82" t="s"/>
      <x:c r="J86" s="82" t="s"/>
      <x:c r="K86" s="82" t="s"/>
      <x:c r="L86" s="82" t="s"/>
      <x:c r="M86" s="82" t="s"/>
      <x:c r="N86" s="82" t="s"/>
      <x:c r="O86" s="82" t="s"/>
      <x:c r="P86" s="82" t="s"/>
      <x:c r="Q86" s="82" t="s"/>
      <x:c r="R86" s="82" t="s"/>
      <x:c r="S86" s="82" t="s"/>
      <x:c r="T86" s="82" t="s"/>
      <x:c r="U86" s="82" t="s"/>
      <x:c r="V86" s="82" t="s"/>
      <x:c r="W86" s="82" t="s"/>
      <x:c r="X86" s="82" t="s"/>
      <x:c r="Y86" s="82" t="s"/>
      <x:c r="Z86" s="82" t="s"/>
      <x:c r="AA86" s="82" t="s"/>
      <x:c r="AB86" s="82" t="s"/>
      <x:c r="AC86" s="82" t="s"/>
      <x:c r="AD86" s="82" t="s"/>
      <x:c r="AE86" s="82" t="s"/>
      <x:c r="AF86" s="82" t="s"/>
      <x:c r="AG86" s="82" t="s"/>
      <x:c r="AH86" s="82" t="s"/>
      <x:c r="AI86" s="82" t="s"/>
      <x:c r="AJ86" s="82" t="s"/>
      <x:c r="AK86" s="82" t="s"/>
      <x:c r="AL86" s="82" t="s"/>
      <x:c r="AM86" s="82" t="s"/>
      <x:c r="AN86" s="82" t="s"/>
      <x:c r="AO86" s="82" t="s"/>
      <x:c r="AP86" s="82" t="s"/>
      <x:c r="AQ86" s="82" t="s"/>
      <x:c r="AR86" s="82" t="s"/>
      <x:c r="AS86" s="82" t="s"/>
      <x:c r="AT86" s="82" t="s"/>
      <x:c r="AU86" s="82" t="s"/>
      <x:c r="AV86" s="82" t="s"/>
      <x:c r="AW86" s="82" t="s"/>
      <x:c r="AX86" s="82" t="s"/>
      <x:c r="AY86" s="82" t="s"/>
      <x:c r="AZ86" s="82" t="s"/>
      <x:c r="BA86" s="82" t="s"/>
      <x:c r="BB86" s="82" t="s"/>
      <x:c r="BC86" s="82" t="s"/>
      <x:c r="BD86" s="82" t="s"/>
      <x:c r="BE86" s="82" t="s"/>
      <x:c r="BF86" s="82" t="s"/>
      <x:c r="BG86" s="82" t="s"/>
      <x:c r="BH86" s="82" t="s"/>
      <x:c r="BI86" s="82" t="s"/>
      <x:c r="BJ86" s="82" t="s"/>
      <x:c r="BK86" s="82" t="s"/>
      <x:c r="BL86" s="82" t="s"/>
      <x:c r="BM86" s="82" t="s"/>
      <x:c r="BN86" s="82" t="s"/>
      <x:c r="BO86" s="82" t="s"/>
      <x:c r="BP86" s="82" t="s"/>
      <x:c r="BQ86" s="82" t="s"/>
      <x:c r="BR86" s="82" t="s"/>
    </x:row>
    <x:row r="87" spans="1:70" x14ac:dyDescent="0.25">
      <x:c r="A87" s="82" t="s">
        <x:v>106</x:v>
      </x:c>
      <x:c r="B87" s="82" t="s">
        <x:v>107</x:v>
      </x:c>
      <x:c r="C87" s="82" t="s">
        <x:v>119</x:v>
      </x:c>
      <x:c r="D87" s="85">
        <x:v>42107</x:v>
      </x:c>
      <x:c r="E87" s="82" t="n">
        <x:v>29694</x:v>
      </x:c>
      <x:c r="F87" s="90" t="n">
        <x:v>46.22</x:v>
      </x:c>
      <x:c r="G87" s="90" t="n">
        <x:v>49.66</x:v>
      </x:c>
      <x:c r="H87" s="82" t="s"/>
      <x:c r="I87" s="82" t="s"/>
      <x:c r="J87" s="82" t="s"/>
      <x:c r="K87" s="82" t="s"/>
      <x:c r="L87" s="82" t="s"/>
      <x:c r="M87" s="82" t="s"/>
      <x:c r="N87" s="82" t="s"/>
      <x:c r="O87" s="82" t="s"/>
      <x:c r="P87" s="82" t="s"/>
      <x:c r="Q87" s="82" t="s"/>
      <x:c r="R87" s="82" t="s"/>
      <x:c r="S87" s="82" t="s"/>
      <x:c r="T87" s="82" t="s"/>
      <x:c r="U87" s="82" t="s"/>
      <x:c r="V87" s="82" t="s"/>
      <x:c r="W87" s="82" t="s"/>
      <x:c r="X87" s="82" t="s"/>
      <x:c r="Y87" s="82" t="s"/>
      <x:c r="Z87" s="82" t="s"/>
      <x:c r="AA87" s="82" t="s"/>
      <x:c r="AB87" s="82" t="s"/>
      <x:c r="AC87" s="82" t="s"/>
      <x:c r="AD87" s="82" t="s"/>
      <x:c r="AE87" s="82" t="s"/>
      <x:c r="AF87" s="82" t="s"/>
      <x:c r="AG87" s="82" t="s"/>
      <x:c r="AH87" s="82" t="s"/>
      <x:c r="AI87" s="82" t="s"/>
      <x:c r="AJ87" s="82" t="s"/>
      <x:c r="AK87" s="82" t="s"/>
      <x:c r="AL87" s="82" t="s"/>
      <x:c r="AM87" s="82" t="s"/>
      <x:c r="AN87" s="82" t="s"/>
      <x:c r="AO87" s="82" t="s"/>
      <x:c r="AP87" s="82" t="s"/>
      <x:c r="AQ87" s="82" t="s"/>
      <x:c r="AR87" s="82" t="s"/>
      <x:c r="AS87" s="82" t="s"/>
      <x:c r="AT87" s="82" t="s"/>
      <x:c r="AU87" s="82" t="s"/>
      <x:c r="AV87" s="82" t="s"/>
      <x:c r="AW87" s="82" t="s"/>
      <x:c r="AX87" s="82" t="s"/>
      <x:c r="AY87" s="82" t="s"/>
      <x:c r="AZ87" s="82" t="s"/>
      <x:c r="BA87" s="82" t="s"/>
      <x:c r="BB87" s="82" t="s"/>
      <x:c r="BC87" s="82" t="s"/>
      <x:c r="BD87" s="82" t="s"/>
      <x:c r="BE87" s="82" t="s"/>
      <x:c r="BF87" s="82" t="s"/>
      <x:c r="BG87" s="82" t="s"/>
      <x:c r="BH87" s="82" t="s"/>
      <x:c r="BI87" s="82" t="s"/>
      <x:c r="BJ87" s="82" t="s"/>
      <x:c r="BK87" s="82" t="s"/>
      <x:c r="BL87" s="82" t="s"/>
      <x:c r="BM87" s="82" t="s"/>
      <x:c r="BN87" s="82" t="s"/>
      <x:c r="BO87" s="82" t="s"/>
      <x:c r="BP87" s="82" t="s"/>
      <x:c r="BQ87" s="82" t="s"/>
      <x:c r="BR87" s="82" t="s"/>
    </x:row>
    <x:row r="88" spans="1:70" x14ac:dyDescent="0.25">
      <x:c r="A88" s="82" t="s">
        <x:v>106</x:v>
      </x:c>
      <x:c r="B88" s="82" t="s">
        <x:v>107</x:v>
      </x:c>
      <x:c r="C88" s="82" t="s">
        <x:v>120</x:v>
      </x:c>
      <x:c r="D88" s="85">
        <x:v>42107</x:v>
      </x:c>
      <x:c r="E88" s="82" t="n">
        <x:v>29694</x:v>
      </x:c>
      <x:c r="F88" s="90" t="n">
        <x:v>1.31</x:v>
      </x:c>
      <x:c r="G88" s="90" t="n">
        <x:v>1.09</x:v>
      </x:c>
      <x:c r="H88" s="82" t="s"/>
      <x:c r="I88" s="82" t="s"/>
      <x:c r="J88" s="82" t="s"/>
      <x:c r="K88" s="82" t="s"/>
      <x:c r="L88" s="82" t="s"/>
      <x:c r="M88" s="82" t="s"/>
      <x:c r="N88" s="82" t="s"/>
      <x:c r="O88" s="82" t="s"/>
      <x:c r="P88" s="82" t="s"/>
      <x:c r="Q88" s="82" t="s"/>
      <x:c r="R88" s="82" t="s"/>
      <x:c r="S88" s="82" t="s"/>
      <x:c r="T88" s="82" t="s"/>
      <x:c r="U88" s="82" t="s"/>
      <x:c r="V88" s="82" t="s"/>
      <x:c r="W88" s="82" t="s"/>
      <x:c r="X88" s="82" t="s"/>
      <x:c r="Y88" s="82" t="s"/>
      <x:c r="Z88" s="82" t="s"/>
      <x:c r="AA88" s="82" t="s"/>
      <x:c r="AB88" s="82" t="s"/>
      <x:c r="AC88" s="82" t="s"/>
      <x:c r="AD88" s="82" t="s"/>
      <x:c r="AE88" s="82" t="s"/>
      <x:c r="AF88" s="82" t="s"/>
      <x:c r="AG88" s="82" t="s"/>
      <x:c r="AH88" s="82" t="s"/>
      <x:c r="AI88" s="82" t="s"/>
      <x:c r="AJ88" s="82" t="s"/>
      <x:c r="AK88" s="82" t="s"/>
      <x:c r="AL88" s="82" t="s"/>
      <x:c r="AM88" s="82" t="s"/>
      <x:c r="AN88" s="82" t="s"/>
      <x:c r="AO88" s="82" t="s"/>
      <x:c r="AP88" s="82" t="s"/>
      <x:c r="AQ88" s="82" t="s"/>
      <x:c r="AR88" s="82" t="s"/>
      <x:c r="AS88" s="82" t="s"/>
      <x:c r="AT88" s="82" t="s"/>
      <x:c r="AU88" s="82" t="s"/>
      <x:c r="AV88" s="82" t="s"/>
      <x:c r="AW88" s="82" t="s"/>
      <x:c r="AX88" s="82" t="s"/>
      <x:c r="AY88" s="82" t="s"/>
      <x:c r="AZ88" s="82" t="s"/>
      <x:c r="BA88" s="82" t="s"/>
      <x:c r="BB88" s="82" t="s"/>
      <x:c r="BC88" s="82" t="s"/>
      <x:c r="BD88" s="82" t="s"/>
      <x:c r="BE88" s="82" t="s"/>
      <x:c r="BF88" s="82" t="s"/>
      <x:c r="BG88" s="82" t="s"/>
      <x:c r="BH88" s="82" t="s"/>
      <x:c r="BI88" s="82" t="s"/>
      <x:c r="BJ88" s="82" t="s"/>
      <x:c r="BK88" s="82" t="s"/>
      <x:c r="BL88" s="82" t="s"/>
      <x:c r="BM88" s="82" t="s"/>
      <x:c r="BN88" s="82" t="s"/>
      <x:c r="BO88" s="82" t="s"/>
      <x:c r="BP88" s="82" t="s"/>
      <x:c r="BQ88" s="82" t="s"/>
      <x:c r="BR88" s="82" t="s"/>
    </x:row>
    <x:row r="89" spans="1:70" customFormat="1" ht="15.75" customHeight="1" thickBot="1" x14ac:dyDescent="0.3">
      <x:c r="A89" s="106" t="s">
        <x:v>106</x:v>
      </x:c>
      <x:c r="B89" s="106" t="s">
        <x:v>107</x:v>
      </x:c>
      <x:c r="C89" s="106" t="s">
        <x:v>121</x:v>
      </x:c>
      <x:c r="D89" s="105">
        <x:v>42107</x:v>
      </x:c>
      <x:c r="E89" s="106" t="n">
        <x:v>29694</x:v>
      </x:c>
      <x:c r="F89" s="126" t="n">
        <x:v>51.87</x:v>
      </x:c>
      <x:c r="G89" s="126" t="n">
        <x:v>56.11</x:v>
      </x:c>
      <x:c r="H89" s="106" t="s"/>
      <x:c r="I89" s="106" t="s"/>
      <x:c r="J89" s="82" t="s"/>
      <x:c r="K89" s="82" t="s"/>
      <x:c r="L89" s="82" t="s"/>
      <x:c r="M89" s="82" t="s"/>
      <x:c r="N89" s="82" t="s"/>
      <x:c r="O89" s="82" t="s"/>
      <x:c r="P89" s="82" t="s"/>
      <x:c r="Q89" s="82" t="s"/>
      <x:c r="R89" s="82" t="s"/>
      <x:c r="S89" s="82" t="s"/>
      <x:c r="T89" s="82" t="s"/>
      <x:c r="U89" s="82" t="s"/>
      <x:c r="V89" s="82" t="s"/>
      <x:c r="W89" s="82" t="s"/>
      <x:c r="X89" s="82" t="s"/>
      <x:c r="Y89" s="82" t="s"/>
      <x:c r="Z89" s="82" t="s"/>
      <x:c r="AA89" s="82" t="s"/>
      <x:c r="AB89" s="82" t="s"/>
      <x:c r="AC89" s="82" t="s"/>
      <x:c r="AD89" s="82" t="s"/>
      <x:c r="AE89" s="82" t="s"/>
      <x:c r="AF89" s="82" t="s"/>
      <x:c r="AG89" s="82" t="s"/>
      <x:c r="AH89" s="82" t="s"/>
      <x:c r="AI89" s="82" t="s"/>
      <x:c r="AJ89" s="82" t="s"/>
      <x:c r="AK89" s="82" t="s"/>
      <x:c r="AL89" s="82" t="s"/>
      <x:c r="AM89" s="82" t="s"/>
      <x:c r="AN89" s="82" t="s"/>
      <x:c r="AO89" s="82" t="s"/>
      <x:c r="AP89" s="82" t="s"/>
      <x:c r="AQ89" s="82" t="s"/>
      <x:c r="AR89" s="82" t="s"/>
      <x:c r="AS89" s="82" t="s"/>
      <x:c r="AT89" s="82" t="s"/>
      <x:c r="AU89" s="82" t="s"/>
      <x:c r="AV89" s="82" t="s"/>
      <x:c r="AW89" s="82" t="s"/>
      <x:c r="AX89" s="82" t="s"/>
      <x:c r="AY89" s="82" t="s"/>
      <x:c r="AZ89" s="82" t="s"/>
      <x:c r="BA89" s="82" t="s"/>
      <x:c r="BB89" s="82" t="s"/>
      <x:c r="BC89" s="82" t="s"/>
      <x:c r="BD89" s="82" t="s"/>
      <x:c r="BE89" s="82" t="s"/>
      <x:c r="BF89" s="82" t="s"/>
      <x:c r="BG89" s="82" t="s"/>
      <x:c r="BH89" s="82" t="s"/>
      <x:c r="BI89" s="82" t="s"/>
      <x:c r="BJ89" s="82" t="s"/>
      <x:c r="BK89" s="82" t="s"/>
      <x:c r="BL89" s="82" t="s"/>
      <x:c r="BM89" s="82" t="s"/>
      <x:c r="BN89" s="82" t="s"/>
      <x:c r="BO89" s="82" t="s"/>
      <x:c r="BP89" s="82" t="s"/>
      <x:c r="BQ89" s="82" t="s"/>
      <x:c r="BR89" s="82" t="s"/>
    </x:row>
    <x:row r="90" spans="1:70" x14ac:dyDescent="0.25">
      <x:c r="A90" s="82" t="s">
        <x:v>106</x:v>
      </x:c>
      <x:c r="B90" s="82" t="s">
        <x:v>107</x:v>
      </x:c>
      <x:c r="C90" s="82" t="s">
        <x:v>108</x:v>
      </x:c>
      <x:c r="D90" s="85">
        <x:v>42107</x:v>
      </x:c>
      <x:c r="E90" s="82" t="n">
        <x:v>29704</x:v>
      </x:c>
      <x:c r="F90" s="86" t="n">
        <x:v>0.0231043437499445</x:v>
      </x:c>
      <x:c r="G90" s="86" t="n">
        <x:v>0.00608431382056081</x:v>
      </x:c>
      <x:c r="H90" s="86" t="n">
        <x:v>0.011356930143122</x:v>
      </x:c>
      <x:c r="I90" s="86" t="n">
        <x:v>0.00444159843226022</x:v>
      </x:c>
      <x:c r="J90" s="82" t="s"/>
      <x:c r="K90" s="82" t="s"/>
      <x:c r="L90" s="82" t="s"/>
      <x:c r="M90" s="82" t="s"/>
      <x:c r="N90" s="82" t="s"/>
      <x:c r="O90" s="82" t="s"/>
      <x:c r="P90" s="82" t="s"/>
      <x:c r="Q90" s="82" t="s"/>
      <x:c r="R90" s="82" t="s"/>
      <x:c r="S90" s="82" t="s"/>
      <x:c r="T90" s="82" t="s"/>
      <x:c r="U90" s="82" t="s"/>
      <x:c r="V90" s="82" t="s"/>
      <x:c r="W90" s="82" t="s"/>
      <x:c r="X90" s="82" t="s"/>
      <x:c r="Y90" s="82" t="s"/>
      <x:c r="Z90" s="82" t="s"/>
      <x:c r="AA90" s="82" t="s"/>
      <x:c r="AB90" s="82" t="s"/>
      <x:c r="AC90" s="82" t="s"/>
      <x:c r="AD90" s="82" t="s"/>
      <x:c r="AE90" s="82" t="s"/>
      <x:c r="AF90" s="82" t="s"/>
      <x:c r="AG90" s="82" t="s"/>
      <x:c r="AH90" s="82" t="s"/>
      <x:c r="AI90" s="82" t="s"/>
      <x:c r="AJ90" s="82" t="s"/>
      <x:c r="AK90" s="82" t="s"/>
      <x:c r="AL90" s="82" t="s"/>
      <x:c r="AM90" s="82" t="s"/>
      <x:c r="AN90" s="82" t="s"/>
      <x:c r="AO90" s="82" t="s"/>
      <x:c r="AP90" s="82" t="s"/>
      <x:c r="AQ90" s="82" t="s"/>
      <x:c r="AR90" s="82" t="s"/>
      <x:c r="AS90" s="82" t="s"/>
      <x:c r="AT90" s="82" t="s"/>
      <x:c r="AU90" s="82" t="s"/>
      <x:c r="AV90" s="82" t="s"/>
      <x:c r="AW90" s="82" t="s"/>
      <x:c r="AX90" s="82" t="s"/>
      <x:c r="AY90" s="82" t="s"/>
      <x:c r="AZ90" s="82" t="s"/>
      <x:c r="BA90" s="82" t="s"/>
      <x:c r="BB90" s="82" t="s"/>
      <x:c r="BC90" s="82" t="s"/>
      <x:c r="BD90" s="82" t="s"/>
      <x:c r="BE90" s="82" t="s"/>
      <x:c r="BF90" s="82" t="s"/>
      <x:c r="BG90" s="82" t="s"/>
      <x:c r="BH90" s="82" t="s"/>
      <x:c r="BI90" s="82" t="s"/>
      <x:c r="BJ90" s="82" t="s"/>
      <x:c r="BK90" s="82" t="s"/>
      <x:c r="BL90" s="82" t="s"/>
      <x:c r="BM90" s="82" t="s"/>
      <x:c r="BN90" s="82" t="s"/>
      <x:c r="BO90" s="82" t="s"/>
      <x:c r="BP90" s="82" t="s"/>
      <x:c r="BQ90" s="82" t="s"/>
      <x:c r="BR90" s="82" t="s"/>
    </x:row>
    <x:row r="91" spans="1:70" x14ac:dyDescent="0.25">
      <x:c r="A91" s="82" t="s">
        <x:v>106</x:v>
      </x:c>
      <x:c r="B91" s="82" t="s">
        <x:v>107</x:v>
      </x:c>
      <x:c r="C91" s="82" t="s">
        <x:v>109</x:v>
      </x:c>
      <x:c r="D91" s="85">
        <x:v>42107</x:v>
      </x:c>
      <x:c r="E91" s="82" t="n">
        <x:v>29704</x:v>
      </x:c>
      <x:c r="F91" s="86" t="n">
        <x:v>5.5945600065097</x:v>
      </x:c>
      <x:c r="G91" s="86" t="n">
        <x:v>6.77359351894588</x:v>
      </x:c>
      <x:c r="H91" s="86" t="n">
        <x:v>8.20805687855571</x:v>
      </x:c>
      <x:c r="I91" s="86" t="n">
        <x:v>14.1664698272929</x:v>
      </x:c>
      <x:c r="J91" s="82" t="s"/>
      <x:c r="K91" s="82" t="s"/>
      <x:c r="L91" s="82" t="s"/>
      <x:c r="M91" s="82" t="s"/>
      <x:c r="N91" s="82" t="s"/>
      <x:c r="O91" s="82" t="s"/>
      <x:c r="P91" s="82" t="s"/>
      <x:c r="Q91" s="82" t="s"/>
      <x:c r="R91" s="82" t="s"/>
      <x:c r="S91" s="82" t="s"/>
      <x:c r="T91" s="82" t="s"/>
      <x:c r="U91" s="82" t="s"/>
      <x:c r="V91" s="82" t="s"/>
      <x:c r="W91" s="82" t="s"/>
      <x:c r="X91" s="82" t="s"/>
      <x:c r="Y91" s="82" t="s"/>
      <x:c r="Z91" s="82" t="s"/>
      <x:c r="AA91" s="82" t="s"/>
      <x:c r="AB91" s="82" t="s"/>
      <x:c r="AC91" s="82" t="s"/>
      <x:c r="AD91" s="82" t="s"/>
      <x:c r="AE91" s="82" t="s"/>
      <x:c r="AF91" s="82" t="s"/>
      <x:c r="AG91" s="82" t="s"/>
      <x:c r="AH91" s="82" t="s"/>
      <x:c r="AI91" s="82" t="s"/>
      <x:c r="AJ91" s="82" t="s"/>
      <x:c r="AK91" s="82" t="s"/>
      <x:c r="AL91" s="82" t="s"/>
      <x:c r="AM91" s="82" t="s"/>
      <x:c r="AN91" s="82" t="s"/>
      <x:c r="AO91" s="82" t="s"/>
      <x:c r="AP91" s="82" t="s"/>
      <x:c r="AQ91" s="82" t="s"/>
      <x:c r="AR91" s="82" t="s"/>
      <x:c r="AS91" s="82" t="s"/>
      <x:c r="AT91" s="82" t="s"/>
      <x:c r="AU91" s="82" t="s"/>
      <x:c r="AV91" s="82" t="s"/>
      <x:c r="AW91" s="82" t="s"/>
      <x:c r="AX91" s="82" t="s"/>
      <x:c r="AY91" s="82" t="s"/>
      <x:c r="AZ91" s="82" t="s"/>
      <x:c r="BA91" s="82" t="s"/>
      <x:c r="BB91" s="82" t="s"/>
      <x:c r="BC91" s="82" t="s"/>
      <x:c r="BD91" s="82" t="s"/>
      <x:c r="BE91" s="82" t="s"/>
      <x:c r="BF91" s="82" t="s"/>
      <x:c r="BG91" s="82" t="s"/>
      <x:c r="BH91" s="82" t="s"/>
      <x:c r="BI91" s="82" t="s"/>
      <x:c r="BJ91" s="82" t="s"/>
      <x:c r="BK91" s="82" t="s"/>
      <x:c r="BL91" s="82" t="s"/>
      <x:c r="BM91" s="82" t="s"/>
      <x:c r="BN91" s="82" t="s"/>
      <x:c r="BO91" s="82" t="s"/>
      <x:c r="BP91" s="82" t="s"/>
      <x:c r="BQ91" s="82" t="s"/>
      <x:c r="BR91" s="82" t="s"/>
    </x:row>
    <x:row r="92" spans="1:70" x14ac:dyDescent="0.25">
      <x:c r="A92" s="82" t="s">
        <x:v>106</x:v>
      </x:c>
      <x:c r="B92" s="82" t="s">
        <x:v>107</x:v>
      </x:c>
      <x:c r="C92" s="82" t="s">
        <x:v>110</x:v>
      </x:c>
      <x:c r="D92" s="85">
        <x:v>42107</x:v>
      </x:c>
      <x:c r="E92" s="82" t="n">
        <x:v>29704</x:v>
      </x:c>
      <x:c r="F92" s="86" t="n">
        <x:v>0.256506293794404</x:v>
      </x:c>
      <x:c r="G92" s="127" t="n">
        <x:v>0.275157410342005</x:v>
      </x:c>
      <x:c r="H92" s="86" t="n">
        <x:v>0.234263411086725</x:v>
      </x:c>
      <x:c r="I92" s="86" t="n">
        <x:v>0.21886545941044</x:v>
      </x:c>
      <x:c r="J92" s="82" t="s"/>
      <x:c r="K92" s="82" t="s"/>
      <x:c r="L92" s="82" t="s"/>
      <x:c r="M92" s="82" t="s"/>
      <x:c r="N92" s="82" t="s"/>
      <x:c r="O92" s="82" t="s"/>
      <x:c r="P92" s="82" t="s"/>
      <x:c r="Q92" s="82" t="s"/>
      <x:c r="R92" s="82" t="s"/>
      <x:c r="S92" s="82" t="s"/>
      <x:c r="T92" s="82" t="s"/>
      <x:c r="U92" s="82" t="s"/>
      <x:c r="V92" s="82" t="s"/>
      <x:c r="W92" s="82" t="s"/>
      <x:c r="X92" s="82" t="s"/>
      <x:c r="Y92" s="82" t="s"/>
      <x:c r="Z92" s="82" t="s"/>
      <x:c r="AA92" s="82" t="s"/>
      <x:c r="AB92" s="82" t="s"/>
      <x:c r="AC92" s="82" t="s"/>
      <x:c r="AD92" s="82" t="s"/>
      <x:c r="AE92" s="82" t="s"/>
      <x:c r="AF92" s="82" t="s"/>
      <x:c r="AG92" s="82" t="s"/>
      <x:c r="AH92" s="82" t="s"/>
      <x:c r="AI92" s="82" t="s"/>
      <x:c r="AJ92" s="82" t="s"/>
      <x:c r="AK92" s="82" t="s"/>
      <x:c r="AL92" s="82" t="s"/>
      <x:c r="AM92" s="82" t="s"/>
      <x:c r="AN92" s="82" t="s"/>
      <x:c r="AO92" s="82" t="s"/>
      <x:c r="AP92" s="82" t="s"/>
      <x:c r="AQ92" s="82" t="s"/>
      <x:c r="AR92" s="82" t="s"/>
      <x:c r="AS92" s="82" t="s"/>
      <x:c r="AT92" s="82" t="s"/>
      <x:c r="AU92" s="82" t="s"/>
      <x:c r="AV92" s="82" t="s"/>
      <x:c r="AW92" s="82" t="s"/>
      <x:c r="AX92" s="82" t="s"/>
      <x:c r="AY92" s="82" t="s"/>
      <x:c r="AZ92" s="82" t="s"/>
      <x:c r="BA92" s="82" t="s"/>
      <x:c r="BB92" s="82" t="s"/>
      <x:c r="BC92" s="82" t="s"/>
      <x:c r="BD92" s="82" t="s"/>
      <x:c r="BE92" s="82" t="s"/>
      <x:c r="BF92" s="82" t="s"/>
      <x:c r="BG92" s="82" t="s"/>
      <x:c r="BH92" s="82" t="s"/>
      <x:c r="BI92" s="82" t="s"/>
      <x:c r="BJ92" s="82" t="s"/>
      <x:c r="BK92" s="82" t="s"/>
      <x:c r="BL92" s="82" t="s"/>
      <x:c r="BM92" s="82" t="s"/>
      <x:c r="BN92" s="82" t="s"/>
      <x:c r="BO92" s="82" t="s"/>
      <x:c r="BP92" s="82" t="s"/>
      <x:c r="BQ92" s="82" t="s"/>
      <x:c r="BR92" s="82" t="s"/>
    </x:row>
    <x:row r="93" spans="1:70" x14ac:dyDescent="0.25">
      <x:c r="A93" s="82" t="s">
        <x:v>106</x:v>
      </x:c>
      <x:c r="B93" s="82" t="s">
        <x:v>107</x:v>
      </x:c>
      <x:c r="C93" s="82" t="s">
        <x:v>111</x:v>
      </x:c>
      <x:c r="D93" s="85">
        <x:v>42107</x:v>
      </x:c>
      <x:c r="E93" s="82" t="n">
        <x:v>29704</x:v>
      </x:c>
      <x:c r="F93" s="86" t="n">
        <x:v>1.39297541504057</x:v>
      </x:c>
      <x:c r="G93" s="127" t="n">
        <x:v>1.26396916646549</x:v>
      </x:c>
      <x:c r="H93" s="86" t="n">
        <x:v>1.14782002138168</x:v>
      </x:c>
      <x:c r="I93" s="86" t="n">
        <x:v>0.93446392900475</x:v>
      </x:c>
      <x:c r="J93" s="82" t="s"/>
      <x:c r="K93" s="82" t="s"/>
      <x:c r="L93" s="82" t="s"/>
      <x:c r="M93" s="82" t="s"/>
      <x:c r="N93" s="82" t="s"/>
      <x:c r="O93" s="82" t="s"/>
      <x:c r="P93" s="82" t="s"/>
      <x:c r="Q93" s="82" t="s"/>
      <x:c r="R93" s="82" t="s"/>
      <x:c r="S93" s="82" t="s"/>
      <x:c r="T93" s="82" t="s"/>
      <x:c r="U93" s="82" t="s"/>
      <x:c r="V93" s="82" t="s"/>
      <x:c r="W93" s="82" t="s"/>
      <x:c r="X93" s="82" t="s"/>
      <x:c r="Y93" s="82" t="s"/>
      <x:c r="Z93" s="82" t="s"/>
      <x:c r="AA93" s="82" t="s"/>
      <x:c r="AB93" s="82" t="s"/>
      <x:c r="AC93" s="82" t="s"/>
      <x:c r="AD93" s="82" t="s"/>
      <x:c r="AE93" s="82" t="s"/>
      <x:c r="AF93" s="82" t="s"/>
      <x:c r="AG93" s="82" t="s"/>
      <x:c r="AH93" s="82" t="s"/>
      <x:c r="AI93" s="82" t="s"/>
      <x:c r="AJ93" s="82" t="s"/>
      <x:c r="AK93" s="82" t="s"/>
      <x:c r="AL93" s="82" t="s"/>
      <x:c r="AM93" s="82" t="s"/>
      <x:c r="AN93" s="82" t="s"/>
      <x:c r="AO93" s="82" t="s"/>
      <x:c r="AP93" s="82" t="s"/>
      <x:c r="AQ93" s="82" t="s"/>
      <x:c r="AR93" s="82" t="s"/>
      <x:c r="AS93" s="82" t="s"/>
      <x:c r="AT93" s="82" t="s"/>
      <x:c r="AU93" s="82" t="s"/>
      <x:c r="AV93" s="82" t="s"/>
      <x:c r="AW93" s="82" t="s"/>
      <x:c r="AX93" s="82" t="s"/>
      <x:c r="AY93" s="82" t="s"/>
      <x:c r="AZ93" s="82" t="s"/>
      <x:c r="BA93" s="82" t="s"/>
      <x:c r="BB93" s="82" t="s"/>
      <x:c r="BC93" s="82" t="s"/>
      <x:c r="BD93" s="82" t="s"/>
      <x:c r="BE93" s="82" t="s"/>
      <x:c r="BF93" s="82" t="s"/>
      <x:c r="BG93" s="82" t="s"/>
      <x:c r="BH93" s="82" t="s"/>
      <x:c r="BI93" s="82" t="s"/>
      <x:c r="BJ93" s="82" t="s"/>
      <x:c r="BK93" s="82" t="s"/>
      <x:c r="BL93" s="82" t="s"/>
      <x:c r="BM93" s="82" t="s"/>
      <x:c r="BN93" s="82" t="s"/>
      <x:c r="BO93" s="82" t="s"/>
      <x:c r="BP93" s="82" t="s"/>
      <x:c r="BQ93" s="82" t="s"/>
      <x:c r="BR93" s="82" t="s"/>
    </x:row>
    <x:row r="94" spans="1:70" x14ac:dyDescent="0.25">
      <x:c r="A94" s="82" t="s">
        <x:v>106</x:v>
      </x:c>
      <x:c r="B94" s="82" t="s">
        <x:v>107</x:v>
      </x:c>
      <x:c r="C94" s="82" t="s">
        <x:v>112</x:v>
      </x:c>
      <x:c r="D94" s="85">
        <x:v>42107</x:v>
      </x:c>
      <x:c r="E94" s="82" t="n">
        <x:v>29704</x:v>
      </x:c>
      <x:c r="F94" s="82" t="n">
        <x:v>4.17298140710431</x:v>
      </x:c>
      <x:c r="G94" s="82" t="n">
        <x:v>3.78651322475782</x:v>
      </x:c>
      <x:c r="H94" s="82" t="n">
        <x:v>3.43856148228452</x:v>
      </x:c>
      <x:c r="I94" s="82" t="n">
        <x:v>2.79940375059159</x:v>
      </x:c>
      <x:c r="J94" s="82" t="s"/>
      <x:c r="K94" s="82" t="s"/>
      <x:c r="L94" s="82" t="s"/>
      <x:c r="M94" s="82" t="s"/>
      <x:c r="N94" s="82" t="s"/>
      <x:c r="O94" s="82" t="s"/>
      <x:c r="P94" s="82" t="s"/>
      <x:c r="Q94" s="82" t="s"/>
      <x:c r="R94" s="82" t="s"/>
      <x:c r="S94" s="82" t="s"/>
      <x:c r="T94" s="82" t="s"/>
      <x:c r="U94" s="82" t="s"/>
      <x:c r="V94" s="82" t="s"/>
      <x:c r="W94" s="82" t="s"/>
      <x:c r="X94" s="82" t="s"/>
      <x:c r="Y94" s="82" t="s"/>
      <x:c r="Z94" s="82" t="s"/>
      <x:c r="AA94" s="82" t="s"/>
      <x:c r="AB94" s="82" t="s"/>
      <x:c r="AC94" s="82" t="s"/>
      <x:c r="AD94" s="82" t="s"/>
      <x:c r="AE94" s="82" t="s"/>
      <x:c r="AF94" s="82" t="s"/>
      <x:c r="AG94" s="82" t="s"/>
      <x:c r="AH94" s="82" t="s"/>
      <x:c r="AI94" s="82" t="s"/>
      <x:c r="AJ94" s="82" t="s"/>
      <x:c r="AK94" s="82" t="s"/>
      <x:c r="AL94" s="82" t="s"/>
      <x:c r="AM94" s="82" t="s"/>
      <x:c r="AN94" s="82" t="s"/>
      <x:c r="AO94" s="82" t="s"/>
      <x:c r="AP94" s="82" t="s"/>
      <x:c r="AQ94" s="82" t="s"/>
      <x:c r="AR94" s="82" t="s"/>
      <x:c r="AS94" s="82" t="s"/>
      <x:c r="AT94" s="82" t="s"/>
      <x:c r="AU94" s="82" t="s"/>
      <x:c r="AV94" s="82" t="s"/>
      <x:c r="AW94" s="82" t="s"/>
      <x:c r="AX94" s="82" t="s"/>
      <x:c r="AY94" s="82" t="s"/>
      <x:c r="AZ94" s="82" t="s"/>
      <x:c r="BA94" s="82" t="s"/>
      <x:c r="BB94" s="82" t="s"/>
      <x:c r="BC94" s="82" t="s"/>
      <x:c r="BD94" s="82" t="s"/>
      <x:c r="BE94" s="82" t="s"/>
      <x:c r="BF94" s="82" t="s"/>
      <x:c r="BG94" s="82" t="s"/>
      <x:c r="BH94" s="82" t="s"/>
      <x:c r="BI94" s="82" t="s"/>
      <x:c r="BJ94" s="82" t="s"/>
      <x:c r="BK94" s="82" t="s"/>
      <x:c r="BL94" s="82" t="s"/>
      <x:c r="BM94" s="82" t="s"/>
      <x:c r="BN94" s="82" t="s"/>
      <x:c r="BO94" s="82" t="s"/>
      <x:c r="BP94" s="82" t="s"/>
      <x:c r="BQ94" s="82" t="s"/>
      <x:c r="BR94" s="82" t="s"/>
    </x:row>
    <x:row r="95" spans="1:70" x14ac:dyDescent="0.25">
      <x:c r="A95" s="82" t="s">
        <x:v>106</x:v>
      </x:c>
      <x:c r="B95" s="82" t="s">
        <x:v>107</x:v>
      </x:c>
      <x:c r="C95" s="82" t="s">
        <x:v>113</x:v>
      </x:c>
      <x:c r="D95" s="85">
        <x:v>42107</x:v>
      </x:c>
      <x:c r="E95" s="82" t="n">
        <x:v>29704</x:v>
      </x:c>
      <x:c r="F95" s="88" t="n">
        <x:v>-5.832</x:v>
      </x:c>
      <x:c r="G95" s="88" t="n">
        <x:v>-5.661</x:v>
      </x:c>
      <x:c r="H95" s="82" t="s"/>
      <x:c r="I95" s="82" t="s"/>
      <x:c r="J95" s="82" t="s"/>
      <x:c r="K95" s="82" t="s"/>
      <x:c r="L95" s="82" t="s"/>
      <x:c r="M95" s="82" t="s"/>
      <x:c r="N95" s="82" t="s"/>
      <x:c r="O95" s="82" t="s"/>
      <x:c r="P95" s="82" t="s"/>
      <x:c r="Q95" s="82" t="s"/>
      <x:c r="R95" s="82" t="s"/>
      <x:c r="S95" s="82" t="s"/>
      <x:c r="T95" s="82" t="s"/>
      <x:c r="U95" s="82" t="s"/>
      <x:c r="V95" s="82" t="s"/>
      <x:c r="W95" s="82" t="s"/>
      <x:c r="X95" s="82" t="s"/>
      <x:c r="Y95" s="82" t="s"/>
      <x:c r="Z95" s="82" t="s"/>
      <x:c r="AA95" s="82" t="s"/>
      <x:c r="AB95" s="82" t="s"/>
      <x:c r="AC95" s="82" t="s"/>
      <x:c r="AD95" s="82" t="s"/>
      <x:c r="AE95" s="82" t="s"/>
      <x:c r="AF95" s="82" t="s"/>
      <x:c r="AG95" s="82" t="s"/>
      <x:c r="AH95" s="82" t="s"/>
      <x:c r="AI95" s="82" t="s"/>
      <x:c r="AJ95" s="82" t="s"/>
      <x:c r="AK95" s="82" t="s"/>
      <x:c r="AL95" s="82" t="s"/>
      <x:c r="AM95" s="82" t="s"/>
      <x:c r="AN95" s="82" t="s"/>
      <x:c r="AO95" s="82" t="s"/>
      <x:c r="AP95" s="82" t="s"/>
      <x:c r="AQ95" s="82" t="s"/>
      <x:c r="AR95" s="82" t="s"/>
      <x:c r="AS95" s="82" t="s"/>
      <x:c r="AT95" s="82" t="s"/>
      <x:c r="AU95" s="82" t="s"/>
      <x:c r="AV95" s="82" t="s"/>
      <x:c r="AW95" s="82" t="s"/>
      <x:c r="AX95" s="82" t="s"/>
      <x:c r="AY95" s="82" t="s"/>
      <x:c r="AZ95" s="82" t="s"/>
      <x:c r="BA95" s="82" t="s"/>
      <x:c r="BB95" s="82" t="s"/>
      <x:c r="BC95" s="82" t="s"/>
      <x:c r="BD95" s="82" t="s"/>
      <x:c r="BE95" s="82" t="s"/>
      <x:c r="BF95" s="82" t="s"/>
      <x:c r="BG95" s="82" t="s"/>
      <x:c r="BH95" s="82" t="s"/>
      <x:c r="BI95" s="82" t="s"/>
      <x:c r="BJ95" s="82" t="s"/>
      <x:c r="BK95" s="82" t="s"/>
      <x:c r="BL95" s="82" t="s"/>
      <x:c r="BM95" s="82" t="s"/>
      <x:c r="BN95" s="82" t="s"/>
      <x:c r="BO95" s="82" t="s"/>
      <x:c r="BP95" s="82" t="s"/>
      <x:c r="BQ95" s="82" t="s"/>
      <x:c r="BR95" s="82" t="s"/>
    </x:row>
    <x:row r="96" spans="1:70" x14ac:dyDescent="0.25">
      <x:c r="A96" s="82" t="s">
        <x:v>106</x:v>
      </x:c>
      <x:c r="B96" s="82" t="s">
        <x:v>107</x:v>
      </x:c>
      <x:c r="C96" s="82" t="s">
        <x:v>114</x:v>
      </x:c>
      <x:c r="D96" s="85">
        <x:v>42107</x:v>
      </x:c>
      <x:c r="E96" s="82" t="n">
        <x:v>29704</x:v>
      </x:c>
      <x:c r="F96" s="88" t="n">
        <x:v>0.728</x:v>
      </x:c>
      <x:c r="G96" s="88" t="n">
        <x:v>0.772</x:v>
      </x:c>
      <x:c r="H96" s="82" t="s"/>
      <x:c r="I96" s="82" t="s"/>
      <x:c r="J96" s="82" t="s"/>
      <x:c r="K96" s="82" t="s"/>
      <x:c r="L96" s="82" t="s"/>
      <x:c r="M96" s="82" t="s"/>
      <x:c r="N96" s="82" t="s"/>
      <x:c r="O96" s="82" t="s"/>
      <x:c r="P96" s="82" t="s"/>
      <x:c r="Q96" s="82" t="s"/>
      <x:c r="R96" s="82" t="s"/>
      <x:c r="S96" s="82" t="s"/>
      <x:c r="T96" s="82" t="s"/>
      <x:c r="U96" s="82" t="s"/>
      <x:c r="V96" s="82" t="s"/>
      <x:c r="W96" s="82" t="s"/>
      <x:c r="X96" s="82" t="s"/>
      <x:c r="Y96" s="82" t="s"/>
      <x:c r="Z96" s="82" t="s"/>
      <x:c r="AA96" s="82" t="s"/>
      <x:c r="AB96" s="82" t="s"/>
      <x:c r="AC96" s="82" t="s"/>
      <x:c r="AD96" s="82" t="s"/>
      <x:c r="AE96" s="82" t="s"/>
      <x:c r="AF96" s="82" t="s"/>
      <x:c r="AG96" s="82" t="s"/>
      <x:c r="AH96" s="82" t="s"/>
      <x:c r="AI96" s="82" t="s"/>
      <x:c r="AJ96" s="82" t="s"/>
      <x:c r="AK96" s="82" t="s"/>
      <x:c r="AL96" s="82" t="s"/>
      <x:c r="AM96" s="82" t="s"/>
      <x:c r="AN96" s="82" t="s"/>
      <x:c r="AO96" s="82" t="s"/>
      <x:c r="AP96" s="82" t="s"/>
      <x:c r="AQ96" s="82" t="s"/>
      <x:c r="AR96" s="82" t="s"/>
      <x:c r="AS96" s="82" t="s"/>
      <x:c r="AT96" s="82" t="s"/>
      <x:c r="AU96" s="82" t="s"/>
      <x:c r="AV96" s="82" t="s"/>
      <x:c r="AW96" s="82" t="s"/>
      <x:c r="AX96" s="82" t="s"/>
      <x:c r="AY96" s="82" t="s"/>
      <x:c r="AZ96" s="82" t="s"/>
      <x:c r="BA96" s="82" t="s"/>
      <x:c r="BB96" s="82" t="s"/>
      <x:c r="BC96" s="82" t="s"/>
      <x:c r="BD96" s="82" t="s"/>
      <x:c r="BE96" s="82" t="s"/>
      <x:c r="BF96" s="82" t="s"/>
      <x:c r="BG96" s="82" t="s"/>
      <x:c r="BH96" s="82" t="s"/>
      <x:c r="BI96" s="82" t="s"/>
      <x:c r="BJ96" s="82" t="s"/>
      <x:c r="BK96" s="82" t="s"/>
      <x:c r="BL96" s="82" t="s"/>
      <x:c r="BM96" s="82" t="s"/>
      <x:c r="BN96" s="82" t="s"/>
      <x:c r="BO96" s="82" t="s"/>
      <x:c r="BP96" s="82" t="s"/>
      <x:c r="BQ96" s="82" t="s"/>
      <x:c r="BR96" s="82" t="s"/>
    </x:row>
    <x:row r="97" spans="1:70" x14ac:dyDescent="0.25">
      <x:c r="A97" s="82" t="s">
        <x:v>106</x:v>
      </x:c>
      <x:c r="B97" s="82" t="s">
        <x:v>107</x:v>
      </x:c>
      <x:c r="C97" s="82" t="s">
        <x:v>115</x:v>
      </x:c>
      <x:c r="D97" s="85">
        <x:v>42107</x:v>
      </x:c>
      <x:c r="E97" s="82" t="n">
        <x:v>29704</x:v>
      </x:c>
      <x:c r="F97" s="101" t="n">
        <x:v>-5.963</x:v>
      </x:c>
      <x:c r="G97" s="101" t="n">
        <x:v>-5.784</x:v>
      </x:c>
      <x:c r="H97" s="82" t="s"/>
      <x:c r="I97" s="82" t="s"/>
      <x:c r="J97" s="82" t="s"/>
      <x:c r="K97" s="82" t="s"/>
      <x:c r="L97" s="82" t="s"/>
      <x:c r="M97" s="82" t="s"/>
      <x:c r="N97" s="82" t="s"/>
      <x:c r="O97" s="82" t="s"/>
      <x:c r="P97" s="82" t="s"/>
      <x:c r="Q97" s="82" t="s"/>
      <x:c r="R97" s="82" t="s"/>
      <x:c r="S97" s="82" t="s"/>
      <x:c r="T97" s="82" t="s"/>
      <x:c r="U97" s="82" t="s"/>
      <x:c r="V97" s="82" t="s"/>
      <x:c r="W97" s="82" t="s"/>
      <x:c r="X97" s="82" t="s"/>
      <x:c r="Y97" s="82" t="s"/>
      <x:c r="Z97" s="82" t="s"/>
      <x:c r="AA97" s="82" t="s"/>
      <x:c r="AB97" s="82" t="s"/>
      <x:c r="AC97" s="82" t="s"/>
      <x:c r="AD97" s="82" t="s"/>
      <x:c r="AE97" s="82" t="s"/>
      <x:c r="AF97" s="82" t="s"/>
      <x:c r="AG97" s="82" t="s"/>
      <x:c r="AH97" s="82" t="s"/>
      <x:c r="AI97" s="82" t="s"/>
      <x:c r="AJ97" s="82" t="s"/>
      <x:c r="AK97" s="82" t="s"/>
      <x:c r="AL97" s="82" t="s"/>
      <x:c r="AM97" s="82" t="s"/>
      <x:c r="AN97" s="82" t="s"/>
      <x:c r="AO97" s="82" t="s"/>
      <x:c r="AP97" s="82" t="s"/>
      <x:c r="AQ97" s="82" t="s"/>
      <x:c r="AR97" s="82" t="s"/>
      <x:c r="AS97" s="82" t="s"/>
      <x:c r="AT97" s="82" t="s"/>
      <x:c r="AU97" s="82" t="s"/>
      <x:c r="AV97" s="82" t="s"/>
      <x:c r="AW97" s="82" t="s"/>
      <x:c r="AX97" s="82" t="s"/>
      <x:c r="AY97" s="82" t="s"/>
      <x:c r="AZ97" s="82" t="s"/>
      <x:c r="BA97" s="82" t="s"/>
      <x:c r="BB97" s="82" t="s"/>
      <x:c r="BC97" s="82" t="s"/>
      <x:c r="BD97" s="82" t="s"/>
      <x:c r="BE97" s="82" t="s"/>
      <x:c r="BF97" s="82" t="s"/>
      <x:c r="BG97" s="82" t="s"/>
      <x:c r="BH97" s="82" t="s"/>
      <x:c r="BI97" s="82" t="s"/>
      <x:c r="BJ97" s="82" t="s"/>
      <x:c r="BK97" s="82" t="s"/>
      <x:c r="BL97" s="82" t="s"/>
      <x:c r="BM97" s="82" t="s"/>
      <x:c r="BN97" s="82" t="s"/>
      <x:c r="BO97" s="82" t="s"/>
      <x:c r="BP97" s="82" t="s"/>
      <x:c r="BQ97" s="82" t="s"/>
      <x:c r="BR97" s="82" t="s"/>
    </x:row>
    <x:row r="98" spans="1:70" x14ac:dyDescent="0.25">
      <x:c r="A98" s="82" t="s">
        <x:v>106</x:v>
      </x:c>
      <x:c r="B98" s="82" t="s">
        <x:v>107</x:v>
      </x:c>
      <x:c r="C98" s="82" t="s">
        <x:v>116</x:v>
      </x:c>
      <x:c r="D98" s="85">
        <x:v>42107</x:v>
      </x:c>
      <x:c r="E98" s="82" t="n">
        <x:v>29704</x:v>
      </x:c>
      <x:c r="F98" s="101" t="n">
        <x:v>0.644</x:v>
      </x:c>
      <x:c r="G98" s="101" t="n">
        <x:v>0.74</x:v>
      </x:c>
      <x:c r="H98" s="82" t="s"/>
      <x:c r="I98" s="82" t="s"/>
      <x:c r="J98" s="82" t="s"/>
      <x:c r="K98" s="82" t="s"/>
      <x:c r="L98" s="82" t="s"/>
      <x:c r="M98" s="82" t="s"/>
      <x:c r="N98" s="82" t="s"/>
      <x:c r="O98" s="82" t="s"/>
      <x:c r="P98" s="82" t="s"/>
      <x:c r="Q98" s="82" t="s"/>
      <x:c r="R98" s="82" t="s"/>
      <x:c r="S98" s="82" t="s"/>
      <x:c r="T98" s="82" t="s"/>
      <x:c r="U98" s="82" t="s"/>
      <x:c r="V98" s="82" t="s"/>
      <x:c r="W98" s="82" t="s"/>
      <x:c r="X98" s="82" t="s"/>
      <x:c r="Y98" s="82" t="s"/>
      <x:c r="Z98" s="82" t="s"/>
      <x:c r="AA98" s="82" t="s"/>
      <x:c r="AB98" s="82" t="s"/>
      <x:c r="AC98" s="82" t="s"/>
      <x:c r="AD98" s="82" t="s"/>
      <x:c r="AE98" s="82" t="s"/>
      <x:c r="AF98" s="82" t="s"/>
      <x:c r="AG98" s="82" t="s"/>
      <x:c r="AH98" s="82" t="s"/>
      <x:c r="AI98" s="82" t="s"/>
      <x:c r="AJ98" s="82" t="s"/>
      <x:c r="AK98" s="82" t="s"/>
      <x:c r="AL98" s="82" t="s"/>
      <x:c r="AM98" s="82" t="s"/>
      <x:c r="AN98" s="82" t="s"/>
      <x:c r="AO98" s="82" t="s"/>
      <x:c r="AP98" s="82" t="s"/>
      <x:c r="AQ98" s="82" t="s"/>
      <x:c r="AR98" s="82" t="s"/>
      <x:c r="AS98" s="82" t="s"/>
      <x:c r="AT98" s="82" t="s"/>
      <x:c r="AU98" s="82" t="s"/>
      <x:c r="AV98" s="82" t="s"/>
      <x:c r="AW98" s="82" t="s"/>
      <x:c r="AX98" s="82" t="s"/>
      <x:c r="AY98" s="82" t="s"/>
      <x:c r="AZ98" s="82" t="s"/>
      <x:c r="BA98" s="82" t="s"/>
      <x:c r="BB98" s="82" t="s"/>
      <x:c r="BC98" s="82" t="s"/>
      <x:c r="BD98" s="82" t="s"/>
      <x:c r="BE98" s="82" t="s"/>
      <x:c r="BF98" s="82" t="s"/>
      <x:c r="BG98" s="82" t="s"/>
      <x:c r="BH98" s="82" t="s"/>
      <x:c r="BI98" s="82" t="s"/>
      <x:c r="BJ98" s="82" t="s"/>
      <x:c r="BK98" s="82" t="s"/>
      <x:c r="BL98" s="82" t="s"/>
      <x:c r="BM98" s="82" t="s"/>
      <x:c r="BN98" s="82" t="s"/>
      <x:c r="BO98" s="82" t="s"/>
      <x:c r="BP98" s="82" t="s"/>
      <x:c r="BQ98" s="82" t="s"/>
      <x:c r="BR98" s="82" t="s"/>
    </x:row>
    <x:row r="99" spans="1:70" x14ac:dyDescent="0.25">
      <x:c r="A99" s="82" t="s">
        <x:v>106</x:v>
      </x:c>
      <x:c r="B99" s="82" t="s">
        <x:v>107</x:v>
      </x:c>
      <x:c r="C99" s="82" t="s">
        <x:v>17</x:v>
      </x:c>
      <x:c r="D99" s="85">
        <x:v>42107</x:v>
      </x:c>
      <x:c r="E99" s="82" t="n">
        <x:v>29704</x:v>
      </x:c>
      <x:c r="F99" s="102" t="n">
        <x:v>29.5453618946988</x:v>
      </x:c>
      <x:c r="G99" s="102" t="n">
        <x:v>28.618448801935</x:v>
      </x:c>
      <x:c r="H99" s="82" t="s"/>
      <x:c r="I99" s="82" t="s"/>
      <x:c r="J99" s="82" t="s"/>
      <x:c r="K99" s="82" t="s"/>
      <x:c r="L99" s="82" t="s"/>
      <x:c r="M99" s="82" t="s"/>
      <x:c r="N99" s="82" t="s"/>
      <x:c r="O99" s="82" t="s"/>
      <x:c r="P99" s="82" t="s"/>
      <x:c r="Q99" s="82" t="s"/>
      <x:c r="R99" s="82" t="s"/>
      <x:c r="S99" s="82" t="s"/>
      <x:c r="T99" s="82" t="s"/>
      <x:c r="U99" s="82" t="s"/>
      <x:c r="V99" s="82" t="s"/>
      <x:c r="W99" s="82" t="s"/>
      <x:c r="X99" s="82" t="s"/>
      <x:c r="Y99" s="82" t="s"/>
      <x:c r="Z99" s="82" t="s"/>
      <x:c r="AA99" s="82" t="s"/>
      <x:c r="AB99" s="82" t="s"/>
      <x:c r="AC99" s="82" t="s"/>
      <x:c r="AD99" s="82" t="s"/>
      <x:c r="AE99" s="82" t="s"/>
      <x:c r="AF99" s="82" t="s"/>
      <x:c r="AG99" s="82" t="s"/>
      <x:c r="AH99" s="82" t="s"/>
      <x:c r="AI99" s="82" t="s"/>
      <x:c r="AJ99" s="82" t="s"/>
      <x:c r="AK99" s="82" t="s"/>
      <x:c r="AL99" s="82" t="s"/>
      <x:c r="AM99" s="82" t="s"/>
      <x:c r="AN99" s="82" t="s"/>
      <x:c r="AO99" s="82" t="s"/>
      <x:c r="AP99" s="82" t="s"/>
      <x:c r="AQ99" s="82" t="s"/>
      <x:c r="AR99" s="82" t="s"/>
      <x:c r="AS99" s="82" t="s"/>
      <x:c r="AT99" s="82" t="s"/>
      <x:c r="AU99" s="82" t="s"/>
      <x:c r="AV99" s="82" t="s"/>
      <x:c r="AW99" s="82" t="s"/>
      <x:c r="AX99" s="82" t="s"/>
      <x:c r="AY99" s="82" t="s"/>
      <x:c r="AZ99" s="82" t="s"/>
      <x:c r="BA99" s="82" t="s"/>
      <x:c r="BB99" s="82" t="s"/>
      <x:c r="BC99" s="82" t="s"/>
      <x:c r="BD99" s="82" t="s"/>
      <x:c r="BE99" s="82" t="s"/>
      <x:c r="BF99" s="82" t="s"/>
      <x:c r="BG99" s="82" t="s"/>
      <x:c r="BH99" s="82" t="s"/>
      <x:c r="BI99" s="82" t="s"/>
      <x:c r="BJ99" s="82" t="s"/>
      <x:c r="BK99" s="82" t="s"/>
      <x:c r="BL99" s="82" t="s"/>
      <x:c r="BM99" s="82" t="s"/>
      <x:c r="BN99" s="82" t="s"/>
      <x:c r="BO99" s="82" t="s"/>
      <x:c r="BP99" s="82" t="s"/>
      <x:c r="BQ99" s="82" t="s"/>
      <x:c r="BR99" s="82" t="s"/>
    </x:row>
    <x:row r="100" spans="1:70" x14ac:dyDescent="0.25">
      <x:c r="A100" s="82" t="s">
        <x:v>106</x:v>
      </x:c>
      <x:c r="B100" s="82" t="s">
        <x:v>107</x:v>
      </x:c>
      <x:c r="C100" s="82" t="s">
        <x:v>18</x:v>
      </x:c>
      <x:c r="D100" s="85">
        <x:v>42107</x:v>
      </x:c>
      <x:c r="E100" s="82" t="n">
        <x:v>29704</x:v>
      </x:c>
      <x:c r="F100" s="102" t="n">
        <x:v>0.0626628393350719</x:v>
      </x:c>
      <x:c r="G100" s="102" t="n">
        <x:v>0.0621422668814993</x:v>
      </x:c>
      <x:c r="H100" s="82" t="s"/>
      <x:c r="I100" s="82" t="s"/>
      <x:c r="J100" s="82" t="s"/>
      <x:c r="K100" s="82" t="s"/>
      <x:c r="L100" s="82" t="s"/>
      <x:c r="M100" s="82" t="s"/>
      <x:c r="N100" s="82" t="s"/>
      <x:c r="O100" s="82" t="s"/>
      <x:c r="P100" s="82" t="s"/>
      <x:c r="Q100" s="82" t="s"/>
      <x:c r="R100" s="82" t="s"/>
      <x:c r="S100" s="82" t="s"/>
      <x:c r="T100" s="82" t="s"/>
      <x:c r="U100" s="82" t="s"/>
      <x:c r="V100" s="82" t="s"/>
      <x:c r="W100" s="82" t="s"/>
      <x:c r="X100" s="82" t="s"/>
      <x:c r="Y100" s="82" t="s"/>
      <x:c r="Z100" s="82" t="s"/>
      <x:c r="AA100" s="82" t="s"/>
      <x:c r="AB100" s="82" t="s"/>
      <x:c r="AC100" s="82" t="s"/>
      <x:c r="AD100" s="82" t="s"/>
      <x:c r="AE100" s="82" t="s"/>
      <x:c r="AF100" s="82" t="s"/>
      <x:c r="AG100" s="82" t="s"/>
      <x:c r="AH100" s="82" t="s"/>
      <x:c r="AI100" s="82" t="s"/>
      <x:c r="AJ100" s="82" t="s"/>
      <x:c r="AK100" s="82" t="s"/>
      <x:c r="AL100" s="82" t="s"/>
      <x:c r="AM100" s="82" t="s"/>
      <x:c r="AN100" s="82" t="s"/>
      <x:c r="AO100" s="82" t="s"/>
      <x:c r="AP100" s="82" t="s"/>
      <x:c r="AQ100" s="82" t="s"/>
      <x:c r="AR100" s="82" t="s"/>
      <x:c r="AS100" s="82" t="s"/>
      <x:c r="AT100" s="82" t="s"/>
      <x:c r="AU100" s="82" t="s"/>
      <x:c r="AV100" s="82" t="s"/>
      <x:c r="AW100" s="82" t="s"/>
      <x:c r="AX100" s="82" t="s"/>
      <x:c r="AY100" s="82" t="s"/>
      <x:c r="AZ100" s="82" t="s"/>
      <x:c r="BA100" s="82" t="s"/>
      <x:c r="BB100" s="82" t="s"/>
      <x:c r="BC100" s="82" t="s"/>
      <x:c r="BD100" s="82" t="s"/>
      <x:c r="BE100" s="82" t="s"/>
      <x:c r="BF100" s="82" t="s"/>
      <x:c r="BG100" s="82" t="s"/>
      <x:c r="BH100" s="82" t="s"/>
      <x:c r="BI100" s="82" t="s"/>
      <x:c r="BJ100" s="82" t="s"/>
      <x:c r="BK100" s="82" t="s"/>
      <x:c r="BL100" s="82" t="s"/>
      <x:c r="BM100" s="82" t="s"/>
      <x:c r="BN100" s="82" t="s"/>
      <x:c r="BO100" s="82" t="s"/>
      <x:c r="BP100" s="82" t="s"/>
      <x:c r="BQ100" s="82" t="s"/>
      <x:c r="BR100" s="82" t="s"/>
    </x:row>
    <x:row r="101" spans="1:70" x14ac:dyDescent="0.25">
      <x:c r="A101" s="82" t="s">
        <x:v>106</x:v>
      </x:c>
      <x:c r="B101" s="82" t="s">
        <x:v>107</x:v>
      </x:c>
      <x:c r="C101" s="82" t="s">
        <x:v>19</x:v>
      </x:c>
      <x:c r="D101" s="85">
        <x:v>42107</x:v>
      </x:c>
      <x:c r="E101" s="82" t="n">
        <x:v>29704</x:v>
      </x:c>
      <x:c r="F101" s="102" t="n">
        <x:v>92.9768131586871</x:v>
      </x:c>
      <x:c r="G101" s="102" t="n">
        <x:v>89.6522724416588</x:v>
      </x:c>
      <x:c r="H101" s="82" t="s"/>
      <x:c r="I101" s="82" t="s"/>
      <x:c r="J101" s="82" t="s"/>
      <x:c r="K101" s="82" t="s"/>
      <x:c r="L101" s="82" t="s"/>
      <x:c r="M101" s="82" t="s"/>
      <x:c r="N101" s="82" t="s"/>
      <x:c r="O101" s="82" t="s"/>
      <x:c r="P101" s="82" t="s"/>
      <x:c r="Q101" s="82" t="s"/>
      <x:c r="R101" s="82" t="s"/>
      <x:c r="S101" s="82" t="s"/>
      <x:c r="T101" s="82" t="s"/>
      <x:c r="U101" s="82" t="s"/>
      <x:c r="V101" s="82" t="s"/>
      <x:c r="W101" s="82" t="s"/>
      <x:c r="X101" s="82" t="s"/>
      <x:c r="Y101" s="82" t="s"/>
      <x:c r="Z101" s="82" t="s"/>
      <x:c r="AA101" s="82" t="s"/>
      <x:c r="AB101" s="82" t="s"/>
      <x:c r="AC101" s="82" t="s"/>
      <x:c r="AD101" s="82" t="s"/>
      <x:c r="AE101" s="82" t="s"/>
      <x:c r="AF101" s="82" t="s"/>
      <x:c r="AG101" s="82" t="s"/>
      <x:c r="AH101" s="82" t="s"/>
      <x:c r="AI101" s="82" t="s"/>
      <x:c r="AJ101" s="82" t="s"/>
      <x:c r="AK101" s="82" t="s"/>
      <x:c r="AL101" s="82" t="s"/>
      <x:c r="AM101" s="82" t="s"/>
      <x:c r="AN101" s="82" t="s"/>
      <x:c r="AO101" s="82" t="s"/>
      <x:c r="AP101" s="82" t="s"/>
      <x:c r="AQ101" s="82" t="s"/>
      <x:c r="AR101" s="82" t="s"/>
      <x:c r="AS101" s="82" t="s"/>
      <x:c r="AT101" s="82" t="s"/>
      <x:c r="AU101" s="82" t="s"/>
      <x:c r="AV101" s="82" t="s"/>
      <x:c r="AW101" s="82" t="s"/>
      <x:c r="AX101" s="82" t="s"/>
      <x:c r="AY101" s="82" t="s"/>
      <x:c r="AZ101" s="82" t="s"/>
      <x:c r="BA101" s="82" t="s"/>
      <x:c r="BB101" s="82" t="s"/>
      <x:c r="BC101" s="82" t="s"/>
      <x:c r="BD101" s="82" t="s"/>
      <x:c r="BE101" s="82" t="s"/>
      <x:c r="BF101" s="82" t="s"/>
      <x:c r="BG101" s="82" t="s"/>
      <x:c r="BH101" s="82" t="s"/>
      <x:c r="BI101" s="82" t="s"/>
      <x:c r="BJ101" s="82" t="s"/>
      <x:c r="BK101" s="82" t="s"/>
      <x:c r="BL101" s="82" t="s"/>
      <x:c r="BM101" s="82" t="s"/>
      <x:c r="BN101" s="82" t="s"/>
      <x:c r="BO101" s="82" t="s"/>
      <x:c r="BP101" s="82" t="s"/>
      <x:c r="BQ101" s="82" t="s"/>
      <x:c r="BR101" s="82" t="s"/>
    </x:row>
    <x:row r="102" spans="1:70" x14ac:dyDescent="0.25">
      <x:c r="A102" s="82" t="s">
        <x:v>106</x:v>
      </x:c>
      <x:c r="B102" s="82" t="s">
        <x:v>107</x:v>
      </x:c>
      <x:c r="C102" s="82" t="s">
        <x:v>20</x:v>
      </x:c>
      <x:c r="D102" s="85">
        <x:v>42107</x:v>
      </x:c>
      <x:c r="E102" s="82" t="n">
        <x:v>29704</x:v>
      </x:c>
      <x:c r="F102" s="102" t="n">
        <x:v>0.466618873250977</x:v>
      </x:c>
      <x:c r="G102" s="102" t="n">
        <x:v>0.472433040197335</x:v>
      </x:c>
      <x:c r="H102" s="82" t="s"/>
      <x:c r="I102" s="82" t="s"/>
      <x:c r="J102" s="82" t="s"/>
      <x:c r="K102" s="82" t="s"/>
      <x:c r="L102" s="82" t="s"/>
      <x:c r="M102" s="82" t="s"/>
      <x:c r="N102" s="82" t="s"/>
      <x:c r="O102" s="82" t="s"/>
      <x:c r="P102" s="82" t="s"/>
      <x:c r="Q102" s="82" t="s"/>
      <x:c r="R102" s="82" t="s"/>
      <x:c r="S102" s="82" t="s"/>
      <x:c r="T102" s="82" t="s"/>
      <x:c r="U102" s="82" t="s"/>
      <x:c r="V102" s="82" t="s"/>
      <x:c r="W102" s="82" t="s"/>
      <x:c r="X102" s="82" t="s"/>
      <x:c r="Y102" s="82" t="s"/>
      <x:c r="Z102" s="82" t="s"/>
      <x:c r="AA102" s="82" t="s"/>
      <x:c r="AB102" s="82" t="s"/>
      <x:c r="AC102" s="82" t="s"/>
      <x:c r="AD102" s="82" t="s"/>
      <x:c r="AE102" s="82" t="s"/>
      <x:c r="AF102" s="82" t="s"/>
      <x:c r="AG102" s="82" t="s"/>
      <x:c r="AH102" s="82" t="s"/>
      <x:c r="AI102" s="82" t="s"/>
      <x:c r="AJ102" s="82" t="s"/>
      <x:c r="AK102" s="82" t="s"/>
      <x:c r="AL102" s="82" t="s"/>
      <x:c r="AM102" s="82" t="s"/>
      <x:c r="AN102" s="82" t="s"/>
      <x:c r="AO102" s="82" t="s"/>
      <x:c r="AP102" s="82" t="s"/>
      <x:c r="AQ102" s="82" t="s"/>
      <x:c r="AR102" s="82" t="s"/>
      <x:c r="AS102" s="82" t="s"/>
      <x:c r="AT102" s="82" t="s"/>
      <x:c r="AU102" s="82" t="s"/>
      <x:c r="AV102" s="82" t="s"/>
      <x:c r="AW102" s="82" t="s"/>
      <x:c r="AX102" s="82" t="s"/>
      <x:c r="AY102" s="82" t="s"/>
      <x:c r="AZ102" s="82" t="s"/>
      <x:c r="BA102" s="82" t="s"/>
      <x:c r="BB102" s="82" t="s"/>
      <x:c r="BC102" s="82" t="s"/>
      <x:c r="BD102" s="82" t="s"/>
      <x:c r="BE102" s="82" t="s"/>
      <x:c r="BF102" s="82" t="s"/>
      <x:c r="BG102" s="82" t="s"/>
      <x:c r="BH102" s="82" t="s"/>
      <x:c r="BI102" s="82" t="s"/>
      <x:c r="BJ102" s="82" t="s"/>
      <x:c r="BK102" s="82" t="s"/>
      <x:c r="BL102" s="82" t="s"/>
      <x:c r="BM102" s="82" t="s"/>
      <x:c r="BN102" s="82" t="s"/>
      <x:c r="BO102" s="82" t="s"/>
      <x:c r="BP102" s="82" t="s"/>
      <x:c r="BQ102" s="82" t="s"/>
      <x:c r="BR102" s="82" t="s"/>
    </x:row>
    <x:row r="103" spans="1:70" x14ac:dyDescent="0.25">
      <x:c r="A103" s="82" t="s">
        <x:v>106</x:v>
      </x:c>
      <x:c r="B103" s="82" t="s">
        <x:v>107</x:v>
      </x:c>
      <x:c r="C103" s="82" t="s">
        <x:v>21</x:v>
      </x:c>
      <x:c r="D103" s="85">
        <x:v>42107</x:v>
      </x:c>
      <x:c r="E103" s="82" t="n">
        <x:v>29704</x:v>
      </x:c>
      <x:c r="F103" s="102" t="n">
        <x:v>132.1</x:v>
      </x:c>
      <x:c r="G103" s="102" t="n">
        <x:v>119.018181818182</x:v>
      </x:c>
      <x:c r="H103" s="82" t="s"/>
      <x:c r="I103" s="82" t="s"/>
      <x:c r="J103" s="82" t="s"/>
      <x:c r="K103" s="82" t="s"/>
      <x:c r="L103" s="82" t="s"/>
      <x:c r="M103" s="82" t="s"/>
      <x:c r="N103" s="82" t="s"/>
      <x:c r="O103" s="82" t="s"/>
      <x:c r="P103" s="82" t="s"/>
      <x:c r="Q103" s="82" t="s"/>
      <x:c r="R103" s="82" t="s"/>
      <x:c r="S103" s="82" t="s"/>
      <x:c r="T103" s="82" t="s"/>
      <x:c r="U103" s="82" t="s"/>
      <x:c r="V103" s="82" t="s"/>
      <x:c r="W103" s="82" t="s"/>
      <x:c r="X103" s="82" t="s"/>
      <x:c r="Y103" s="82" t="s"/>
      <x:c r="Z103" s="82" t="s"/>
      <x:c r="AA103" s="82" t="s"/>
      <x:c r="AB103" s="82" t="s"/>
      <x:c r="AC103" s="82" t="s"/>
      <x:c r="AD103" s="82" t="s"/>
      <x:c r="AE103" s="82" t="s"/>
      <x:c r="AF103" s="82" t="s"/>
      <x:c r="AG103" s="82" t="s"/>
      <x:c r="AH103" s="82" t="s"/>
      <x:c r="AI103" s="82" t="s"/>
      <x:c r="AJ103" s="82" t="s"/>
      <x:c r="AK103" s="82" t="s"/>
      <x:c r="AL103" s="82" t="s"/>
      <x:c r="AM103" s="82" t="s"/>
      <x:c r="AN103" s="82" t="s"/>
      <x:c r="AO103" s="82" t="s"/>
      <x:c r="AP103" s="82" t="s"/>
      <x:c r="AQ103" s="82" t="s"/>
      <x:c r="AR103" s="82" t="s"/>
      <x:c r="AS103" s="82" t="s"/>
      <x:c r="AT103" s="82" t="s"/>
      <x:c r="AU103" s="82" t="s"/>
      <x:c r="AV103" s="82" t="s"/>
      <x:c r="AW103" s="82" t="s"/>
      <x:c r="AX103" s="82" t="s"/>
      <x:c r="AY103" s="82" t="s"/>
      <x:c r="AZ103" s="82" t="s"/>
      <x:c r="BA103" s="82" t="s"/>
      <x:c r="BB103" s="82" t="s"/>
      <x:c r="BC103" s="82" t="s"/>
      <x:c r="BD103" s="82" t="s"/>
      <x:c r="BE103" s="82" t="s"/>
      <x:c r="BF103" s="82" t="s"/>
      <x:c r="BG103" s="82" t="s"/>
      <x:c r="BH103" s="82" t="s"/>
      <x:c r="BI103" s="82" t="s"/>
      <x:c r="BJ103" s="82" t="s"/>
      <x:c r="BK103" s="82" t="s"/>
      <x:c r="BL103" s="82" t="s"/>
      <x:c r="BM103" s="82" t="s"/>
      <x:c r="BN103" s="82" t="s"/>
      <x:c r="BO103" s="82" t="s"/>
      <x:c r="BP103" s="82" t="s"/>
      <x:c r="BQ103" s="82" t="s"/>
      <x:c r="BR103" s="82" t="s"/>
    </x:row>
    <x:row r="104" spans="1:70" x14ac:dyDescent="0.25">
      <x:c r="A104" s="82" t="s">
        <x:v>106</x:v>
      </x:c>
      <x:c r="B104" s="82" t="s">
        <x:v>107</x:v>
      </x:c>
      <x:c r="C104" s="82" t="s">
        <x:v>22</x:v>
      </x:c>
      <x:c r="D104" s="85">
        <x:v>42107</x:v>
      </x:c>
      <x:c r="E104" s="82" t="n">
        <x:v>29704</x:v>
      </x:c>
      <x:c r="F104" s="102" t="n">
        <x:v>0.462981282051282</x:v>
      </x:c>
      <x:c r="G104" s="102" t="n">
        <x:v>0.491039090909091</x:v>
      </x:c>
      <x:c r="H104" s="82" t="s"/>
      <x:c r="I104" s="82" t="s"/>
      <x:c r="J104" s="82" t="s"/>
      <x:c r="K104" s="82" t="s"/>
      <x:c r="L104" s="82" t="s"/>
      <x:c r="M104" s="82" t="s"/>
      <x:c r="N104" s="82" t="s"/>
      <x:c r="O104" s="82" t="s"/>
      <x:c r="P104" s="82" t="s"/>
      <x:c r="Q104" s="82" t="s"/>
      <x:c r="R104" s="82" t="s"/>
      <x:c r="S104" s="82" t="s"/>
      <x:c r="T104" s="82" t="s"/>
      <x:c r="U104" s="82" t="s"/>
      <x:c r="V104" s="82" t="s"/>
      <x:c r="W104" s="82" t="s"/>
      <x:c r="X104" s="82" t="s"/>
      <x:c r="Y104" s="82" t="s"/>
      <x:c r="Z104" s="82" t="s"/>
      <x:c r="AA104" s="82" t="s"/>
      <x:c r="AB104" s="82" t="s"/>
      <x:c r="AC104" s="82" t="s"/>
      <x:c r="AD104" s="82" t="s"/>
      <x:c r="AE104" s="82" t="s"/>
      <x:c r="AF104" s="82" t="s"/>
      <x:c r="AG104" s="82" t="s"/>
      <x:c r="AH104" s="82" t="s"/>
      <x:c r="AI104" s="82" t="s"/>
      <x:c r="AJ104" s="82" t="s"/>
      <x:c r="AK104" s="82" t="s"/>
      <x:c r="AL104" s="82" t="s"/>
      <x:c r="AM104" s="82" t="s"/>
      <x:c r="AN104" s="82" t="s"/>
      <x:c r="AO104" s="82" t="s"/>
      <x:c r="AP104" s="82" t="s"/>
      <x:c r="AQ104" s="82" t="s"/>
      <x:c r="AR104" s="82" t="s"/>
      <x:c r="AS104" s="82" t="s"/>
      <x:c r="AT104" s="82" t="s"/>
      <x:c r="AU104" s="82" t="s"/>
      <x:c r="AV104" s="82" t="s"/>
      <x:c r="AW104" s="82" t="s"/>
      <x:c r="AX104" s="82" t="s"/>
      <x:c r="AY104" s="82" t="s"/>
      <x:c r="AZ104" s="82" t="s"/>
      <x:c r="BA104" s="82" t="s"/>
      <x:c r="BB104" s="82" t="s"/>
      <x:c r="BC104" s="82" t="s"/>
      <x:c r="BD104" s="82" t="s"/>
      <x:c r="BE104" s="82" t="s"/>
      <x:c r="BF104" s="82" t="s"/>
      <x:c r="BG104" s="82" t="s"/>
      <x:c r="BH104" s="82" t="s"/>
      <x:c r="BI104" s="82" t="s"/>
      <x:c r="BJ104" s="82" t="s"/>
      <x:c r="BK104" s="82" t="s"/>
      <x:c r="BL104" s="82" t="s"/>
      <x:c r="BM104" s="82" t="s"/>
      <x:c r="BN104" s="82" t="s"/>
      <x:c r="BO104" s="82" t="s"/>
      <x:c r="BP104" s="82" t="s"/>
      <x:c r="BQ104" s="82" t="s"/>
      <x:c r="BR104" s="82" t="s"/>
    </x:row>
    <x:row r="105" spans="1:70" x14ac:dyDescent="0.25">
      <x:c r="A105" s="82" t="s">
        <x:v>106</x:v>
      </x:c>
      <x:c r="B105" s="82" t="s">
        <x:v>107</x:v>
      </x:c>
      <x:c r="C105" s="82" t="s">
        <x:v>23</x:v>
      </x:c>
      <x:c r="D105" s="85">
        <x:v>42107</x:v>
      </x:c>
      <x:c r="E105" s="82" t="n">
        <x:v>29704</x:v>
      </x:c>
      <x:c r="F105" s="102" t="n">
        <x:v>565.82</x:v>
      </x:c>
      <x:c r="G105" s="102" t="n">
        <x:v>558.5</x:v>
      </x:c>
      <x:c r="H105" s="82" t="s"/>
      <x:c r="I105" s="82" t="s"/>
      <x:c r="J105" s="82" t="s"/>
      <x:c r="K105" s="82" t="s"/>
      <x:c r="L105" s="82" t="s"/>
      <x:c r="M105" s="82" t="s"/>
      <x:c r="N105" s="82" t="s"/>
      <x:c r="O105" s="82" t="s"/>
      <x:c r="P105" s="82" t="s"/>
      <x:c r="Q105" s="82" t="s"/>
      <x:c r="R105" s="82" t="s"/>
      <x:c r="S105" s="82" t="s"/>
      <x:c r="T105" s="82" t="s"/>
      <x:c r="U105" s="82" t="s"/>
      <x:c r="V105" s="82" t="s"/>
      <x:c r="W105" s="82" t="s"/>
      <x:c r="X105" s="82" t="s"/>
      <x:c r="Y105" s="82" t="s"/>
      <x:c r="Z105" s="82" t="s"/>
      <x:c r="AA105" s="82" t="s"/>
      <x:c r="AB105" s="82" t="s"/>
      <x:c r="AC105" s="82" t="s"/>
      <x:c r="AD105" s="82" t="s"/>
      <x:c r="AE105" s="82" t="s"/>
      <x:c r="AF105" s="82" t="s"/>
      <x:c r="AG105" s="82" t="s"/>
      <x:c r="AH105" s="82" t="s"/>
      <x:c r="AI105" s="82" t="s"/>
      <x:c r="AJ105" s="82" t="s"/>
      <x:c r="AK105" s="82" t="s"/>
      <x:c r="AL105" s="82" t="s"/>
      <x:c r="AM105" s="82" t="s"/>
      <x:c r="AN105" s="82" t="s"/>
      <x:c r="AO105" s="82" t="s"/>
      <x:c r="AP105" s="82" t="s"/>
      <x:c r="AQ105" s="82" t="s"/>
      <x:c r="AR105" s="82" t="s"/>
      <x:c r="AS105" s="82" t="s"/>
      <x:c r="AT105" s="82" t="s"/>
      <x:c r="AU105" s="82" t="s"/>
      <x:c r="AV105" s="82" t="s"/>
      <x:c r="AW105" s="82" t="s"/>
      <x:c r="AX105" s="82" t="s"/>
      <x:c r="AY105" s="82" t="s"/>
      <x:c r="AZ105" s="82" t="s"/>
      <x:c r="BA105" s="82" t="s"/>
      <x:c r="BB105" s="82" t="s"/>
      <x:c r="BC105" s="82" t="s"/>
      <x:c r="BD105" s="82" t="s"/>
      <x:c r="BE105" s="82" t="s"/>
      <x:c r="BF105" s="82" t="s"/>
      <x:c r="BG105" s="82" t="s"/>
      <x:c r="BH105" s="82" t="s"/>
      <x:c r="BI105" s="82" t="s"/>
      <x:c r="BJ105" s="82" t="s"/>
      <x:c r="BK105" s="82" t="s"/>
      <x:c r="BL105" s="82" t="s"/>
      <x:c r="BM105" s="82" t="s"/>
      <x:c r="BN105" s="82" t="s"/>
      <x:c r="BO105" s="82" t="s"/>
      <x:c r="BP105" s="82" t="s"/>
      <x:c r="BQ105" s="82" t="s"/>
      <x:c r="BR105" s="82" t="s"/>
    </x:row>
    <x:row r="106" spans="1:70" x14ac:dyDescent="0.25">
      <x:c r="A106" s="82" t="s">
        <x:v>106</x:v>
      </x:c>
      <x:c r="B106" s="82" t="s">
        <x:v>107</x:v>
      </x:c>
      <x:c r="C106" s="82" t="s">
        <x:v>24</x:v>
      </x:c>
      <x:c r="D106" s="85">
        <x:v>42107</x:v>
      </x:c>
      <x:c r="E106" s="82" t="n">
        <x:v>29704</x:v>
      </x:c>
      <x:c r="F106" s="102" t="n">
        <x:v>70.882</x:v>
      </x:c>
      <x:c r="G106" s="102" t="n">
        <x:v>75.534</x:v>
      </x:c>
      <x:c r="H106" s="82" t="s"/>
      <x:c r="I106" s="82" t="s"/>
      <x:c r="J106" s="82" t="s"/>
      <x:c r="K106" s="82" t="s"/>
      <x:c r="L106" s="82" t="s"/>
      <x:c r="M106" s="82" t="s"/>
      <x:c r="N106" s="82" t="s"/>
      <x:c r="O106" s="82" t="s"/>
      <x:c r="P106" s="82" t="s"/>
      <x:c r="Q106" s="82" t="s"/>
      <x:c r="R106" s="82" t="s"/>
      <x:c r="S106" s="82" t="s"/>
      <x:c r="T106" s="82" t="s"/>
      <x:c r="U106" s="82" t="s"/>
      <x:c r="V106" s="82" t="s"/>
      <x:c r="W106" s="82" t="s"/>
      <x:c r="X106" s="82" t="s"/>
      <x:c r="Y106" s="82" t="s"/>
      <x:c r="Z106" s="82" t="s"/>
      <x:c r="AA106" s="82" t="s"/>
      <x:c r="AB106" s="82" t="s"/>
      <x:c r="AC106" s="82" t="s"/>
      <x:c r="AD106" s="82" t="s"/>
      <x:c r="AE106" s="82" t="s"/>
      <x:c r="AF106" s="82" t="s"/>
      <x:c r="AG106" s="82" t="s"/>
      <x:c r="AH106" s="82" t="s"/>
      <x:c r="AI106" s="82" t="s"/>
      <x:c r="AJ106" s="82" t="s"/>
      <x:c r="AK106" s="82" t="s"/>
      <x:c r="AL106" s="82" t="s"/>
      <x:c r="AM106" s="82" t="s"/>
      <x:c r="AN106" s="82" t="s"/>
      <x:c r="AO106" s="82" t="s"/>
      <x:c r="AP106" s="82" t="s"/>
      <x:c r="AQ106" s="82" t="s"/>
      <x:c r="AR106" s="82" t="s"/>
      <x:c r="AS106" s="82" t="s"/>
      <x:c r="AT106" s="82" t="s"/>
      <x:c r="AU106" s="82" t="s"/>
      <x:c r="AV106" s="82" t="s"/>
      <x:c r="AW106" s="82" t="s"/>
      <x:c r="AX106" s="82" t="s"/>
      <x:c r="AY106" s="82" t="s"/>
      <x:c r="AZ106" s="82" t="s"/>
      <x:c r="BA106" s="82" t="s"/>
      <x:c r="BB106" s="82" t="s"/>
      <x:c r="BC106" s="82" t="s"/>
      <x:c r="BD106" s="82" t="s"/>
      <x:c r="BE106" s="82" t="s"/>
      <x:c r="BF106" s="82" t="s"/>
      <x:c r="BG106" s="82" t="s"/>
      <x:c r="BH106" s="82" t="s"/>
      <x:c r="BI106" s="82" t="s"/>
      <x:c r="BJ106" s="82" t="s"/>
      <x:c r="BK106" s="82" t="s"/>
      <x:c r="BL106" s="82" t="s"/>
      <x:c r="BM106" s="82" t="s"/>
      <x:c r="BN106" s="82" t="s"/>
      <x:c r="BO106" s="82" t="s"/>
      <x:c r="BP106" s="82" t="s"/>
      <x:c r="BQ106" s="82" t="s"/>
      <x:c r="BR106" s="82" t="s"/>
    </x:row>
    <x:row r="107" spans="1:70" x14ac:dyDescent="0.25">
      <x:c r="A107" s="82" t="s">
        <x:v>106</x:v>
      </x:c>
      <x:c r="B107" s="82" t="s">
        <x:v>107</x:v>
      </x:c>
      <x:c r="C107" s="82" t="s">
        <x:v>117</x:v>
      </x:c>
      <x:c r="D107" s="85">
        <x:v>42107</x:v>
      </x:c>
      <x:c r="E107" s="82" t="n">
        <x:v>29704</x:v>
      </x:c>
      <x:c r="F107" s="82" t="n">
        <x:v>1</x:v>
      </x:c>
      <x:c r="G107" s="82" t="n">
        <x:v>1</x:v>
      </x:c>
      <x:c r="H107" s="82" t="s"/>
      <x:c r="I107" s="82" t="s"/>
      <x:c r="J107" s="82" t="s"/>
      <x:c r="K107" s="82" t="s"/>
      <x:c r="L107" s="82" t="s"/>
      <x:c r="M107" s="82" t="s"/>
      <x:c r="N107" s="82" t="s"/>
      <x:c r="O107" s="82" t="s"/>
      <x:c r="P107" s="82" t="s"/>
      <x:c r="Q107" s="82" t="s"/>
      <x:c r="R107" s="82" t="s"/>
      <x:c r="S107" s="82" t="s"/>
      <x:c r="T107" s="82" t="s"/>
      <x:c r="U107" s="82" t="s"/>
      <x:c r="V107" s="82" t="s"/>
      <x:c r="W107" s="82" t="s"/>
      <x:c r="X107" s="82" t="s"/>
      <x:c r="Y107" s="82" t="s"/>
      <x:c r="Z107" s="82" t="s"/>
      <x:c r="AA107" s="82" t="s"/>
      <x:c r="AB107" s="82" t="s"/>
      <x:c r="AC107" s="82" t="s"/>
      <x:c r="AD107" s="82" t="s"/>
      <x:c r="AE107" s="82" t="s"/>
      <x:c r="AF107" s="82" t="s"/>
      <x:c r="AG107" s="82" t="s"/>
      <x:c r="AH107" s="82" t="s"/>
      <x:c r="AI107" s="82" t="s"/>
      <x:c r="AJ107" s="82" t="s"/>
      <x:c r="AK107" s="82" t="s"/>
      <x:c r="AL107" s="82" t="s"/>
      <x:c r="AM107" s="82" t="s"/>
      <x:c r="AN107" s="82" t="s"/>
      <x:c r="AO107" s="82" t="s"/>
      <x:c r="AP107" s="82" t="s"/>
      <x:c r="AQ107" s="82" t="s"/>
      <x:c r="AR107" s="82" t="s"/>
      <x:c r="AS107" s="82" t="s"/>
      <x:c r="AT107" s="82" t="s"/>
      <x:c r="AU107" s="82" t="s"/>
      <x:c r="AV107" s="82" t="s"/>
      <x:c r="AW107" s="82" t="s"/>
      <x:c r="AX107" s="82" t="s"/>
      <x:c r="AY107" s="82" t="s"/>
      <x:c r="AZ107" s="82" t="s"/>
      <x:c r="BA107" s="82" t="s"/>
      <x:c r="BB107" s="82" t="s"/>
      <x:c r="BC107" s="82" t="s"/>
      <x:c r="BD107" s="82" t="s"/>
      <x:c r="BE107" s="82" t="s"/>
      <x:c r="BF107" s="82" t="s"/>
      <x:c r="BG107" s="82" t="s"/>
      <x:c r="BH107" s="82" t="s"/>
      <x:c r="BI107" s="82" t="s"/>
      <x:c r="BJ107" s="82" t="s"/>
      <x:c r="BK107" s="82" t="s"/>
      <x:c r="BL107" s="82" t="s"/>
      <x:c r="BM107" s="82" t="s"/>
      <x:c r="BN107" s="82" t="s"/>
      <x:c r="BO107" s="82" t="s"/>
      <x:c r="BP107" s="82" t="s"/>
      <x:c r="BQ107" s="82" t="s"/>
      <x:c r="BR107" s="82" t="s"/>
    </x:row>
    <x:row r="108" spans="1:70" x14ac:dyDescent="0.25">
      <x:c r="A108" s="82" t="s">
        <x:v>106</x:v>
      </x:c>
      <x:c r="B108" s="82" t="s">
        <x:v>107</x:v>
      </x:c>
      <x:c r="C108" s="82" t="s">
        <x:v>118</x:v>
      </x:c>
      <x:c r="D108" s="85">
        <x:v>42107</x:v>
      </x:c>
      <x:c r="E108" s="82" t="n">
        <x:v>29704</x:v>
      </x:c>
      <x:c r="F108" s="90" t="n">
        <x:v>77.28</x:v>
      </x:c>
      <x:c r="G108" s="90" t="n">
        <x:v>69.89</x:v>
      </x:c>
      <x:c r="H108" s="82" t="s"/>
      <x:c r="I108" s="82" t="s"/>
      <x:c r="J108" s="82" t="s"/>
      <x:c r="K108" s="82" t="s"/>
      <x:c r="L108" s="82" t="s"/>
      <x:c r="M108" s="82" t="s"/>
      <x:c r="N108" s="82" t="s"/>
      <x:c r="O108" s="82" t="s"/>
      <x:c r="P108" s="82" t="s"/>
      <x:c r="Q108" s="82" t="s"/>
      <x:c r="R108" s="82" t="s"/>
      <x:c r="S108" s="82" t="s"/>
      <x:c r="T108" s="82" t="s"/>
      <x:c r="U108" s="82" t="s"/>
      <x:c r="V108" s="82" t="s"/>
      <x:c r="W108" s="82" t="s"/>
      <x:c r="X108" s="82" t="s"/>
      <x:c r="Y108" s="82" t="s"/>
      <x:c r="Z108" s="82" t="s"/>
      <x:c r="AA108" s="82" t="s"/>
      <x:c r="AB108" s="82" t="s"/>
      <x:c r="AC108" s="82" t="s"/>
      <x:c r="AD108" s="82" t="s"/>
      <x:c r="AE108" s="82" t="s"/>
      <x:c r="AF108" s="82" t="s"/>
      <x:c r="AG108" s="82" t="s"/>
      <x:c r="AH108" s="82" t="s"/>
      <x:c r="AI108" s="82" t="s"/>
      <x:c r="AJ108" s="82" t="s"/>
      <x:c r="AK108" s="82" t="s"/>
      <x:c r="AL108" s="82" t="s"/>
      <x:c r="AM108" s="82" t="s"/>
      <x:c r="AN108" s="82" t="s"/>
      <x:c r="AO108" s="82" t="s"/>
      <x:c r="AP108" s="82" t="s"/>
      <x:c r="AQ108" s="82" t="s"/>
      <x:c r="AR108" s="82" t="s"/>
      <x:c r="AS108" s="82" t="s"/>
      <x:c r="AT108" s="82" t="s"/>
      <x:c r="AU108" s="82" t="s"/>
      <x:c r="AV108" s="82" t="s"/>
      <x:c r="AW108" s="82" t="s"/>
      <x:c r="AX108" s="82" t="s"/>
      <x:c r="AY108" s="82" t="s"/>
      <x:c r="AZ108" s="82" t="s"/>
      <x:c r="BA108" s="82" t="s"/>
      <x:c r="BB108" s="82" t="s"/>
      <x:c r="BC108" s="82" t="s"/>
      <x:c r="BD108" s="82" t="s"/>
      <x:c r="BE108" s="82" t="s"/>
      <x:c r="BF108" s="82" t="s"/>
      <x:c r="BG108" s="82" t="s"/>
      <x:c r="BH108" s="82" t="s"/>
      <x:c r="BI108" s="82" t="s"/>
      <x:c r="BJ108" s="82" t="s"/>
      <x:c r="BK108" s="82" t="s"/>
      <x:c r="BL108" s="82" t="s"/>
      <x:c r="BM108" s="82" t="s"/>
      <x:c r="BN108" s="82" t="s"/>
      <x:c r="BO108" s="82" t="s"/>
      <x:c r="BP108" s="82" t="s"/>
      <x:c r="BQ108" s="82" t="s"/>
      <x:c r="BR108" s="82" t="s"/>
    </x:row>
    <x:row r="109" spans="1:70" x14ac:dyDescent="0.25">
      <x:c r="A109" s="82" t="s">
        <x:v>106</x:v>
      </x:c>
      <x:c r="B109" s="82" t="s">
        <x:v>107</x:v>
      </x:c>
      <x:c r="C109" s="82" t="s">
        <x:v>119</x:v>
      </x:c>
      <x:c r="D109" s="85">
        <x:v>42107</x:v>
      </x:c>
      <x:c r="E109" s="82" t="n">
        <x:v>29704</x:v>
      </x:c>
      <x:c r="F109" s="90" t="n">
        <x:v>75.33</x:v>
      </x:c>
      <x:c r="G109" s="90" t="n">
        <x:v>70.98</x:v>
      </x:c>
      <x:c r="H109" s="82" t="s"/>
      <x:c r="I109" s="82" t="s"/>
      <x:c r="J109" s="82" t="s"/>
      <x:c r="K109" s="82" t="s"/>
      <x:c r="L109" s="82" t="s"/>
      <x:c r="M109" s="82" t="s"/>
      <x:c r="N109" s="82" t="s"/>
      <x:c r="O109" s="82" t="s"/>
      <x:c r="P109" s="82" t="s"/>
      <x:c r="Q109" s="82" t="s"/>
      <x:c r="R109" s="82" t="s"/>
      <x:c r="S109" s="82" t="s"/>
      <x:c r="T109" s="82" t="s"/>
      <x:c r="U109" s="82" t="s"/>
      <x:c r="V109" s="82" t="s"/>
      <x:c r="W109" s="82" t="s"/>
      <x:c r="X109" s="82" t="s"/>
      <x:c r="Y109" s="82" t="s"/>
      <x:c r="Z109" s="82" t="s"/>
      <x:c r="AA109" s="82" t="s"/>
      <x:c r="AB109" s="82" t="s"/>
      <x:c r="AC109" s="82" t="s"/>
      <x:c r="AD109" s="82" t="s"/>
      <x:c r="AE109" s="82" t="s"/>
      <x:c r="AF109" s="82" t="s"/>
      <x:c r="AG109" s="82" t="s"/>
      <x:c r="AH109" s="82" t="s"/>
      <x:c r="AI109" s="82" t="s"/>
      <x:c r="AJ109" s="82" t="s"/>
      <x:c r="AK109" s="82" t="s"/>
      <x:c r="AL109" s="82" t="s"/>
      <x:c r="AM109" s="82" t="s"/>
      <x:c r="AN109" s="82" t="s"/>
      <x:c r="AO109" s="82" t="s"/>
      <x:c r="AP109" s="82" t="s"/>
      <x:c r="AQ109" s="82" t="s"/>
      <x:c r="AR109" s="82" t="s"/>
      <x:c r="AS109" s="82" t="s"/>
      <x:c r="AT109" s="82" t="s"/>
      <x:c r="AU109" s="82" t="s"/>
      <x:c r="AV109" s="82" t="s"/>
      <x:c r="AW109" s="82" t="s"/>
      <x:c r="AX109" s="82" t="s"/>
      <x:c r="AY109" s="82" t="s"/>
      <x:c r="AZ109" s="82" t="s"/>
      <x:c r="BA109" s="82" t="s"/>
      <x:c r="BB109" s="82" t="s"/>
      <x:c r="BC109" s="82" t="s"/>
      <x:c r="BD109" s="82" t="s"/>
      <x:c r="BE109" s="82" t="s"/>
      <x:c r="BF109" s="82" t="s"/>
      <x:c r="BG109" s="82" t="s"/>
      <x:c r="BH109" s="82" t="s"/>
      <x:c r="BI109" s="82" t="s"/>
      <x:c r="BJ109" s="82" t="s"/>
      <x:c r="BK109" s="82" t="s"/>
      <x:c r="BL109" s="82" t="s"/>
      <x:c r="BM109" s="82" t="s"/>
      <x:c r="BN109" s="82" t="s"/>
      <x:c r="BO109" s="82" t="s"/>
      <x:c r="BP109" s="82" t="s"/>
      <x:c r="BQ109" s="82" t="s"/>
      <x:c r="BR109" s="82" t="s"/>
    </x:row>
    <x:row r="110" spans="1:70" x14ac:dyDescent="0.25">
      <x:c r="A110" s="82" t="s">
        <x:v>106</x:v>
      </x:c>
      <x:c r="B110" s="82" t="s">
        <x:v>107</x:v>
      </x:c>
      <x:c r="C110" s="82" t="s">
        <x:v>120</x:v>
      </x:c>
      <x:c r="D110" s="85">
        <x:v>42107</x:v>
      </x:c>
      <x:c r="E110" s="82" t="n">
        <x:v>29704</x:v>
      </x:c>
      <x:c r="F110" s="90" t="n">
        <x:v>-1.95</x:v>
      </x:c>
      <x:c r="G110" s="90" t="n">
        <x:v>1.09</x:v>
      </x:c>
      <x:c r="H110" s="82" t="s"/>
      <x:c r="I110" s="82" t="s"/>
      <x:c r="J110" s="82" t="s"/>
      <x:c r="K110" s="82" t="s"/>
      <x:c r="L110" s="82" t="s"/>
      <x:c r="M110" s="82" t="s"/>
      <x:c r="N110" s="82" t="s"/>
      <x:c r="O110" s="82" t="s"/>
      <x:c r="P110" s="82" t="s"/>
      <x:c r="Q110" s="82" t="s"/>
      <x:c r="R110" s="82" t="s"/>
      <x:c r="S110" s="82" t="s"/>
      <x:c r="T110" s="82" t="s"/>
      <x:c r="U110" s="82" t="s"/>
      <x:c r="V110" s="82" t="s"/>
      <x:c r="W110" s="82" t="s"/>
      <x:c r="X110" s="82" t="s"/>
      <x:c r="Y110" s="82" t="s"/>
      <x:c r="Z110" s="82" t="s"/>
      <x:c r="AA110" s="82" t="s"/>
      <x:c r="AB110" s="82" t="s"/>
      <x:c r="AC110" s="82" t="s"/>
      <x:c r="AD110" s="82" t="s"/>
      <x:c r="AE110" s="82" t="s"/>
      <x:c r="AF110" s="82" t="s"/>
      <x:c r="AG110" s="82" t="s"/>
      <x:c r="AH110" s="82" t="s"/>
      <x:c r="AI110" s="82" t="s"/>
      <x:c r="AJ110" s="82" t="s"/>
      <x:c r="AK110" s="82" t="s"/>
      <x:c r="AL110" s="82" t="s"/>
      <x:c r="AM110" s="82" t="s"/>
      <x:c r="AN110" s="82" t="s"/>
      <x:c r="AO110" s="82" t="s"/>
      <x:c r="AP110" s="82" t="s"/>
      <x:c r="AQ110" s="82" t="s"/>
      <x:c r="AR110" s="82" t="s"/>
      <x:c r="AS110" s="82" t="s"/>
      <x:c r="AT110" s="82" t="s"/>
      <x:c r="AU110" s="82" t="s"/>
      <x:c r="AV110" s="82" t="s"/>
      <x:c r="AW110" s="82" t="s"/>
      <x:c r="AX110" s="82" t="s"/>
      <x:c r="AY110" s="82" t="s"/>
      <x:c r="AZ110" s="82" t="s"/>
      <x:c r="BA110" s="82" t="s"/>
      <x:c r="BB110" s="82" t="s"/>
      <x:c r="BC110" s="82" t="s"/>
      <x:c r="BD110" s="82" t="s"/>
      <x:c r="BE110" s="82" t="s"/>
      <x:c r="BF110" s="82" t="s"/>
      <x:c r="BG110" s="82" t="s"/>
      <x:c r="BH110" s="82" t="s"/>
      <x:c r="BI110" s="82" t="s"/>
      <x:c r="BJ110" s="82" t="s"/>
      <x:c r="BK110" s="82" t="s"/>
      <x:c r="BL110" s="82" t="s"/>
      <x:c r="BM110" s="82" t="s"/>
      <x:c r="BN110" s="82" t="s"/>
      <x:c r="BO110" s="82" t="s"/>
      <x:c r="BP110" s="82" t="s"/>
      <x:c r="BQ110" s="82" t="s"/>
      <x:c r="BR110" s="82" t="s"/>
    </x:row>
    <x:row r="111" spans="1:70" customFormat="1" ht="15.75" customHeight="1" thickBot="1" x14ac:dyDescent="0.3">
      <x:c r="A111" s="106" t="s">
        <x:v>106</x:v>
      </x:c>
      <x:c r="B111" s="106" t="s">
        <x:v>107</x:v>
      </x:c>
      <x:c r="C111" s="106" t="s">
        <x:v>121</x:v>
      </x:c>
      <x:c r="D111" s="105">
        <x:v>42107</x:v>
      </x:c>
      <x:c r="E111" s="106" t="n">
        <x:v>29704</x:v>
      </x:c>
      <x:c r="F111" s="126" t="n">
        <x:v>84.6</x:v>
      </x:c>
      <x:c r="G111" s="126" t="n">
        <x:v>74.19</x:v>
      </x:c>
      <x:c r="H111" s="106" t="s"/>
      <x:c r="I111" s="106" t="s"/>
      <x:c r="J111" s="82" t="s"/>
      <x:c r="K111" s="82" t="s"/>
      <x:c r="L111" s="82" t="s"/>
      <x:c r="M111" s="82" t="s"/>
      <x:c r="N111" s="82" t="s"/>
      <x:c r="O111" s="82" t="s"/>
      <x:c r="P111" s="82" t="s"/>
      <x:c r="Q111" s="82" t="s"/>
      <x:c r="R111" s="82" t="s"/>
      <x:c r="S111" s="82" t="s"/>
      <x:c r="T111" s="82" t="s"/>
      <x:c r="U111" s="82" t="s"/>
      <x:c r="V111" s="82" t="s"/>
      <x:c r="W111" s="82" t="s"/>
      <x:c r="X111" s="82" t="s"/>
      <x:c r="Y111" s="82" t="s"/>
      <x:c r="Z111" s="82" t="s"/>
      <x:c r="AA111" s="82" t="s"/>
      <x:c r="AB111" s="82" t="s"/>
      <x:c r="AC111" s="82" t="s"/>
      <x:c r="AD111" s="82" t="s"/>
      <x:c r="AE111" s="82" t="s"/>
      <x:c r="AF111" s="82" t="s"/>
      <x:c r="AG111" s="82" t="s"/>
      <x:c r="AH111" s="82" t="s"/>
      <x:c r="AI111" s="82" t="s"/>
      <x:c r="AJ111" s="82" t="s"/>
      <x:c r="AK111" s="82" t="s"/>
      <x:c r="AL111" s="82" t="s"/>
      <x:c r="AM111" s="82" t="s"/>
      <x:c r="AN111" s="82" t="s"/>
      <x:c r="AO111" s="82" t="s"/>
      <x:c r="AP111" s="82" t="s"/>
      <x:c r="AQ111" s="82" t="s"/>
      <x:c r="AR111" s="82" t="s"/>
      <x:c r="AS111" s="82" t="s"/>
      <x:c r="AT111" s="82" t="s"/>
      <x:c r="AU111" s="82" t="s"/>
      <x:c r="AV111" s="82" t="s"/>
      <x:c r="AW111" s="82" t="s"/>
      <x:c r="AX111" s="82" t="s"/>
      <x:c r="AY111" s="82" t="s"/>
      <x:c r="AZ111" s="82" t="s"/>
      <x:c r="BA111" s="82" t="s"/>
      <x:c r="BB111" s="82" t="s"/>
      <x:c r="BC111" s="82" t="s"/>
      <x:c r="BD111" s="82" t="s"/>
      <x:c r="BE111" s="82" t="s"/>
      <x:c r="BF111" s="82" t="s"/>
      <x:c r="BG111" s="82" t="s"/>
      <x:c r="BH111" s="82" t="s"/>
      <x:c r="BI111" s="82" t="s"/>
      <x:c r="BJ111" s="82" t="s"/>
      <x:c r="BK111" s="82" t="s"/>
      <x:c r="BL111" s="82" t="s"/>
      <x:c r="BM111" s="82" t="s"/>
      <x:c r="BN111" s="82" t="s"/>
      <x:c r="BO111" s="82" t="s"/>
      <x:c r="BP111" s="82" t="s"/>
      <x:c r="BQ111" s="82" t="s"/>
      <x:c r="BR111" s="82" t="s"/>
    </x:row>
    <x:row r="112" spans="1:70" x14ac:dyDescent="0.25">
      <x:c r="A112" s="82" t="s">
        <x:v>106</x:v>
      </x:c>
      <x:c r="B112" s="82" t="s">
        <x:v>107</x:v>
      </x:c>
      <x:c r="C112" s="82" t="s">
        <x:v>108</x:v>
      </x:c>
      <x:c r="D112" s="85">
        <x:v>42107</x:v>
      </x:c>
      <x:c r="E112" s="82" t="n">
        <x:v>29714</x:v>
      </x:c>
      <x:c r="F112" s="86" t="n">
        <x:v>0.00463227181243637</x:v>
      </x:c>
      <x:c r="G112" s="86" t="n">
        <x:v>0.00655286467231704</x:v>
      </x:c>
      <x:c r="H112" s="86" t="n">
        <x:v>0.0231470397409788</x:v>
      </x:c>
      <x:c r="I112" s="86" t="n">
        <x:v>0.0130221447508586</x:v>
      </x:c>
      <x:c r="J112" s="82" t="s"/>
      <x:c r="K112" s="82" t="s"/>
      <x:c r="L112" s="82" t="s"/>
      <x:c r="M112" s="82" t="s"/>
      <x:c r="N112" s="82" t="s"/>
      <x:c r="O112" s="82" t="s"/>
      <x:c r="P112" s="82" t="s"/>
      <x:c r="Q112" s="82" t="s"/>
      <x:c r="R112" s="82" t="s"/>
      <x:c r="S112" s="82" t="s"/>
      <x:c r="T112" s="82" t="s"/>
      <x:c r="U112" s="82" t="s"/>
      <x:c r="V112" s="82" t="s"/>
      <x:c r="W112" s="82" t="s"/>
      <x:c r="X112" s="82" t="s"/>
      <x:c r="Y112" s="82" t="s"/>
      <x:c r="Z112" s="82" t="s"/>
      <x:c r="AA112" s="82" t="s"/>
      <x:c r="AB112" s="82" t="s"/>
      <x:c r="AC112" s="82" t="s"/>
      <x:c r="AD112" s="82" t="s"/>
      <x:c r="AE112" s="82" t="s"/>
      <x:c r="AF112" s="82" t="s"/>
      <x:c r="AG112" s="82" t="s"/>
      <x:c r="AH112" s="82" t="s"/>
      <x:c r="AI112" s="82" t="s"/>
      <x:c r="AJ112" s="82" t="s"/>
      <x:c r="AK112" s="82" t="s"/>
      <x:c r="AL112" s="82" t="s"/>
      <x:c r="AM112" s="82" t="s"/>
      <x:c r="AN112" s="82" t="s"/>
      <x:c r="AO112" s="82" t="s"/>
      <x:c r="AP112" s="82" t="s"/>
      <x:c r="AQ112" s="82" t="s"/>
      <x:c r="AR112" s="82" t="s"/>
      <x:c r="AS112" s="82" t="s"/>
      <x:c r="AT112" s="82" t="s"/>
      <x:c r="AU112" s="82" t="s"/>
      <x:c r="AV112" s="82" t="s"/>
      <x:c r="AW112" s="82" t="s"/>
      <x:c r="AX112" s="82" t="s"/>
      <x:c r="AY112" s="82" t="s"/>
      <x:c r="AZ112" s="82" t="s"/>
      <x:c r="BA112" s="82" t="s"/>
      <x:c r="BB112" s="82" t="s"/>
      <x:c r="BC112" s="82" t="s"/>
      <x:c r="BD112" s="82" t="s"/>
      <x:c r="BE112" s="82" t="s"/>
      <x:c r="BF112" s="82" t="s"/>
      <x:c r="BG112" s="82" t="s"/>
      <x:c r="BH112" s="82" t="s"/>
      <x:c r="BI112" s="82" t="s"/>
      <x:c r="BJ112" s="82" t="s"/>
      <x:c r="BK112" s="82" t="s"/>
      <x:c r="BL112" s="82" t="s"/>
      <x:c r="BM112" s="82" t="s"/>
      <x:c r="BN112" s="82" t="s"/>
      <x:c r="BO112" s="82" t="s"/>
      <x:c r="BP112" s="82" t="s"/>
      <x:c r="BQ112" s="82" t="s"/>
      <x:c r="BR112" s="82" t="s"/>
    </x:row>
    <x:row r="113" spans="1:70" x14ac:dyDescent="0.25">
      <x:c r="A113" s="82" t="s">
        <x:v>106</x:v>
      </x:c>
      <x:c r="B113" s="82" t="s">
        <x:v>107</x:v>
      </x:c>
      <x:c r="C113" s="82" t="s">
        <x:v>109</x:v>
      </x:c>
      <x:c r="D113" s="85">
        <x:v>42107</x:v>
      </x:c>
      <x:c r="E113" s="82" t="n">
        <x:v>29714</x:v>
      </x:c>
      <x:c r="F113" s="86" t="n">
        <x:v>10.0409311017116</x:v>
      </x:c>
      <x:c r="G113" s="86" t="n">
        <x:v>5.48104928680181</x:v>
      </x:c>
      <x:c r="H113" s="86" t="n">
        <x:v>5.80735530454134</x:v>
      </x:c>
      <x:c r="I113" s="86" t="n">
        <x:v>6.78451742648238</x:v>
      </x:c>
      <x:c r="J113" s="82" t="s"/>
      <x:c r="K113" s="82" t="s"/>
      <x:c r="L113" s="82" t="s"/>
      <x:c r="M113" s="82" t="s"/>
      <x:c r="N113" s="82" t="s"/>
      <x:c r="O113" s="82" t="s"/>
      <x:c r="P113" s="82" t="s"/>
      <x:c r="Q113" s="82" t="s"/>
      <x:c r="R113" s="82" t="s"/>
      <x:c r="S113" s="82" t="s"/>
      <x:c r="T113" s="82" t="s"/>
      <x:c r="U113" s="82" t="s"/>
      <x:c r="V113" s="82" t="s"/>
      <x:c r="W113" s="82" t="s"/>
      <x:c r="X113" s="82" t="s"/>
      <x:c r="Y113" s="82" t="s"/>
      <x:c r="Z113" s="82" t="s"/>
      <x:c r="AA113" s="82" t="s"/>
      <x:c r="AB113" s="82" t="s"/>
      <x:c r="AC113" s="82" t="s"/>
      <x:c r="AD113" s="82" t="s"/>
      <x:c r="AE113" s="82" t="s"/>
      <x:c r="AF113" s="82" t="s"/>
      <x:c r="AG113" s="82" t="s"/>
      <x:c r="AH113" s="82" t="s"/>
      <x:c r="AI113" s="82" t="s"/>
      <x:c r="AJ113" s="82" t="s"/>
      <x:c r="AK113" s="82" t="s"/>
      <x:c r="AL113" s="82" t="s"/>
      <x:c r="AM113" s="82" t="s"/>
      <x:c r="AN113" s="82" t="s"/>
      <x:c r="AO113" s="82" t="s"/>
      <x:c r="AP113" s="82" t="s"/>
      <x:c r="AQ113" s="82" t="s"/>
      <x:c r="AR113" s="82" t="s"/>
      <x:c r="AS113" s="82" t="s"/>
      <x:c r="AT113" s="82" t="s"/>
      <x:c r="AU113" s="82" t="s"/>
      <x:c r="AV113" s="82" t="s"/>
      <x:c r="AW113" s="82" t="s"/>
      <x:c r="AX113" s="82" t="s"/>
      <x:c r="AY113" s="82" t="s"/>
      <x:c r="AZ113" s="82" t="s"/>
      <x:c r="BA113" s="82" t="s"/>
      <x:c r="BB113" s="82" t="s"/>
      <x:c r="BC113" s="82" t="s"/>
      <x:c r="BD113" s="82" t="s"/>
      <x:c r="BE113" s="82" t="s"/>
      <x:c r="BF113" s="82" t="s"/>
      <x:c r="BG113" s="82" t="s"/>
      <x:c r="BH113" s="82" t="s"/>
      <x:c r="BI113" s="82" t="s"/>
      <x:c r="BJ113" s="82" t="s"/>
      <x:c r="BK113" s="82" t="s"/>
      <x:c r="BL113" s="82" t="s"/>
      <x:c r="BM113" s="82" t="s"/>
      <x:c r="BN113" s="82" t="s"/>
      <x:c r="BO113" s="82" t="s"/>
      <x:c r="BP113" s="82" t="s"/>
      <x:c r="BQ113" s="82" t="s"/>
      <x:c r="BR113" s="82" t="s"/>
    </x:row>
    <x:row r="114" spans="1:70" x14ac:dyDescent="0.25">
      <x:c r="A114" s="82" t="s">
        <x:v>106</x:v>
      </x:c>
      <x:c r="B114" s="82" t="s">
        <x:v>107</x:v>
      </x:c>
      <x:c r="C114" s="82" t="s">
        <x:v>110</x:v>
      </x:c>
      <x:c r="D114" s="85">
        <x:v>42107</x:v>
      </x:c>
      <x:c r="E114" s="82" t="n">
        <x:v>29714</x:v>
      </x:c>
      <x:c r="F114" s="86" t="n">
        <x:v>0.204905689314771</x:v>
      </x:c>
      <x:c r="G114" s="86" t="n">
        <x:v>0.399421562225197</x:v>
      </x:c>
      <x:c r="H114" s="86" t="n">
        <x:v>0.340765762498598</x:v>
      </x:c>
      <x:c r="I114" s="86" t="n">
        <x:v>0.339857185406964</x:v>
      </x:c>
      <x:c r="J114" s="82" t="s"/>
      <x:c r="K114" s="82" t="s"/>
      <x:c r="L114" s="82" t="s"/>
      <x:c r="M114" s="82" t="s"/>
      <x:c r="N114" s="82" t="s"/>
      <x:c r="O114" s="82" t="s"/>
      <x:c r="P114" s="82" t="s"/>
      <x:c r="Q114" s="82" t="s"/>
      <x:c r="R114" s="82" t="s"/>
      <x:c r="S114" s="82" t="s"/>
      <x:c r="T114" s="82" t="s"/>
      <x:c r="U114" s="82" t="s"/>
      <x:c r="V114" s="82" t="s"/>
      <x:c r="W114" s="82" t="s"/>
      <x:c r="X114" s="82" t="s"/>
      <x:c r="Y114" s="82" t="s"/>
      <x:c r="Z114" s="82" t="s"/>
      <x:c r="AA114" s="82" t="s"/>
      <x:c r="AB114" s="82" t="s"/>
      <x:c r="AC114" s="82" t="s"/>
      <x:c r="AD114" s="82" t="s"/>
      <x:c r="AE114" s="82" t="s"/>
      <x:c r="AF114" s="82" t="s"/>
      <x:c r="AG114" s="82" t="s"/>
      <x:c r="AH114" s="82" t="s"/>
      <x:c r="AI114" s="82" t="s"/>
      <x:c r="AJ114" s="82" t="s"/>
      <x:c r="AK114" s="82" t="s"/>
      <x:c r="AL114" s="82" t="s"/>
      <x:c r="AM114" s="82" t="s"/>
      <x:c r="AN114" s="82" t="s"/>
      <x:c r="AO114" s="82" t="s"/>
      <x:c r="AP114" s="82" t="s"/>
      <x:c r="AQ114" s="82" t="s"/>
      <x:c r="AR114" s="82" t="s"/>
      <x:c r="AS114" s="82" t="s"/>
      <x:c r="AT114" s="82" t="s"/>
      <x:c r="AU114" s="82" t="s"/>
      <x:c r="AV114" s="82" t="s"/>
      <x:c r="AW114" s="82" t="s"/>
      <x:c r="AX114" s="82" t="s"/>
      <x:c r="AY114" s="82" t="s"/>
      <x:c r="AZ114" s="82" t="s"/>
      <x:c r="BA114" s="82" t="s"/>
      <x:c r="BB114" s="82" t="s"/>
      <x:c r="BC114" s="82" t="s"/>
      <x:c r="BD114" s="82" t="s"/>
      <x:c r="BE114" s="82" t="s"/>
      <x:c r="BF114" s="82" t="s"/>
      <x:c r="BG114" s="82" t="s"/>
      <x:c r="BH114" s="82" t="s"/>
      <x:c r="BI114" s="82" t="s"/>
      <x:c r="BJ114" s="82" t="s"/>
      <x:c r="BK114" s="82" t="s"/>
      <x:c r="BL114" s="82" t="s"/>
      <x:c r="BM114" s="82" t="s"/>
      <x:c r="BN114" s="82" t="s"/>
      <x:c r="BO114" s="82" t="s"/>
      <x:c r="BP114" s="82" t="s"/>
      <x:c r="BQ114" s="82" t="s"/>
      <x:c r="BR114" s="82" t="s"/>
    </x:row>
    <x:row r="115" spans="1:70" x14ac:dyDescent="0.25">
      <x:c r="A115" s="82" t="s">
        <x:v>106</x:v>
      </x:c>
      <x:c r="B115" s="82" t="s">
        <x:v>107</x:v>
      </x:c>
      <x:c r="C115" s="82" t="s">
        <x:v>111</x:v>
      </x:c>
      <x:c r="D115" s="85">
        <x:v>42107</x:v>
      </x:c>
      <x:c r="E115" s="82" t="n">
        <x:v>29714</x:v>
      </x:c>
      <x:c r="F115" s="86" t="n">
        <x:v>1.10894130052313</x:v>
      </x:c>
      <x:c r="G115" s="86" t="n">
        <x:v>2.09901676017335</x:v>
      </x:c>
      <x:c r="H115" s="86" t="n">
        <x:v>1.6493809824359</x:v>
      </x:c>
      <x:c r="I115" s="86" t="n">
        <x:v>1.69944503497328</x:v>
      </x:c>
      <x:c r="J115" s="82" t="s"/>
      <x:c r="K115" s="82" t="s"/>
      <x:c r="L115" s="82" t="s"/>
      <x:c r="M115" s="82" t="s"/>
      <x:c r="N115" s="82" t="s"/>
      <x:c r="O115" s="82" t="s"/>
      <x:c r="P115" s="82" t="s"/>
      <x:c r="Q115" s="82" t="s"/>
      <x:c r="R115" s="82" t="s"/>
      <x:c r="S115" s="82" t="s"/>
      <x:c r="T115" s="82" t="s"/>
      <x:c r="U115" s="82" t="s"/>
      <x:c r="V115" s="82" t="s"/>
      <x:c r="W115" s="82" t="s"/>
      <x:c r="X115" s="82" t="s"/>
      <x:c r="Y115" s="82" t="s"/>
      <x:c r="Z115" s="82" t="s"/>
      <x:c r="AA115" s="82" t="s"/>
      <x:c r="AB115" s="82" t="s"/>
      <x:c r="AC115" s="82" t="s"/>
      <x:c r="AD115" s="82" t="s"/>
      <x:c r="AE115" s="82" t="s"/>
      <x:c r="AF115" s="82" t="s"/>
      <x:c r="AG115" s="82" t="s"/>
      <x:c r="AH115" s="82" t="s"/>
      <x:c r="AI115" s="82" t="s"/>
      <x:c r="AJ115" s="82" t="s"/>
      <x:c r="AK115" s="82" t="s"/>
      <x:c r="AL115" s="82" t="s"/>
      <x:c r="AM115" s="82" t="s"/>
      <x:c r="AN115" s="82" t="s"/>
      <x:c r="AO115" s="82" t="s"/>
      <x:c r="AP115" s="82" t="s"/>
      <x:c r="AQ115" s="82" t="s"/>
      <x:c r="AR115" s="82" t="s"/>
      <x:c r="AS115" s="82" t="s"/>
      <x:c r="AT115" s="82" t="s"/>
      <x:c r="AU115" s="82" t="s"/>
      <x:c r="AV115" s="82" t="s"/>
      <x:c r="AW115" s="82" t="s"/>
      <x:c r="AX115" s="82" t="s"/>
      <x:c r="AY115" s="82" t="s"/>
      <x:c r="AZ115" s="82" t="s"/>
      <x:c r="BA115" s="82" t="s"/>
      <x:c r="BB115" s="82" t="s"/>
      <x:c r="BC115" s="82" t="s"/>
      <x:c r="BD115" s="82" t="s"/>
      <x:c r="BE115" s="82" t="s"/>
      <x:c r="BF115" s="82" t="s"/>
      <x:c r="BG115" s="82" t="s"/>
      <x:c r="BH115" s="82" t="s"/>
      <x:c r="BI115" s="82" t="s"/>
      <x:c r="BJ115" s="82" t="s"/>
      <x:c r="BK115" s="82" t="s"/>
      <x:c r="BL115" s="82" t="s"/>
      <x:c r="BM115" s="82" t="s"/>
      <x:c r="BN115" s="82" t="s"/>
      <x:c r="BO115" s="82" t="s"/>
      <x:c r="BP115" s="82" t="s"/>
      <x:c r="BQ115" s="82" t="s"/>
      <x:c r="BR115" s="82" t="s"/>
    </x:row>
    <x:row r="116" spans="1:70" x14ac:dyDescent="0.25">
      <x:c r="A116" s="82" t="s">
        <x:v>106</x:v>
      </x:c>
      <x:c r="B116" s="82" t="s">
        <x:v>107</x:v>
      </x:c>
      <x:c r="C116" s="82" t="s">
        <x:v>112</x:v>
      </x:c>
      <x:c r="D116" s="85">
        <x:v>42107</x:v>
      </x:c>
      <x:c r="E116" s="82" t="n">
        <x:v>29714</x:v>
      </x:c>
      <x:c r="F116" s="82" t="n">
        <x:v>3.32209124345409</x:v>
      </x:c>
      <x:c r="G116" s="82" t="n">
        <x:v>6.28809225118205</x:v>
      </x:c>
      <x:c r="H116" s="82" t="n">
        <x:v>4.94110384046942</x:v>
      </x:c>
      <x:c r="I116" s="82" t="n">
        <x:v>5.09108233840054</x:v>
      </x:c>
      <x:c r="J116" s="82" t="s"/>
      <x:c r="K116" s="82" t="s"/>
      <x:c r="L116" s="82" t="s"/>
      <x:c r="M116" s="82" t="s"/>
      <x:c r="N116" s="82" t="s"/>
      <x:c r="O116" s="82" t="s"/>
      <x:c r="P116" s="82" t="s"/>
      <x:c r="Q116" s="82" t="s"/>
      <x:c r="R116" s="82" t="s"/>
      <x:c r="S116" s="82" t="s"/>
      <x:c r="T116" s="82" t="s"/>
      <x:c r="U116" s="82" t="s"/>
      <x:c r="V116" s="82" t="s"/>
      <x:c r="W116" s="82" t="s"/>
      <x:c r="X116" s="82" t="s"/>
      <x:c r="Y116" s="82" t="s"/>
      <x:c r="Z116" s="82" t="s"/>
      <x:c r="AA116" s="82" t="s"/>
      <x:c r="AB116" s="82" t="s"/>
      <x:c r="AC116" s="82" t="s"/>
      <x:c r="AD116" s="82" t="s"/>
      <x:c r="AE116" s="82" t="s"/>
      <x:c r="AF116" s="82" t="s"/>
      <x:c r="AG116" s="82" t="s"/>
      <x:c r="AH116" s="82" t="s"/>
      <x:c r="AI116" s="82" t="s"/>
      <x:c r="AJ116" s="82" t="s"/>
      <x:c r="AK116" s="82" t="s"/>
      <x:c r="AL116" s="82" t="s"/>
      <x:c r="AM116" s="82" t="s"/>
      <x:c r="AN116" s="82" t="s"/>
      <x:c r="AO116" s="82" t="s"/>
      <x:c r="AP116" s="82" t="s"/>
      <x:c r="AQ116" s="82" t="s"/>
      <x:c r="AR116" s="82" t="s"/>
      <x:c r="AS116" s="82" t="s"/>
      <x:c r="AT116" s="82" t="s"/>
      <x:c r="AU116" s="82" t="s"/>
      <x:c r="AV116" s="82" t="s"/>
      <x:c r="AW116" s="82" t="s"/>
      <x:c r="AX116" s="82" t="s"/>
      <x:c r="AY116" s="82" t="s"/>
      <x:c r="AZ116" s="82" t="s"/>
      <x:c r="BA116" s="82" t="s"/>
      <x:c r="BB116" s="82" t="s"/>
      <x:c r="BC116" s="82" t="s"/>
      <x:c r="BD116" s="82" t="s"/>
      <x:c r="BE116" s="82" t="s"/>
      <x:c r="BF116" s="82" t="s"/>
      <x:c r="BG116" s="82" t="s"/>
      <x:c r="BH116" s="82" t="s"/>
      <x:c r="BI116" s="82" t="s"/>
      <x:c r="BJ116" s="82" t="s"/>
      <x:c r="BK116" s="82" t="s"/>
      <x:c r="BL116" s="82" t="s"/>
      <x:c r="BM116" s="82" t="s"/>
      <x:c r="BN116" s="82" t="s"/>
      <x:c r="BO116" s="82" t="s"/>
      <x:c r="BP116" s="82" t="s"/>
      <x:c r="BQ116" s="82" t="s"/>
      <x:c r="BR116" s="82" t="s"/>
    </x:row>
    <x:row r="117" spans="1:70" x14ac:dyDescent="0.25">
      <x:c r="A117" s="82" t="s">
        <x:v>106</x:v>
      </x:c>
      <x:c r="B117" s="82" t="s">
        <x:v>107</x:v>
      </x:c>
      <x:c r="C117" s="82" t="s">
        <x:v>113</x:v>
      </x:c>
      <x:c r="D117" s="85">
        <x:v>42107</x:v>
      </x:c>
      <x:c r="E117" s="82" t="n">
        <x:v>29714</x:v>
      </x:c>
      <x:c r="F117" s="88" t="n">
        <x:v>-7.469</x:v>
      </x:c>
      <x:c r="G117" s="88" t="n">
        <x:v>-7.4</x:v>
      </x:c>
      <x:c r="H117" s="82" t="s"/>
      <x:c r="I117" s="82" t="s"/>
      <x:c r="J117" s="82" t="s"/>
      <x:c r="K117" s="82" t="s"/>
      <x:c r="L117" s="82" t="s"/>
      <x:c r="M117" s="82" t="s"/>
      <x:c r="N117" s="82" t="s"/>
      <x:c r="O117" s="82" t="s"/>
      <x:c r="P117" s="82" t="s"/>
      <x:c r="Q117" s="82" t="s"/>
      <x:c r="R117" s="82" t="s"/>
      <x:c r="S117" s="82" t="s"/>
      <x:c r="T117" s="82" t="s"/>
      <x:c r="U117" s="82" t="s"/>
      <x:c r="V117" s="82" t="s"/>
      <x:c r="W117" s="82" t="s"/>
      <x:c r="X117" s="82" t="s"/>
      <x:c r="Y117" s="82" t="s"/>
      <x:c r="Z117" s="82" t="s"/>
      <x:c r="AA117" s="82" t="s"/>
      <x:c r="AB117" s="82" t="s"/>
      <x:c r="AC117" s="82" t="s"/>
      <x:c r="AD117" s="82" t="s"/>
      <x:c r="AE117" s="82" t="s"/>
      <x:c r="AF117" s="82" t="s"/>
      <x:c r="AG117" s="82" t="s"/>
      <x:c r="AH117" s="82" t="s"/>
      <x:c r="AI117" s="82" t="s"/>
      <x:c r="AJ117" s="82" t="s"/>
      <x:c r="AK117" s="82" t="s"/>
      <x:c r="AL117" s="82" t="s"/>
      <x:c r="AM117" s="82" t="s"/>
      <x:c r="AN117" s="82" t="s"/>
      <x:c r="AO117" s="82" t="s"/>
      <x:c r="AP117" s="82" t="s"/>
      <x:c r="AQ117" s="82" t="s"/>
      <x:c r="AR117" s="82" t="s"/>
      <x:c r="AS117" s="82" t="s"/>
      <x:c r="AT117" s="82" t="s"/>
      <x:c r="AU117" s="82" t="s"/>
      <x:c r="AV117" s="82" t="s"/>
      <x:c r="AW117" s="82" t="s"/>
      <x:c r="AX117" s="82" t="s"/>
      <x:c r="AY117" s="82" t="s"/>
      <x:c r="AZ117" s="82" t="s"/>
      <x:c r="BA117" s="82" t="s"/>
      <x:c r="BB117" s="82" t="s"/>
      <x:c r="BC117" s="82" t="s"/>
      <x:c r="BD117" s="82" t="s"/>
      <x:c r="BE117" s="82" t="s"/>
      <x:c r="BF117" s="82" t="s"/>
      <x:c r="BG117" s="82" t="s"/>
      <x:c r="BH117" s="82" t="s"/>
      <x:c r="BI117" s="82" t="s"/>
      <x:c r="BJ117" s="82" t="s"/>
      <x:c r="BK117" s="82" t="s"/>
      <x:c r="BL117" s="82" t="s"/>
      <x:c r="BM117" s="82" t="s"/>
      <x:c r="BN117" s="82" t="s"/>
      <x:c r="BO117" s="82" t="s"/>
      <x:c r="BP117" s="82" t="s"/>
      <x:c r="BQ117" s="82" t="s"/>
      <x:c r="BR117" s="82" t="s"/>
    </x:row>
    <x:row r="118" spans="1:70" x14ac:dyDescent="0.25">
      <x:c r="A118" s="82" t="s">
        <x:v>106</x:v>
      </x:c>
      <x:c r="B118" s="82" t="s">
        <x:v>107</x:v>
      </x:c>
      <x:c r="C118" s="82" t="s">
        <x:v>114</x:v>
      </x:c>
      <x:c r="D118" s="85">
        <x:v>42107</x:v>
      </x:c>
      <x:c r="E118" s="82" t="n">
        <x:v>29714</x:v>
      </x:c>
      <x:c r="F118" s="88" t="n">
        <x:v>0.716</x:v>
      </x:c>
      <x:c r="G118" s="88" t="n">
        <x:v>0.824</x:v>
      </x:c>
      <x:c r="H118" s="82" t="s"/>
      <x:c r="I118" s="82" t="s"/>
      <x:c r="J118" s="82" t="s"/>
      <x:c r="K118" s="82" t="s"/>
      <x:c r="L118" s="82" t="s"/>
      <x:c r="M118" s="82" t="s"/>
      <x:c r="N118" s="82" t="s"/>
      <x:c r="O118" s="82" t="s"/>
      <x:c r="P118" s="82" t="s"/>
      <x:c r="Q118" s="82" t="s"/>
      <x:c r="R118" s="82" t="s"/>
      <x:c r="S118" s="82" t="s"/>
      <x:c r="T118" s="82" t="s"/>
      <x:c r="U118" s="82" t="s"/>
      <x:c r="V118" s="82" t="s"/>
      <x:c r="W118" s="82" t="s"/>
      <x:c r="X118" s="82" t="s"/>
      <x:c r="Y118" s="82" t="s"/>
      <x:c r="Z118" s="82" t="s"/>
      <x:c r="AA118" s="82" t="s"/>
      <x:c r="AB118" s="82" t="s"/>
      <x:c r="AC118" s="82" t="s"/>
      <x:c r="AD118" s="82" t="s"/>
      <x:c r="AE118" s="82" t="s"/>
      <x:c r="AF118" s="82" t="s"/>
      <x:c r="AG118" s="82" t="s"/>
      <x:c r="AH118" s="82" t="s"/>
      <x:c r="AI118" s="82" t="s"/>
      <x:c r="AJ118" s="82" t="s"/>
      <x:c r="AK118" s="82" t="s"/>
      <x:c r="AL118" s="82" t="s"/>
      <x:c r="AM118" s="82" t="s"/>
      <x:c r="AN118" s="82" t="s"/>
      <x:c r="AO118" s="82" t="s"/>
      <x:c r="AP118" s="82" t="s"/>
      <x:c r="AQ118" s="82" t="s"/>
      <x:c r="AR118" s="82" t="s"/>
      <x:c r="AS118" s="82" t="s"/>
      <x:c r="AT118" s="82" t="s"/>
      <x:c r="AU118" s="82" t="s"/>
      <x:c r="AV118" s="82" t="s"/>
      <x:c r="AW118" s="82" t="s"/>
      <x:c r="AX118" s="82" t="s"/>
      <x:c r="AY118" s="82" t="s"/>
      <x:c r="AZ118" s="82" t="s"/>
      <x:c r="BA118" s="82" t="s"/>
      <x:c r="BB118" s="82" t="s"/>
      <x:c r="BC118" s="82" t="s"/>
      <x:c r="BD118" s="82" t="s"/>
      <x:c r="BE118" s="82" t="s"/>
      <x:c r="BF118" s="82" t="s"/>
      <x:c r="BG118" s="82" t="s"/>
      <x:c r="BH118" s="82" t="s"/>
      <x:c r="BI118" s="82" t="s"/>
      <x:c r="BJ118" s="82" t="s"/>
      <x:c r="BK118" s="82" t="s"/>
      <x:c r="BL118" s="82" t="s"/>
      <x:c r="BM118" s="82" t="s"/>
      <x:c r="BN118" s="82" t="s"/>
      <x:c r="BO118" s="82" t="s"/>
      <x:c r="BP118" s="82" t="s"/>
      <x:c r="BQ118" s="82" t="s"/>
      <x:c r="BR118" s="82" t="s"/>
    </x:row>
    <x:row r="119" spans="1:70" x14ac:dyDescent="0.25">
      <x:c r="A119" s="82" t="s">
        <x:v>106</x:v>
      </x:c>
      <x:c r="B119" s="82" t="s">
        <x:v>107</x:v>
      </x:c>
      <x:c r="C119" s="82" t="s">
        <x:v>115</x:v>
      </x:c>
      <x:c r="D119" s="85">
        <x:v>42107</x:v>
      </x:c>
      <x:c r="E119" s="82" t="n">
        <x:v>29714</x:v>
      </x:c>
      <x:c r="F119" s="101" t="n">
        <x:v>-7.552</x:v>
      </x:c>
      <x:c r="G119" s="101" t="n">
        <x:v>-7.19</x:v>
      </x:c>
      <x:c r="H119" s="82" t="s"/>
      <x:c r="I119" s="82" t="s"/>
      <x:c r="J119" s="82" t="s"/>
      <x:c r="K119" s="82" t="s"/>
      <x:c r="L119" s="82" t="s"/>
      <x:c r="M119" s="82" t="s"/>
      <x:c r="N119" s="82" t="s"/>
      <x:c r="O119" s="82" t="s"/>
      <x:c r="P119" s="82" t="s"/>
      <x:c r="Q119" s="82" t="s"/>
      <x:c r="R119" s="82" t="s"/>
      <x:c r="S119" s="82" t="s"/>
      <x:c r="T119" s="82" t="s"/>
      <x:c r="U119" s="82" t="s"/>
      <x:c r="V119" s="82" t="s"/>
      <x:c r="W119" s="82" t="s"/>
      <x:c r="X119" s="82" t="s"/>
      <x:c r="Y119" s="82" t="s"/>
      <x:c r="Z119" s="82" t="s"/>
      <x:c r="AA119" s="82" t="s"/>
      <x:c r="AB119" s="82" t="s"/>
      <x:c r="AC119" s="82" t="s"/>
      <x:c r="AD119" s="82" t="s"/>
      <x:c r="AE119" s="82" t="s"/>
      <x:c r="AF119" s="82" t="s"/>
      <x:c r="AG119" s="82" t="s"/>
      <x:c r="AH119" s="82" t="s"/>
      <x:c r="AI119" s="82" t="s"/>
      <x:c r="AJ119" s="82" t="s"/>
      <x:c r="AK119" s="82" t="s"/>
      <x:c r="AL119" s="82" t="s"/>
      <x:c r="AM119" s="82" t="s"/>
      <x:c r="AN119" s="82" t="s"/>
      <x:c r="AO119" s="82" t="s"/>
      <x:c r="AP119" s="82" t="s"/>
      <x:c r="AQ119" s="82" t="s"/>
      <x:c r="AR119" s="82" t="s"/>
      <x:c r="AS119" s="82" t="s"/>
      <x:c r="AT119" s="82" t="s"/>
      <x:c r="AU119" s="82" t="s"/>
      <x:c r="AV119" s="82" t="s"/>
      <x:c r="AW119" s="82" t="s"/>
      <x:c r="AX119" s="82" t="s"/>
      <x:c r="AY119" s="82" t="s"/>
      <x:c r="AZ119" s="82" t="s"/>
      <x:c r="BA119" s="82" t="s"/>
      <x:c r="BB119" s="82" t="s"/>
      <x:c r="BC119" s="82" t="s"/>
      <x:c r="BD119" s="82" t="s"/>
      <x:c r="BE119" s="82" t="s"/>
      <x:c r="BF119" s="82" t="s"/>
      <x:c r="BG119" s="82" t="s"/>
      <x:c r="BH119" s="82" t="s"/>
      <x:c r="BI119" s="82" t="s"/>
      <x:c r="BJ119" s="82" t="s"/>
      <x:c r="BK119" s="82" t="s"/>
      <x:c r="BL119" s="82" t="s"/>
      <x:c r="BM119" s="82" t="s"/>
      <x:c r="BN119" s="82" t="s"/>
      <x:c r="BO119" s="82" t="s"/>
      <x:c r="BP119" s="82" t="s"/>
      <x:c r="BQ119" s="82" t="s"/>
      <x:c r="BR119" s="82" t="s"/>
    </x:row>
    <x:row r="120" spans="1:70" x14ac:dyDescent="0.25">
      <x:c r="A120" s="82" t="s">
        <x:v>106</x:v>
      </x:c>
      <x:c r="B120" s="82" t="s">
        <x:v>107</x:v>
      </x:c>
      <x:c r="C120" s="82" t="s">
        <x:v>116</x:v>
      </x:c>
      <x:c r="D120" s="85">
        <x:v>42107</x:v>
      </x:c>
      <x:c r="E120" s="82" t="n">
        <x:v>29714</x:v>
      </x:c>
      <x:c r="F120" s="101" t="n">
        <x:v>0.62</x:v>
      </x:c>
      <x:c r="G120" s="101" t="n">
        <x:v>0.98</x:v>
      </x:c>
      <x:c r="H120" s="82" t="s"/>
      <x:c r="I120" s="82" t="s"/>
      <x:c r="J120" s="82" t="s"/>
      <x:c r="K120" s="82" t="s"/>
      <x:c r="L120" s="82" t="s"/>
      <x:c r="M120" s="82" t="s"/>
      <x:c r="N120" s="82" t="s"/>
      <x:c r="O120" s="82" t="s"/>
      <x:c r="P120" s="82" t="s"/>
      <x:c r="Q120" s="82" t="s"/>
      <x:c r="R120" s="82" t="s"/>
      <x:c r="S120" s="82" t="s"/>
      <x:c r="T120" s="82" t="s"/>
      <x:c r="U120" s="82" t="s"/>
      <x:c r="V120" s="82" t="s"/>
      <x:c r="W120" s="82" t="s"/>
      <x:c r="X120" s="82" t="s"/>
      <x:c r="Y120" s="82" t="s"/>
      <x:c r="Z120" s="82" t="s"/>
      <x:c r="AA120" s="82" t="s"/>
      <x:c r="AB120" s="82" t="s"/>
      <x:c r="AC120" s="82" t="s"/>
      <x:c r="AD120" s="82" t="s"/>
      <x:c r="AE120" s="82" t="s"/>
      <x:c r="AF120" s="82" t="s"/>
      <x:c r="AG120" s="82" t="s"/>
      <x:c r="AH120" s="82" t="s"/>
      <x:c r="AI120" s="82" t="s"/>
      <x:c r="AJ120" s="82" t="s"/>
      <x:c r="AK120" s="82" t="s"/>
      <x:c r="AL120" s="82" t="s"/>
      <x:c r="AM120" s="82" t="s"/>
      <x:c r="AN120" s="82" t="s"/>
      <x:c r="AO120" s="82" t="s"/>
      <x:c r="AP120" s="82" t="s"/>
      <x:c r="AQ120" s="82" t="s"/>
      <x:c r="AR120" s="82" t="s"/>
      <x:c r="AS120" s="82" t="s"/>
      <x:c r="AT120" s="82" t="s"/>
      <x:c r="AU120" s="82" t="s"/>
      <x:c r="AV120" s="82" t="s"/>
      <x:c r="AW120" s="82" t="s"/>
      <x:c r="AX120" s="82" t="s"/>
      <x:c r="AY120" s="82" t="s"/>
      <x:c r="AZ120" s="82" t="s"/>
      <x:c r="BA120" s="82" t="s"/>
      <x:c r="BB120" s="82" t="s"/>
      <x:c r="BC120" s="82" t="s"/>
      <x:c r="BD120" s="82" t="s"/>
      <x:c r="BE120" s="82" t="s"/>
      <x:c r="BF120" s="82" t="s"/>
      <x:c r="BG120" s="82" t="s"/>
      <x:c r="BH120" s="82" t="s"/>
      <x:c r="BI120" s="82" t="s"/>
      <x:c r="BJ120" s="82" t="s"/>
      <x:c r="BK120" s="82" t="s"/>
      <x:c r="BL120" s="82" t="s"/>
      <x:c r="BM120" s="82" t="s"/>
      <x:c r="BN120" s="82" t="s"/>
      <x:c r="BO120" s="82" t="s"/>
      <x:c r="BP120" s="82" t="s"/>
      <x:c r="BQ120" s="82" t="s"/>
      <x:c r="BR120" s="82" t="s"/>
    </x:row>
    <x:row r="121" spans="1:70" x14ac:dyDescent="0.25">
      <x:c r="A121" s="82" t="s">
        <x:v>106</x:v>
      </x:c>
      <x:c r="B121" s="82" t="s">
        <x:v>107</x:v>
      </x:c>
      <x:c r="C121" s="82" t="s">
        <x:v>17</x:v>
      </x:c>
      <x:c r="D121" s="85">
        <x:v>42107</x:v>
      </x:c>
      <x:c r="E121" s="82" t="n">
        <x:v>29714</x:v>
      </x:c>
      <x:c r="F121" s="102" t="n">
        <x:v>35.4972714892337</x:v>
      </x:c>
      <x:c r="G121" s="102" t="n">
        <x:v>34.8106202107099</x:v>
      </x:c>
      <x:c r="H121" s="82" t="s"/>
      <x:c r="I121" s="82" t="s"/>
      <x:c r="J121" s="82" t="s"/>
      <x:c r="K121" s="82" t="s"/>
      <x:c r="L121" s="82" t="s"/>
      <x:c r="M121" s="82" t="s"/>
      <x:c r="N121" s="82" t="s"/>
      <x:c r="O121" s="82" t="s"/>
      <x:c r="P121" s="82" t="s"/>
      <x:c r="Q121" s="82" t="s"/>
      <x:c r="R121" s="82" t="s"/>
      <x:c r="S121" s="82" t="s"/>
      <x:c r="T121" s="82" t="s"/>
      <x:c r="U121" s="82" t="s"/>
      <x:c r="V121" s="82" t="s"/>
      <x:c r="W121" s="82" t="s"/>
      <x:c r="X121" s="82" t="s"/>
      <x:c r="Y121" s="82" t="s"/>
      <x:c r="Z121" s="82" t="s"/>
      <x:c r="AA121" s="82" t="s"/>
      <x:c r="AB121" s="82" t="s"/>
      <x:c r="AC121" s="82" t="s"/>
      <x:c r="AD121" s="82" t="s"/>
      <x:c r="AE121" s="82" t="s"/>
      <x:c r="AF121" s="82" t="s"/>
      <x:c r="AG121" s="82" t="s"/>
      <x:c r="AH121" s="82" t="s"/>
      <x:c r="AI121" s="82" t="s"/>
      <x:c r="AJ121" s="82" t="s"/>
      <x:c r="AK121" s="82" t="s"/>
      <x:c r="AL121" s="82" t="s"/>
      <x:c r="AM121" s="82" t="s"/>
      <x:c r="AN121" s="82" t="s"/>
      <x:c r="AO121" s="82" t="s"/>
      <x:c r="AP121" s="82" t="s"/>
      <x:c r="AQ121" s="82" t="s"/>
      <x:c r="AR121" s="82" t="s"/>
      <x:c r="AS121" s="82" t="s"/>
      <x:c r="AT121" s="82" t="s"/>
      <x:c r="AU121" s="82" t="s"/>
      <x:c r="AV121" s="82" t="s"/>
      <x:c r="AW121" s="82" t="s"/>
      <x:c r="AX121" s="82" t="s"/>
      <x:c r="AY121" s="82" t="s"/>
      <x:c r="AZ121" s="82" t="s"/>
      <x:c r="BA121" s="82" t="s"/>
      <x:c r="BB121" s="82" t="s"/>
      <x:c r="BC121" s="82" t="s"/>
      <x:c r="BD121" s="82" t="s"/>
      <x:c r="BE121" s="82" t="s"/>
      <x:c r="BF121" s="82" t="s"/>
      <x:c r="BG121" s="82" t="s"/>
      <x:c r="BH121" s="82" t="s"/>
      <x:c r="BI121" s="82" t="s"/>
      <x:c r="BJ121" s="82" t="s"/>
      <x:c r="BK121" s="82" t="s"/>
      <x:c r="BL121" s="82" t="s"/>
      <x:c r="BM121" s="82" t="s"/>
      <x:c r="BN121" s="82" t="s"/>
      <x:c r="BO121" s="82" t="s"/>
      <x:c r="BP121" s="82" t="s"/>
      <x:c r="BQ121" s="82" t="s"/>
      <x:c r="BR121" s="82" t="s"/>
    </x:row>
    <x:row r="122" spans="1:70" x14ac:dyDescent="0.25">
      <x:c r="A122" s="82" t="s">
        <x:v>106</x:v>
      </x:c>
      <x:c r="B122" s="82" t="s">
        <x:v>107</x:v>
      </x:c>
      <x:c r="C122" s="82" t="s">
        <x:v>18</x:v>
      </x:c>
      <x:c r="D122" s="85">
        <x:v>42107</x:v>
      </x:c>
      <x:c r="E122" s="82" t="n">
        <x:v>29714</x:v>
      </x:c>
      <x:c r="F122" s="102" t="n">
        <x:v>0.0637181119700539</x:v>
      </x:c>
      <x:c r="G122" s="102" t="n">
        <x:v>0.0621060097741315</x:v>
      </x:c>
      <x:c r="H122" s="82" t="s"/>
      <x:c r="I122" s="82" t="s"/>
      <x:c r="J122" s="82" t="s"/>
      <x:c r="K122" s="82" t="s"/>
      <x:c r="L122" s="82" t="s"/>
      <x:c r="M122" s="82" t="s"/>
      <x:c r="N122" s="82" t="s"/>
      <x:c r="O122" s="82" t="s"/>
      <x:c r="P122" s="82" t="s"/>
      <x:c r="Q122" s="82" t="s"/>
      <x:c r="R122" s="82" t="s"/>
      <x:c r="S122" s="82" t="s"/>
      <x:c r="T122" s="82" t="s"/>
      <x:c r="U122" s="82" t="s"/>
      <x:c r="V122" s="82" t="s"/>
      <x:c r="W122" s="82" t="s"/>
      <x:c r="X122" s="82" t="s"/>
      <x:c r="Y122" s="82" t="s"/>
      <x:c r="Z122" s="82" t="s"/>
      <x:c r="AA122" s="82" t="s"/>
      <x:c r="AB122" s="82" t="s"/>
      <x:c r="AC122" s="82" t="s"/>
      <x:c r="AD122" s="82" t="s"/>
      <x:c r="AE122" s="82" t="s"/>
      <x:c r="AF122" s="82" t="s"/>
      <x:c r="AG122" s="82" t="s"/>
      <x:c r="AH122" s="82" t="s"/>
      <x:c r="AI122" s="82" t="s"/>
      <x:c r="AJ122" s="82" t="s"/>
      <x:c r="AK122" s="82" t="s"/>
      <x:c r="AL122" s="82" t="s"/>
      <x:c r="AM122" s="82" t="s"/>
      <x:c r="AN122" s="82" t="s"/>
      <x:c r="AO122" s="82" t="s"/>
      <x:c r="AP122" s="82" t="s"/>
      <x:c r="AQ122" s="82" t="s"/>
      <x:c r="AR122" s="82" t="s"/>
      <x:c r="AS122" s="82" t="s"/>
      <x:c r="AT122" s="82" t="s"/>
      <x:c r="AU122" s="82" t="s"/>
      <x:c r="AV122" s="82" t="s"/>
      <x:c r="AW122" s="82" t="s"/>
      <x:c r="AX122" s="82" t="s"/>
      <x:c r="AY122" s="82" t="s"/>
      <x:c r="AZ122" s="82" t="s"/>
      <x:c r="BA122" s="82" t="s"/>
      <x:c r="BB122" s="82" t="s"/>
      <x:c r="BC122" s="82" t="s"/>
      <x:c r="BD122" s="82" t="s"/>
      <x:c r="BE122" s="82" t="s"/>
      <x:c r="BF122" s="82" t="s"/>
      <x:c r="BG122" s="82" t="s"/>
      <x:c r="BH122" s="82" t="s"/>
      <x:c r="BI122" s="82" t="s"/>
      <x:c r="BJ122" s="82" t="s"/>
      <x:c r="BK122" s="82" t="s"/>
      <x:c r="BL122" s="82" t="s"/>
      <x:c r="BM122" s="82" t="s"/>
      <x:c r="BN122" s="82" t="s"/>
      <x:c r="BO122" s="82" t="s"/>
      <x:c r="BP122" s="82" t="s"/>
      <x:c r="BQ122" s="82" t="s"/>
      <x:c r="BR122" s="82" t="s"/>
    </x:row>
    <x:row r="123" spans="1:70" x14ac:dyDescent="0.25">
      <x:c r="A123" s="82" t="s">
        <x:v>106</x:v>
      </x:c>
      <x:c r="B123" s="82" t="s">
        <x:v>107</x:v>
      </x:c>
      <x:c r="C123" s="82" t="s">
        <x:v>19</x:v>
      </x:c>
      <x:c r="D123" s="85">
        <x:v>42107</x:v>
      </x:c>
      <x:c r="E123" s="82" t="n">
        <x:v>29714</x:v>
      </x:c>
      <x:c r="F123" s="102" t="n">
        <x:v>114.754831453069</x:v>
      </x:c>
      <x:c r="G123" s="102" t="n">
        <x:v>114.710114853276</x:v>
      </x:c>
      <x:c r="H123" s="82" t="s"/>
      <x:c r="I123" s="82" t="s"/>
      <x:c r="J123" s="82" t="s"/>
      <x:c r="K123" s="82" t="s"/>
      <x:c r="L123" s="82" t="s"/>
      <x:c r="M123" s="82" t="s"/>
      <x:c r="N123" s="82" t="s"/>
      <x:c r="O123" s="82" t="s"/>
      <x:c r="P123" s="82" t="s"/>
      <x:c r="Q123" s="82" t="s"/>
      <x:c r="R123" s="82" t="s"/>
      <x:c r="S123" s="82" t="s"/>
      <x:c r="T123" s="82" t="s"/>
      <x:c r="U123" s="82" t="s"/>
      <x:c r="V123" s="82" t="s"/>
      <x:c r="W123" s="82" t="s"/>
      <x:c r="X123" s="82" t="s"/>
      <x:c r="Y123" s="82" t="s"/>
      <x:c r="Z123" s="82" t="s"/>
      <x:c r="AA123" s="82" t="s"/>
      <x:c r="AB123" s="82" t="s"/>
      <x:c r="AC123" s="82" t="s"/>
      <x:c r="AD123" s="82" t="s"/>
      <x:c r="AE123" s="82" t="s"/>
      <x:c r="AF123" s="82" t="s"/>
      <x:c r="AG123" s="82" t="s"/>
      <x:c r="AH123" s="82" t="s"/>
      <x:c r="AI123" s="82" t="s"/>
      <x:c r="AJ123" s="82" t="s"/>
      <x:c r="AK123" s="82" t="s"/>
      <x:c r="AL123" s="82" t="s"/>
      <x:c r="AM123" s="82" t="s"/>
      <x:c r="AN123" s="82" t="s"/>
      <x:c r="AO123" s="82" t="s"/>
      <x:c r="AP123" s="82" t="s"/>
      <x:c r="AQ123" s="82" t="s"/>
      <x:c r="AR123" s="82" t="s"/>
      <x:c r="AS123" s="82" t="s"/>
      <x:c r="AT123" s="82" t="s"/>
      <x:c r="AU123" s="82" t="s"/>
      <x:c r="AV123" s="82" t="s"/>
      <x:c r="AW123" s="82" t="s"/>
      <x:c r="AX123" s="82" t="s"/>
      <x:c r="AY123" s="82" t="s"/>
      <x:c r="AZ123" s="82" t="s"/>
      <x:c r="BA123" s="82" t="s"/>
      <x:c r="BB123" s="82" t="s"/>
      <x:c r="BC123" s="82" t="s"/>
      <x:c r="BD123" s="82" t="s"/>
      <x:c r="BE123" s="82" t="s"/>
      <x:c r="BF123" s="82" t="s"/>
      <x:c r="BG123" s="82" t="s"/>
      <x:c r="BH123" s="82" t="s"/>
      <x:c r="BI123" s="82" t="s"/>
      <x:c r="BJ123" s="82" t="s"/>
      <x:c r="BK123" s="82" t="s"/>
      <x:c r="BL123" s="82" t="s"/>
      <x:c r="BM123" s="82" t="s"/>
      <x:c r="BN123" s="82" t="s"/>
      <x:c r="BO123" s="82" t="s"/>
      <x:c r="BP123" s="82" t="s"/>
      <x:c r="BQ123" s="82" t="s"/>
      <x:c r="BR123" s="82" t="s"/>
    </x:row>
    <x:row r="124" spans="1:70" x14ac:dyDescent="0.25">
      <x:c r="A124" s="82" t="s">
        <x:v>106</x:v>
      </x:c>
      <x:c r="B124" s="82" t="s">
        <x:v>107</x:v>
      </x:c>
      <x:c r="C124" s="82" t="s">
        <x:v>20</x:v>
      </x:c>
      <x:c r="D124" s="85">
        <x:v>42107</x:v>
      </x:c>
      <x:c r="E124" s="82" t="n">
        <x:v>29714</x:v>
      </x:c>
      <x:c r="F124" s="102" t="n">
        <x:v>0.51061696412704</x:v>
      </x:c>
      <x:c r="G124" s="102" t="n">
        <x:v>0.521440639570563</x:v>
      </x:c>
      <x:c r="H124" s="82" t="s"/>
      <x:c r="I124" s="82" t="s"/>
      <x:c r="J124" s="82" t="s"/>
      <x:c r="K124" s="82" t="s"/>
      <x:c r="L124" s="82" t="s"/>
      <x:c r="M124" s="82" t="s"/>
      <x:c r="N124" s="82" t="s"/>
      <x:c r="O124" s="82" t="s"/>
      <x:c r="P124" s="82" t="s"/>
      <x:c r="Q124" s="82" t="s"/>
      <x:c r="R124" s="82" t="s"/>
      <x:c r="S124" s="82" t="s"/>
      <x:c r="T124" s="82" t="s"/>
      <x:c r="U124" s="82" t="s"/>
      <x:c r="V124" s="82" t="s"/>
      <x:c r="W124" s="82" t="s"/>
      <x:c r="X124" s="82" t="s"/>
      <x:c r="Y124" s="82" t="s"/>
      <x:c r="Z124" s="82" t="s"/>
      <x:c r="AA124" s="82" t="s"/>
      <x:c r="AB124" s="82" t="s"/>
      <x:c r="AC124" s="82" t="s"/>
      <x:c r="AD124" s="82" t="s"/>
      <x:c r="AE124" s="82" t="s"/>
      <x:c r="AF124" s="82" t="s"/>
      <x:c r="AG124" s="82" t="s"/>
      <x:c r="AH124" s="82" t="s"/>
      <x:c r="AI124" s="82" t="s"/>
      <x:c r="AJ124" s="82" t="s"/>
      <x:c r="AK124" s="82" t="s"/>
      <x:c r="AL124" s="82" t="s"/>
      <x:c r="AM124" s="82" t="s"/>
      <x:c r="AN124" s="82" t="s"/>
      <x:c r="AO124" s="82" t="s"/>
      <x:c r="AP124" s="82" t="s"/>
      <x:c r="AQ124" s="82" t="s"/>
      <x:c r="AR124" s="82" t="s"/>
      <x:c r="AS124" s="82" t="s"/>
      <x:c r="AT124" s="82" t="s"/>
      <x:c r="AU124" s="82" t="s"/>
      <x:c r="AV124" s="82" t="s"/>
      <x:c r="AW124" s="82" t="s"/>
      <x:c r="AX124" s="82" t="s"/>
      <x:c r="AY124" s="82" t="s"/>
      <x:c r="AZ124" s="82" t="s"/>
      <x:c r="BA124" s="82" t="s"/>
      <x:c r="BB124" s="82" t="s"/>
      <x:c r="BC124" s="82" t="s"/>
      <x:c r="BD124" s="82" t="s"/>
      <x:c r="BE124" s="82" t="s"/>
      <x:c r="BF124" s="82" t="s"/>
      <x:c r="BG124" s="82" t="s"/>
      <x:c r="BH124" s="82" t="s"/>
      <x:c r="BI124" s="82" t="s"/>
      <x:c r="BJ124" s="82" t="s"/>
      <x:c r="BK124" s="82" t="s"/>
      <x:c r="BL124" s="82" t="s"/>
      <x:c r="BM124" s="82" t="s"/>
      <x:c r="BN124" s="82" t="s"/>
      <x:c r="BO124" s="82" t="s"/>
      <x:c r="BP124" s="82" t="s"/>
      <x:c r="BQ124" s="82" t="s"/>
      <x:c r="BR124" s="82" t="s"/>
    </x:row>
    <x:row r="125" spans="1:70" x14ac:dyDescent="0.25">
      <x:c r="A125" s="82" t="s">
        <x:v>106</x:v>
      </x:c>
      <x:c r="B125" s="82" t="s">
        <x:v>107</x:v>
      </x:c>
      <x:c r="C125" s="82" t="s">
        <x:v>21</x:v>
      </x:c>
      <x:c r="D125" s="85">
        <x:v>42107</x:v>
      </x:c>
      <x:c r="E125" s="82" t="n">
        <x:v>29714</x:v>
      </x:c>
      <x:c r="F125" s="102" t="n">
        <x:v>155.036196319018</x:v>
      </x:c>
      <x:c r="G125" s="102" t="n">
        <x:v>152.249367088608</x:v>
      </x:c>
      <x:c r="H125" s="82" t="s"/>
      <x:c r="I125" s="82" t="s"/>
      <x:c r="J125" s="82" t="s"/>
      <x:c r="K125" s="82" t="s"/>
      <x:c r="L125" s="82" t="s"/>
      <x:c r="M125" s="82" t="s"/>
      <x:c r="N125" s="82" t="s"/>
      <x:c r="O125" s="82" t="s"/>
      <x:c r="P125" s="82" t="s"/>
      <x:c r="Q125" s="82" t="s"/>
      <x:c r="R125" s="82" t="s"/>
      <x:c r="S125" s="82" t="s"/>
      <x:c r="T125" s="82" t="s"/>
      <x:c r="U125" s="82" t="s"/>
      <x:c r="V125" s="82" t="s"/>
      <x:c r="W125" s="82" t="s"/>
      <x:c r="X125" s="82" t="s"/>
      <x:c r="Y125" s="82" t="s"/>
      <x:c r="Z125" s="82" t="s"/>
      <x:c r="AA125" s="82" t="s"/>
      <x:c r="AB125" s="82" t="s"/>
      <x:c r="AC125" s="82" t="s"/>
      <x:c r="AD125" s="82" t="s"/>
      <x:c r="AE125" s="82" t="s"/>
      <x:c r="AF125" s="82" t="s"/>
      <x:c r="AG125" s="82" t="s"/>
      <x:c r="AH125" s="82" t="s"/>
      <x:c r="AI125" s="82" t="s"/>
      <x:c r="AJ125" s="82" t="s"/>
      <x:c r="AK125" s="82" t="s"/>
      <x:c r="AL125" s="82" t="s"/>
      <x:c r="AM125" s="82" t="s"/>
      <x:c r="AN125" s="82" t="s"/>
      <x:c r="AO125" s="82" t="s"/>
      <x:c r="AP125" s="82" t="s"/>
      <x:c r="AQ125" s="82" t="s"/>
      <x:c r="AR125" s="82" t="s"/>
      <x:c r="AS125" s="82" t="s"/>
      <x:c r="AT125" s="82" t="s"/>
      <x:c r="AU125" s="82" t="s"/>
      <x:c r="AV125" s="82" t="s"/>
      <x:c r="AW125" s="82" t="s"/>
      <x:c r="AX125" s="82" t="s"/>
      <x:c r="AY125" s="82" t="s"/>
      <x:c r="AZ125" s="82" t="s"/>
      <x:c r="BA125" s="82" t="s"/>
      <x:c r="BB125" s="82" t="s"/>
      <x:c r="BC125" s="82" t="s"/>
      <x:c r="BD125" s="82" t="s"/>
      <x:c r="BE125" s="82" t="s"/>
      <x:c r="BF125" s="82" t="s"/>
      <x:c r="BG125" s="82" t="s"/>
      <x:c r="BH125" s="82" t="s"/>
      <x:c r="BI125" s="82" t="s"/>
      <x:c r="BJ125" s="82" t="s"/>
      <x:c r="BK125" s="82" t="s"/>
      <x:c r="BL125" s="82" t="s"/>
      <x:c r="BM125" s="82" t="s"/>
      <x:c r="BN125" s="82" t="s"/>
      <x:c r="BO125" s="82" t="s"/>
      <x:c r="BP125" s="82" t="s"/>
      <x:c r="BQ125" s="82" t="s"/>
      <x:c r="BR125" s="82" t="s"/>
    </x:row>
    <x:row r="126" spans="1:70" x14ac:dyDescent="0.25">
      <x:c r="A126" s="82" t="s">
        <x:v>106</x:v>
      </x:c>
      <x:c r="B126" s="82" t="s">
        <x:v>107</x:v>
      </x:c>
      <x:c r="C126" s="82" t="s">
        <x:v>22</x:v>
      </x:c>
      <x:c r="D126" s="85">
        <x:v>42107</x:v>
      </x:c>
      <x:c r="E126" s="82" t="n">
        <x:v>29714</x:v>
      </x:c>
      <x:c r="F126" s="102" t="n">
        <x:v>0.466336441717791</x:v>
      </x:c>
      <x:c r="G126" s="102" t="n">
        <x:v>0.467796329113924</x:v>
      </x:c>
      <x:c r="H126" s="82" t="s"/>
      <x:c r="I126" s="82" t="s"/>
      <x:c r="J126" s="82" t="s"/>
      <x:c r="K126" s="82" t="s"/>
      <x:c r="L126" s="82" t="s"/>
      <x:c r="M126" s="82" t="s"/>
      <x:c r="N126" s="82" t="s"/>
      <x:c r="O126" s="82" t="s"/>
      <x:c r="P126" s="82" t="s"/>
      <x:c r="Q126" s="82" t="s"/>
      <x:c r="R126" s="82" t="s"/>
      <x:c r="S126" s="82" t="s"/>
      <x:c r="T126" s="82" t="s"/>
      <x:c r="U126" s="82" t="s"/>
      <x:c r="V126" s="82" t="s"/>
      <x:c r="W126" s="82" t="s"/>
      <x:c r="X126" s="82" t="s"/>
      <x:c r="Y126" s="82" t="s"/>
      <x:c r="Z126" s="82" t="s"/>
      <x:c r="AA126" s="82" t="s"/>
      <x:c r="AB126" s="82" t="s"/>
      <x:c r="AC126" s="82" t="s"/>
      <x:c r="AD126" s="82" t="s"/>
      <x:c r="AE126" s="82" t="s"/>
      <x:c r="AF126" s="82" t="s"/>
      <x:c r="AG126" s="82" t="s"/>
      <x:c r="AH126" s="82" t="s"/>
      <x:c r="AI126" s="82" t="s"/>
      <x:c r="AJ126" s="82" t="s"/>
      <x:c r="AK126" s="82" t="s"/>
      <x:c r="AL126" s="82" t="s"/>
      <x:c r="AM126" s="82" t="s"/>
      <x:c r="AN126" s="82" t="s"/>
      <x:c r="AO126" s="82" t="s"/>
      <x:c r="AP126" s="82" t="s"/>
      <x:c r="AQ126" s="82" t="s"/>
      <x:c r="AR126" s="82" t="s"/>
      <x:c r="AS126" s="82" t="s"/>
      <x:c r="AT126" s="82" t="s"/>
      <x:c r="AU126" s="82" t="s"/>
      <x:c r="AV126" s="82" t="s"/>
      <x:c r="AW126" s="82" t="s"/>
      <x:c r="AX126" s="82" t="s"/>
      <x:c r="AY126" s="82" t="s"/>
      <x:c r="AZ126" s="82" t="s"/>
      <x:c r="BA126" s="82" t="s"/>
      <x:c r="BB126" s="82" t="s"/>
      <x:c r="BC126" s="82" t="s"/>
      <x:c r="BD126" s="82" t="s"/>
      <x:c r="BE126" s="82" t="s"/>
      <x:c r="BF126" s="82" t="s"/>
      <x:c r="BG126" s="82" t="s"/>
      <x:c r="BH126" s="82" t="s"/>
      <x:c r="BI126" s="82" t="s"/>
      <x:c r="BJ126" s="82" t="s"/>
      <x:c r="BK126" s="82" t="s"/>
      <x:c r="BL126" s="82" t="s"/>
      <x:c r="BM126" s="82" t="s"/>
      <x:c r="BN126" s="82" t="s"/>
      <x:c r="BO126" s="82" t="s"/>
      <x:c r="BP126" s="82" t="s"/>
      <x:c r="BQ126" s="82" t="s"/>
      <x:c r="BR126" s="82" t="s"/>
    </x:row>
    <x:row r="127" spans="1:70" x14ac:dyDescent="0.25">
      <x:c r="A127" s="82" t="s">
        <x:v>106</x:v>
      </x:c>
      <x:c r="B127" s="82" t="s">
        <x:v>107</x:v>
      </x:c>
      <x:c r="C127" s="82" t="s">
        <x:v>23</x:v>
      </x:c>
      <x:c r="D127" s="85">
        <x:v>42107</x:v>
      </x:c>
      <x:c r="E127" s="82" t="n">
        <x:v>29714</x:v>
      </x:c>
      <x:c r="F127" s="102" t="n">
        <x:v>666.84</x:v>
      </x:c>
      <x:c r="G127" s="102" t="n">
        <x:v>673.28</x:v>
      </x:c>
      <x:c r="H127" s="82" t="s"/>
      <x:c r="I127" s="82" t="s"/>
      <x:c r="J127" s="82" t="s"/>
      <x:c r="K127" s="82" t="s"/>
      <x:c r="L127" s="82" t="s"/>
      <x:c r="M127" s="82" t="s"/>
      <x:c r="N127" s="82" t="s"/>
      <x:c r="O127" s="82" t="s"/>
      <x:c r="P127" s="82" t="s"/>
      <x:c r="Q127" s="82" t="s"/>
      <x:c r="R127" s="82" t="s"/>
      <x:c r="S127" s="82" t="s"/>
      <x:c r="T127" s="82" t="s"/>
      <x:c r="U127" s="82" t="s"/>
      <x:c r="V127" s="82" t="s"/>
      <x:c r="W127" s="82" t="s"/>
      <x:c r="X127" s="82" t="s"/>
      <x:c r="Y127" s="82" t="s"/>
      <x:c r="Z127" s="82" t="s"/>
      <x:c r="AA127" s="82" t="s"/>
      <x:c r="AB127" s="82" t="s"/>
      <x:c r="AC127" s="82" t="s"/>
      <x:c r="AD127" s="82" t="s"/>
      <x:c r="AE127" s="82" t="s"/>
      <x:c r="AF127" s="82" t="s"/>
      <x:c r="AG127" s="82" t="s"/>
      <x:c r="AH127" s="82" t="s"/>
      <x:c r="AI127" s="82" t="s"/>
      <x:c r="AJ127" s="82" t="s"/>
      <x:c r="AK127" s="82" t="s"/>
      <x:c r="AL127" s="82" t="s"/>
      <x:c r="AM127" s="82" t="s"/>
      <x:c r="AN127" s="82" t="s"/>
      <x:c r="AO127" s="82" t="s"/>
      <x:c r="AP127" s="82" t="s"/>
      <x:c r="AQ127" s="82" t="s"/>
      <x:c r="AR127" s="82" t="s"/>
      <x:c r="AS127" s="82" t="s"/>
      <x:c r="AT127" s="82" t="s"/>
      <x:c r="AU127" s="82" t="s"/>
      <x:c r="AV127" s="82" t="s"/>
      <x:c r="AW127" s="82" t="s"/>
      <x:c r="AX127" s="82" t="s"/>
      <x:c r="AY127" s="82" t="s"/>
      <x:c r="AZ127" s="82" t="s"/>
      <x:c r="BA127" s="82" t="s"/>
      <x:c r="BB127" s="82" t="s"/>
      <x:c r="BC127" s="82" t="s"/>
      <x:c r="BD127" s="82" t="s"/>
      <x:c r="BE127" s="82" t="s"/>
      <x:c r="BF127" s="82" t="s"/>
      <x:c r="BG127" s="82" t="s"/>
      <x:c r="BH127" s="82" t="s"/>
      <x:c r="BI127" s="82" t="s"/>
      <x:c r="BJ127" s="82" t="s"/>
      <x:c r="BK127" s="82" t="s"/>
      <x:c r="BL127" s="82" t="s"/>
      <x:c r="BM127" s="82" t="s"/>
      <x:c r="BN127" s="82" t="s"/>
      <x:c r="BO127" s="82" t="s"/>
      <x:c r="BP127" s="82" t="s"/>
      <x:c r="BQ127" s="82" t="s"/>
      <x:c r="BR127" s="82" t="s"/>
    </x:row>
    <x:row r="128" spans="1:70" x14ac:dyDescent="0.25">
      <x:c r="A128" s="82" t="s">
        <x:v>106</x:v>
      </x:c>
      <x:c r="B128" s="82" t="s">
        <x:v>107</x:v>
      </x:c>
      <x:c r="C128" s="82" t="s">
        <x:v>24</x:v>
      </x:c>
      <x:c r="D128" s="85">
        <x:v>42107</x:v>
      </x:c>
      <x:c r="E128" s="82" t="n">
        <x:v>29714</x:v>
      </x:c>
      <x:c r="F128" s="102" t="n">
        <x:v>88.332</x:v>
      </x:c>
      <x:c r="G128" s="102" t="n">
        <x:v>89.028</x:v>
      </x:c>
      <x:c r="H128" s="82" t="s"/>
      <x:c r="I128" s="82" t="s"/>
      <x:c r="J128" s="82" t="s"/>
      <x:c r="K128" s="82" t="s"/>
      <x:c r="L128" s="82" t="s"/>
      <x:c r="M128" s="82" t="s"/>
      <x:c r="N128" s="82" t="s"/>
      <x:c r="O128" s="82" t="s"/>
      <x:c r="P128" s="82" t="s"/>
      <x:c r="Q128" s="82" t="s"/>
      <x:c r="R128" s="82" t="s"/>
      <x:c r="S128" s="82" t="s"/>
      <x:c r="T128" s="82" t="s"/>
      <x:c r="U128" s="82" t="s"/>
      <x:c r="V128" s="82" t="s"/>
      <x:c r="W128" s="82" t="s"/>
      <x:c r="X128" s="82" t="s"/>
      <x:c r="Y128" s="82" t="s"/>
      <x:c r="Z128" s="82" t="s"/>
      <x:c r="AA128" s="82" t="s"/>
      <x:c r="AB128" s="82" t="s"/>
      <x:c r="AC128" s="82" t="s"/>
      <x:c r="AD128" s="82" t="s"/>
      <x:c r="AE128" s="82" t="s"/>
      <x:c r="AF128" s="82" t="s"/>
      <x:c r="AG128" s="82" t="s"/>
      <x:c r="AH128" s="82" t="s"/>
      <x:c r="AI128" s="82" t="s"/>
      <x:c r="AJ128" s="82" t="s"/>
      <x:c r="AK128" s="82" t="s"/>
      <x:c r="AL128" s="82" t="s"/>
      <x:c r="AM128" s="82" t="s"/>
      <x:c r="AN128" s="82" t="s"/>
      <x:c r="AO128" s="82" t="s"/>
      <x:c r="AP128" s="82" t="s"/>
      <x:c r="AQ128" s="82" t="s"/>
      <x:c r="AR128" s="82" t="s"/>
      <x:c r="AS128" s="82" t="s"/>
      <x:c r="AT128" s="82" t="s"/>
      <x:c r="AU128" s="82" t="s"/>
      <x:c r="AV128" s="82" t="s"/>
      <x:c r="AW128" s="82" t="s"/>
      <x:c r="AX128" s="82" t="s"/>
      <x:c r="AY128" s="82" t="s"/>
      <x:c r="AZ128" s="82" t="s"/>
      <x:c r="BA128" s="82" t="s"/>
      <x:c r="BB128" s="82" t="s"/>
      <x:c r="BC128" s="82" t="s"/>
      <x:c r="BD128" s="82" t="s"/>
      <x:c r="BE128" s="82" t="s"/>
      <x:c r="BF128" s="82" t="s"/>
      <x:c r="BG128" s="82" t="s"/>
      <x:c r="BH128" s="82" t="s"/>
      <x:c r="BI128" s="82" t="s"/>
      <x:c r="BJ128" s="82" t="s"/>
      <x:c r="BK128" s="82" t="s"/>
      <x:c r="BL128" s="82" t="s"/>
      <x:c r="BM128" s="82" t="s"/>
      <x:c r="BN128" s="82" t="s"/>
      <x:c r="BO128" s="82" t="s"/>
      <x:c r="BP128" s="82" t="s"/>
      <x:c r="BQ128" s="82" t="s"/>
      <x:c r="BR128" s="82" t="s"/>
    </x:row>
    <x:row r="129" spans="1:70" x14ac:dyDescent="0.25">
      <x:c r="A129" s="82" t="s">
        <x:v>106</x:v>
      </x:c>
      <x:c r="B129" s="82" t="s">
        <x:v>107</x:v>
      </x:c>
      <x:c r="C129" s="82" t="s">
        <x:v>117</x:v>
      </x:c>
      <x:c r="D129" s="85">
        <x:v>42107</x:v>
      </x:c>
      <x:c r="E129" s="82" t="n">
        <x:v>29714</x:v>
      </x:c>
      <x:c r="F129" s="82" t="n">
        <x:v>1</x:v>
      </x:c>
      <x:c r="G129" s="82" t="n">
        <x:v>1</x:v>
      </x:c>
      <x:c r="H129" s="82" t="s"/>
      <x:c r="I129" s="82" t="s"/>
      <x:c r="J129" s="82" t="s"/>
      <x:c r="K129" s="82" t="s"/>
      <x:c r="L129" s="82" t="s"/>
      <x:c r="M129" s="82" t="s"/>
      <x:c r="N129" s="82" t="s"/>
      <x:c r="O129" s="82" t="s"/>
      <x:c r="P129" s="82" t="s"/>
      <x:c r="Q129" s="82" t="s"/>
      <x:c r="R129" s="82" t="s"/>
      <x:c r="S129" s="82" t="s"/>
      <x:c r="T129" s="82" t="s"/>
      <x:c r="U129" s="82" t="s"/>
      <x:c r="V129" s="82" t="s"/>
      <x:c r="W129" s="82" t="s"/>
      <x:c r="X129" s="82" t="s"/>
      <x:c r="Y129" s="82" t="s"/>
      <x:c r="Z129" s="82" t="s"/>
      <x:c r="AA129" s="82" t="s"/>
      <x:c r="AB129" s="82" t="s"/>
      <x:c r="AC129" s="82" t="s"/>
      <x:c r="AD129" s="82" t="s"/>
      <x:c r="AE129" s="82" t="s"/>
      <x:c r="AF129" s="82" t="s"/>
      <x:c r="AG129" s="82" t="s"/>
      <x:c r="AH129" s="82" t="s"/>
      <x:c r="AI129" s="82" t="s"/>
      <x:c r="AJ129" s="82" t="s"/>
      <x:c r="AK129" s="82" t="s"/>
      <x:c r="AL129" s="82" t="s"/>
      <x:c r="AM129" s="82" t="s"/>
      <x:c r="AN129" s="82" t="s"/>
      <x:c r="AO129" s="82" t="s"/>
      <x:c r="AP129" s="82" t="s"/>
      <x:c r="AQ129" s="82" t="s"/>
      <x:c r="AR129" s="82" t="s"/>
      <x:c r="AS129" s="82" t="s"/>
      <x:c r="AT129" s="82" t="s"/>
      <x:c r="AU129" s="82" t="s"/>
      <x:c r="AV129" s="82" t="s"/>
      <x:c r="AW129" s="82" t="s"/>
      <x:c r="AX129" s="82" t="s"/>
      <x:c r="AY129" s="82" t="s"/>
      <x:c r="AZ129" s="82" t="s"/>
      <x:c r="BA129" s="82" t="s"/>
      <x:c r="BB129" s="82" t="s"/>
      <x:c r="BC129" s="82" t="s"/>
      <x:c r="BD129" s="82" t="s"/>
      <x:c r="BE129" s="82" t="s"/>
      <x:c r="BF129" s="82" t="s"/>
      <x:c r="BG129" s="82" t="s"/>
      <x:c r="BH129" s="82" t="s"/>
      <x:c r="BI129" s="82" t="s"/>
      <x:c r="BJ129" s="82" t="s"/>
      <x:c r="BK129" s="82" t="s"/>
      <x:c r="BL129" s="82" t="s"/>
      <x:c r="BM129" s="82" t="s"/>
      <x:c r="BN129" s="82" t="s"/>
      <x:c r="BO129" s="82" t="s"/>
      <x:c r="BP129" s="82" t="s"/>
      <x:c r="BQ129" s="82" t="s"/>
      <x:c r="BR129" s="82" t="s"/>
    </x:row>
    <x:row r="130" spans="1:70" x14ac:dyDescent="0.25">
      <x:c r="A130" s="82" t="s">
        <x:v>106</x:v>
      </x:c>
      <x:c r="B130" s="82" t="s">
        <x:v>107</x:v>
      </x:c>
      <x:c r="C130" s="82" t="s">
        <x:v>118</x:v>
      </x:c>
      <x:c r="D130" s="85">
        <x:v>42107</x:v>
      </x:c>
      <x:c r="E130" s="82" t="n">
        <x:v>29714</x:v>
      </x:c>
      <x:c r="F130" s="90" t="n">
        <x:v>92.84</x:v>
      </x:c>
      <x:c r="G130" s="90" t="n">
        <x:v>93.63</x:v>
      </x:c>
      <x:c r="H130" s="82" t="s"/>
      <x:c r="I130" s="82" t="s"/>
      <x:c r="J130" s="82" t="s"/>
      <x:c r="K130" s="82" t="s"/>
      <x:c r="L130" s="82" t="s"/>
      <x:c r="M130" s="82" t="s"/>
      <x:c r="N130" s="82" t="s"/>
      <x:c r="O130" s="82" t="s"/>
      <x:c r="P130" s="82" t="s"/>
      <x:c r="Q130" s="82" t="s"/>
      <x:c r="R130" s="82" t="s"/>
      <x:c r="S130" s="82" t="s"/>
      <x:c r="T130" s="82" t="s"/>
      <x:c r="U130" s="82" t="s"/>
      <x:c r="V130" s="82" t="s"/>
      <x:c r="W130" s="82" t="s"/>
      <x:c r="X130" s="82" t="s"/>
      <x:c r="Y130" s="82" t="s"/>
      <x:c r="Z130" s="82" t="s"/>
      <x:c r="AA130" s="82" t="s"/>
      <x:c r="AB130" s="82" t="s"/>
      <x:c r="AC130" s="82" t="s"/>
      <x:c r="AD130" s="82" t="s"/>
      <x:c r="AE130" s="82" t="s"/>
      <x:c r="AF130" s="82" t="s"/>
      <x:c r="AG130" s="82" t="s"/>
      <x:c r="AH130" s="82" t="s"/>
      <x:c r="AI130" s="82" t="s"/>
      <x:c r="AJ130" s="82" t="s"/>
      <x:c r="AK130" s="82" t="s"/>
      <x:c r="AL130" s="82" t="s"/>
      <x:c r="AM130" s="82" t="s"/>
      <x:c r="AN130" s="82" t="s"/>
      <x:c r="AO130" s="82" t="s"/>
      <x:c r="AP130" s="82" t="s"/>
      <x:c r="AQ130" s="82" t="s"/>
      <x:c r="AR130" s="82" t="s"/>
      <x:c r="AS130" s="82" t="s"/>
      <x:c r="AT130" s="82" t="s"/>
      <x:c r="AU130" s="82" t="s"/>
      <x:c r="AV130" s="82" t="s"/>
      <x:c r="AW130" s="82" t="s"/>
      <x:c r="AX130" s="82" t="s"/>
      <x:c r="AY130" s="82" t="s"/>
      <x:c r="AZ130" s="82" t="s"/>
      <x:c r="BA130" s="82" t="s"/>
      <x:c r="BB130" s="82" t="s"/>
      <x:c r="BC130" s="82" t="s"/>
      <x:c r="BD130" s="82" t="s"/>
      <x:c r="BE130" s="82" t="s"/>
      <x:c r="BF130" s="82" t="s"/>
      <x:c r="BG130" s="82" t="s"/>
      <x:c r="BH130" s="82" t="s"/>
      <x:c r="BI130" s="82" t="s"/>
      <x:c r="BJ130" s="82" t="s"/>
      <x:c r="BK130" s="82" t="s"/>
      <x:c r="BL130" s="82" t="s"/>
      <x:c r="BM130" s="82" t="s"/>
      <x:c r="BN130" s="82" t="s"/>
      <x:c r="BO130" s="82" t="s"/>
      <x:c r="BP130" s="82" t="s"/>
      <x:c r="BQ130" s="82" t="s"/>
      <x:c r="BR130" s="82" t="s"/>
    </x:row>
    <x:row r="131" spans="1:70" x14ac:dyDescent="0.25">
      <x:c r="A131" s="82" t="s">
        <x:v>106</x:v>
      </x:c>
      <x:c r="B131" s="82" t="s">
        <x:v>107</x:v>
      </x:c>
      <x:c r="C131" s="82" t="s">
        <x:v>119</x:v>
      </x:c>
      <x:c r="D131" s="85">
        <x:v>42107</x:v>
      </x:c>
      <x:c r="E131" s="82" t="n">
        <x:v>29714</x:v>
      </x:c>
      <x:c r="F131" s="90" t="n">
        <x:v>90.72</x:v>
      </x:c>
      <x:c r="G131" s="90" t="n">
        <x:v>90.26</x:v>
      </x:c>
      <x:c r="H131" s="82" t="s"/>
      <x:c r="I131" s="82" t="s"/>
      <x:c r="J131" s="82" t="s"/>
      <x:c r="K131" s="82" t="s"/>
      <x:c r="L131" s="82" t="s"/>
      <x:c r="M131" s="82" t="s"/>
      <x:c r="N131" s="82" t="s"/>
      <x:c r="O131" s="82" t="s"/>
      <x:c r="P131" s="82" t="s"/>
      <x:c r="Q131" s="82" t="s"/>
      <x:c r="R131" s="82" t="s"/>
      <x:c r="S131" s="82" t="s"/>
      <x:c r="T131" s="82" t="s"/>
      <x:c r="U131" s="82" t="s"/>
      <x:c r="V131" s="82" t="s"/>
      <x:c r="W131" s="82" t="s"/>
      <x:c r="X131" s="82" t="s"/>
      <x:c r="Y131" s="82" t="s"/>
      <x:c r="Z131" s="82" t="s"/>
      <x:c r="AA131" s="82" t="s"/>
      <x:c r="AB131" s="82" t="s"/>
      <x:c r="AC131" s="82" t="s"/>
      <x:c r="AD131" s="82" t="s"/>
      <x:c r="AE131" s="82" t="s"/>
      <x:c r="AF131" s="82" t="s"/>
      <x:c r="AG131" s="82" t="s"/>
      <x:c r="AH131" s="82" t="s"/>
      <x:c r="AI131" s="82" t="s"/>
      <x:c r="AJ131" s="82" t="s"/>
      <x:c r="AK131" s="82" t="s"/>
      <x:c r="AL131" s="82" t="s"/>
      <x:c r="AM131" s="82" t="s"/>
      <x:c r="AN131" s="82" t="s"/>
      <x:c r="AO131" s="82" t="s"/>
      <x:c r="AP131" s="82" t="s"/>
      <x:c r="AQ131" s="82" t="s"/>
      <x:c r="AR131" s="82" t="s"/>
      <x:c r="AS131" s="82" t="s"/>
      <x:c r="AT131" s="82" t="s"/>
      <x:c r="AU131" s="82" t="s"/>
      <x:c r="AV131" s="82" t="s"/>
      <x:c r="AW131" s="82" t="s"/>
      <x:c r="AX131" s="82" t="s"/>
      <x:c r="AY131" s="82" t="s"/>
      <x:c r="AZ131" s="82" t="s"/>
      <x:c r="BA131" s="82" t="s"/>
      <x:c r="BB131" s="82" t="s"/>
      <x:c r="BC131" s="82" t="s"/>
      <x:c r="BD131" s="82" t="s"/>
      <x:c r="BE131" s="82" t="s"/>
      <x:c r="BF131" s="82" t="s"/>
      <x:c r="BG131" s="82" t="s"/>
      <x:c r="BH131" s="82" t="s"/>
      <x:c r="BI131" s="82" t="s"/>
      <x:c r="BJ131" s="82" t="s"/>
      <x:c r="BK131" s="82" t="s"/>
      <x:c r="BL131" s="82" t="s"/>
      <x:c r="BM131" s="82" t="s"/>
      <x:c r="BN131" s="82" t="s"/>
      <x:c r="BO131" s="82" t="s"/>
      <x:c r="BP131" s="82" t="s"/>
      <x:c r="BQ131" s="82" t="s"/>
      <x:c r="BR131" s="82" t="s"/>
    </x:row>
    <x:row r="132" spans="1:70" x14ac:dyDescent="0.25">
      <x:c r="A132" s="82" t="s">
        <x:v>106</x:v>
      </x:c>
      <x:c r="B132" s="82" t="s">
        <x:v>107</x:v>
      </x:c>
      <x:c r="C132" s="82" t="s">
        <x:v>120</x:v>
      </x:c>
      <x:c r="D132" s="85">
        <x:v>42107</x:v>
      </x:c>
      <x:c r="E132" s="82" t="n">
        <x:v>29714</x:v>
      </x:c>
      <x:c r="F132" s="90" t="n">
        <x:v>-2.12</x:v>
      </x:c>
      <x:c r="G132" s="90" t="n">
        <x:v>-3.36999999999999</x:v>
      </x:c>
      <x:c r="H132" s="82" t="s"/>
      <x:c r="I132" s="82" t="s"/>
      <x:c r="J132" s="82" t="s"/>
      <x:c r="K132" s="82" t="s"/>
      <x:c r="L132" s="82" t="s"/>
      <x:c r="M132" s="82" t="s"/>
      <x:c r="N132" s="82" t="s"/>
      <x:c r="O132" s="82" t="s"/>
      <x:c r="P132" s="82" t="s"/>
      <x:c r="Q132" s="82" t="s"/>
      <x:c r="R132" s="82" t="s"/>
      <x:c r="S132" s="82" t="s"/>
      <x:c r="T132" s="82" t="s"/>
      <x:c r="U132" s="82" t="s"/>
      <x:c r="V132" s="82" t="s"/>
      <x:c r="W132" s="82" t="s"/>
      <x:c r="X132" s="82" t="s"/>
      <x:c r="Y132" s="82" t="s"/>
      <x:c r="Z132" s="82" t="s"/>
      <x:c r="AA132" s="82" t="s"/>
      <x:c r="AB132" s="82" t="s"/>
      <x:c r="AC132" s="82" t="s"/>
      <x:c r="AD132" s="82" t="s"/>
      <x:c r="AE132" s="82" t="s"/>
      <x:c r="AF132" s="82" t="s"/>
      <x:c r="AG132" s="82" t="s"/>
      <x:c r="AH132" s="82" t="s"/>
      <x:c r="AI132" s="82" t="s"/>
      <x:c r="AJ132" s="82" t="s"/>
      <x:c r="AK132" s="82" t="s"/>
      <x:c r="AL132" s="82" t="s"/>
      <x:c r="AM132" s="82" t="s"/>
      <x:c r="AN132" s="82" t="s"/>
      <x:c r="AO132" s="82" t="s"/>
      <x:c r="AP132" s="82" t="s"/>
      <x:c r="AQ132" s="82" t="s"/>
      <x:c r="AR132" s="82" t="s"/>
      <x:c r="AS132" s="82" t="s"/>
      <x:c r="AT132" s="82" t="s"/>
      <x:c r="AU132" s="82" t="s"/>
      <x:c r="AV132" s="82" t="s"/>
      <x:c r="AW132" s="82" t="s"/>
      <x:c r="AX132" s="82" t="s"/>
      <x:c r="AY132" s="82" t="s"/>
      <x:c r="AZ132" s="82" t="s"/>
      <x:c r="BA132" s="82" t="s"/>
      <x:c r="BB132" s="82" t="s"/>
      <x:c r="BC132" s="82" t="s"/>
      <x:c r="BD132" s="82" t="s"/>
      <x:c r="BE132" s="82" t="s"/>
      <x:c r="BF132" s="82" t="s"/>
      <x:c r="BG132" s="82" t="s"/>
      <x:c r="BH132" s="82" t="s"/>
      <x:c r="BI132" s="82" t="s"/>
      <x:c r="BJ132" s="82" t="s"/>
      <x:c r="BK132" s="82" t="s"/>
      <x:c r="BL132" s="82" t="s"/>
      <x:c r="BM132" s="82" t="s"/>
      <x:c r="BN132" s="82" t="s"/>
      <x:c r="BO132" s="82" t="s"/>
      <x:c r="BP132" s="82" t="s"/>
      <x:c r="BQ132" s="82" t="s"/>
      <x:c r="BR132" s="82" t="s"/>
    </x:row>
    <x:row r="133" spans="1:70" customFormat="1" ht="15.75" customHeight="1" thickBot="1" x14ac:dyDescent="0.3">
      <x:c r="A133" s="106" t="s">
        <x:v>106</x:v>
      </x:c>
      <x:c r="B133" s="106" t="s">
        <x:v>107</x:v>
      </x:c>
      <x:c r="C133" s="106" t="s">
        <x:v>121</x:v>
      </x:c>
      <x:c r="D133" s="105">
        <x:v>42107</x:v>
      </x:c>
      <x:c r="E133" s="106" t="n">
        <x:v>29714</x:v>
      </x:c>
      <x:c r="F133" s="126" t="n">
        <x:v>96.44</x:v>
      </x:c>
      <x:c r="G133" s="126" t="n">
        <x:v>98.03</x:v>
      </x:c>
      <x:c r="H133" s="106" t="s"/>
      <x:c r="I133" s="106" t="s"/>
      <x:c r="J133" s="82" t="s"/>
      <x:c r="K133" s="82" t="s"/>
      <x:c r="L133" s="82" t="s"/>
      <x:c r="M133" s="82" t="s"/>
      <x:c r="N133" s="82" t="s"/>
      <x:c r="O133" s="82" t="s"/>
      <x:c r="P133" s="82" t="s"/>
      <x:c r="Q133" s="82" t="s"/>
      <x:c r="R133" s="82" t="s"/>
      <x:c r="S133" s="82" t="s"/>
      <x:c r="T133" s="82" t="s"/>
      <x:c r="U133" s="82" t="s"/>
      <x:c r="V133" s="82" t="s"/>
      <x:c r="W133" s="82" t="s"/>
      <x:c r="X133" s="82" t="s"/>
      <x:c r="Y133" s="82" t="s"/>
      <x:c r="Z133" s="82" t="s"/>
      <x:c r="AA133" s="82" t="s"/>
      <x:c r="AB133" s="82" t="s"/>
      <x:c r="AC133" s="82" t="s"/>
      <x:c r="AD133" s="82" t="s"/>
      <x:c r="AE133" s="82" t="s"/>
      <x:c r="AF133" s="82" t="s"/>
      <x:c r="AG133" s="82" t="s"/>
      <x:c r="AH133" s="82" t="s"/>
      <x:c r="AI133" s="82" t="s"/>
      <x:c r="AJ133" s="82" t="s"/>
      <x:c r="AK133" s="82" t="s"/>
      <x:c r="AL133" s="82" t="s"/>
      <x:c r="AM133" s="82" t="s"/>
      <x:c r="AN133" s="82" t="s"/>
      <x:c r="AO133" s="82" t="s"/>
      <x:c r="AP133" s="82" t="s"/>
      <x:c r="AQ133" s="82" t="s"/>
      <x:c r="AR133" s="82" t="s"/>
      <x:c r="AS133" s="82" t="s"/>
      <x:c r="AT133" s="82" t="s"/>
      <x:c r="AU133" s="82" t="s"/>
      <x:c r="AV133" s="82" t="s"/>
      <x:c r="AW133" s="82" t="s"/>
      <x:c r="AX133" s="82" t="s"/>
      <x:c r="AY133" s="82" t="s"/>
      <x:c r="AZ133" s="82" t="s"/>
      <x:c r="BA133" s="82" t="s"/>
      <x:c r="BB133" s="82" t="s"/>
      <x:c r="BC133" s="82" t="s"/>
      <x:c r="BD133" s="82" t="s"/>
      <x:c r="BE133" s="82" t="s"/>
      <x:c r="BF133" s="82" t="s"/>
      <x:c r="BG133" s="82" t="s"/>
      <x:c r="BH133" s="82" t="s"/>
      <x:c r="BI133" s="82" t="s"/>
      <x:c r="BJ133" s="82" t="s"/>
      <x:c r="BK133" s="82" t="s"/>
      <x:c r="BL133" s="82" t="s"/>
      <x:c r="BM133" s="82" t="s"/>
      <x:c r="BN133" s="82" t="s"/>
      <x:c r="BO133" s="82" t="s"/>
      <x:c r="BP133" s="82" t="s"/>
      <x:c r="BQ133" s="82" t="s"/>
      <x:c r="BR133" s="82" t="s"/>
    </x:row>
    <x:row r="134" spans="1:70" x14ac:dyDescent="0.25">
      <x:c r="A134" s="82" t="s">
        <x:v>106</x:v>
      </x:c>
      <x:c r="B134" s="82" t="s">
        <x:v>107</x:v>
      </x:c>
      <x:c r="C134" s="82" t="s">
        <x:v>108</x:v>
      </x:c>
      <x:c r="D134" s="85">
        <x:v>42107</x:v>
      </x:c>
      <x:c r="E134" s="82" t="n">
        <x:v>29724</x:v>
      </x:c>
      <x:c r="F134" s="86" t="n">
        <x:v>0.243435596307854</x:v>
      </x:c>
      <x:c r="G134" s="86" t="n">
        <x:v>0.114420252572638</x:v>
      </x:c>
      <x:c r="H134" s="86" t="n">
        <x:v>0.24468147472703</x:v>
      </x:c>
      <x:c r="I134" s="86" t="n">
        <x:v>0.13679449739715</x:v>
      </x:c>
      <x:c r="J134" s="82" t="s"/>
      <x:c r="K134" s="82" t="s"/>
      <x:c r="L134" s="82" t="s"/>
      <x:c r="M134" s="82" t="s"/>
      <x:c r="N134" s="82" t="s"/>
      <x:c r="O134" s="82" t="s"/>
      <x:c r="P134" s="82" t="s"/>
      <x:c r="Q134" s="82" t="s"/>
      <x:c r="R134" s="82" t="s"/>
      <x:c r="S134" s="82" t="s"/>
      <x:c r="T134" s="82" t="s"/>
      <x:c r="U134" s="82" t="s"/>
      <x:c r="V134" s="82" t="s"/>
      <x:c r="W134" s="82" t="s"/>
      <x:c r="X134" s="82" t="s"/>
      <x:c r="Y134" s="82" t="s"/>
      <x:c r="Z134" s="82" t="s"/>
      <x:c r="AA134" s="82" t="s"/>
      <x:c r="AB134" s="82" t="s"/>
      <x:c r="AC134" s="82" t="s"/>
      <x:c r="AD134" s="82" t="s"/>
      <x:c r="AE134" s="82" t="s"/>
      <x:c r="AF134" s="82" t="s"/>
      <x:c r="AG134" s="82" t="s"/>
      <x:c r="AH134" s="82" t="s"/>
      <x:c r="AI134" s="82" t="s"/>
      <x:c r="AJ134" s="82" t="s"/>
      <x:c r="AK134" s="82" t="s"/>
      <x:c r="AL134" s="82" t="s"/>
      <x:c r="AM134" s="82" t="s"/>
      <x:c r="AN134" s="82" t="s"/>
      <x:c r="AO134" s="82" t="s"/>
      <x:c r="AP134" s="82" t="s"/>
      <x:c r="AQ134" s="82" t="s"/>
      <x:c r="AR134" s="82" t="s"/>
      <x:c r="AS134" s="82" t="s"/>
      <x:c r="AT134" s="82" t="s"/>
      <x:c r="AU134" s="82" t="s"/>
      <x:c r="AV134" s="82" t="s"/>
      <x:c r="AW134" s="82" t="s"/>
      <x:c r="AX134" s="82" t="s"/>
      <x:c r="AY134" s="82" t="s"/>
      <x:c r="AZ134" s="82" t="s"/>
      <x:c r="BA134" s="82" t="s"/>
      <x:c r="BB134" s="82" t="s"/>
      <x:c r="BC134" s="82" t="s"/>
      <x:c r="BD134" s="82" t="s"/>
      <x:c r="BE134" s="82" t="s"/>
      <x:c r="BF134" s="82" t="s"/>
      <x:c r="BG134" s="82" t="s"/>
      <x:c r="BH134" s="82" t="s"/>
      <x:c r="BI134" s="82" t="s"/>
      <x:c r="BJ134" s="82" t="s"/>
      <x:c r="BK134" s="82" t="s"/>
      <x:c r="BL134" s="82" t="s"/>
      <x:c r="BM134" s="82" t="s"/>
      <x:c r="BN134" s="82" t="s"/>
      <x:c r="BO134" s="82" t="s"/>
      <x:c r="BP134" s="82" t="s"/>
      <x:c r="BQ134" s="82" t="s"/>
      <x:c r="BR134" s="82" t="s"/>
    </x:row>
    <x:row r="135" spans="1:70" x14ac:dyDescent="0.25">
      <x:c r="A135" s="82" t="s">
        <x:v>106</x:v>
      </x:c>
      <x:c r="B135" s="82" t="s">
        <x:v>107</x:v>
      </x:c>
      <x:c r="C135" s="82" t="s">
        <x:v>109</x:v>
      </x:c>
      <x:c r="D135" s="85">
        <x:v>42107</x:v>
      </x:c>
      <x:c r="E135" s="82" t="n">
        <x:v>29724</x:v>
      </x:c>
      <x:c r="F135" s="86" t="n">
        <x:v>3.43864767180213</x:v>
      </x:c>
      <x:c r="G135" s="86" t="n">
        <x:v>2.33400907606171</x:v>
      </x:c>
      <x:c r="H135" s="86" t="n">
        <x:v>3.04575162290607</x:v>
      </x:c>
      <x:c r="I135" s="86" t="n">
        <x:v>2.28171882166726</x:v>
      </x:c>
      <x:c r="J135" s="82" t="s"/>
      <x:c r="K135" s="82" t="s"/>
      <x:c r="L135" s="82" t="s"/>
      <x:c r="M135" s="82" t="s"/>
      <x:c r="N135" s="82" t="s"/>
      <x:c r="O135" s="82" t="s"/>
      <x:c r="P135" s="82" t="s"/>
      <x:c r="Q135" s="82" t="s"/>
      <x:c r="R135" s="82" t="s"/>
      <x:c r="S135" s="82" t="s"/>
      <x:c r="T135" s="82" t="s"/>
      <x:c r="U135" s="82" t="s"/>
      <x:c r="V135" s="82" t="s"/>
      <x:c r="W135" s="82" t="s"/>
      <x:c r="X135" s="82" t="s"/>
      <x:c r="Y135" s="82" t="s"/>
      <x:c r="Z135" s="82" t="s"/>
      <x:c r="AA135" s="82" t="s"/>
      <x:c r="AB135" s="82" t="s"/>
      <x:c r="AC135" s="82" t="s"/>
      <x:c r="AD135" s="82" t="s"/>
      <x:c r="AE135" s="82" t="s"/>
      <x:c r="AF135" s="82" t="s"/>
      <x:c r="AG135" s="82" t="s"/>
      <x:c r="AH135" s="82" t="s"/>
      <x:c r="AI135" s="82" t="s"/>
      <x:c r="AJ135" s="82" t="s"/>
      <x:c r="AK135" s="82" t="s"/>
      <x:c r="AL135" s="82" t="s"/>
      <x:c r="AM135" s="82" t="s"/>
      <x:c r="AN135" s="82" t="s"/>
      <x:c r="AO135" s="82" t="s"/>
      <x:c r="AP135" s="82" t="s"/>
      <x:c r="AQ135" s="82" t="s"/>
      <x:c r="AR135" s="82" t="s"/>
      <x:c r="AS135" s="82" t="s"/>
      <x:c r="AT135" s="82" t="s"/>
      <x:c r="AU135" s="82" t="s"/>
      <x:c r="AV135" s="82" t="s"/>
      <x:c r="AW135" s="82" t="s"/>
      <x:c r="AX135" s="82" t="s"/>
      <x:c r="AY135" s="82" t="s"/>
      <x:c r="AZ135" s="82" t="s"/>
      <x:c r="BA135" s="82" t="s"/>
      <x:c r="BB135" s="82" t="s"/>
      <x:c r="BC135" s="82" t="s"/>
      <x:c r="BD135" s="82" t="s"/>
      <x:c r="BE135" s="82" t="s"/>
      <x:c r="BF135" s="82" t="s"/>
      <x:c r="BG135" s="82" t="s"/>
      <x:c r="BH135" s="82" t="s"/>
      <x:c r="BI135" s="82" t="s"/>
      <x:c r="BJ135" s="82" t="s"/>
      <x:c r="BK135" s="82" t="s"/>
      <x:c r="BL135" s="82" t="s"/>
      <x:c r="BM135" s="82" t="s"/>
      <x:c r="BN135" s="82" t="s"/>
      <x:c r="BO135" s="82" t="s"/>
      <x:c r="BP135" s="82" t="s"/>
      <x:c r="BQ135" s="82" t="s"/>
      <x:c r="BR135" s="82" t="s"/>
    </x:row>
    <x:row r="136" spans="1:70" x14ac:dyDescent="0.25">
      <x:c r="A136" s="82" t="s">
        <x:v>106</x:v>
      </x:c>
      <x:c r="B136" s="82" t="s">
        <x:v>107</x:v>
      </x:c>
      <x:c r="C136" s="82" t="s">
        <x:v>110</x:v>
      </x:c>
      <x:c r="D136" s="85">
        <x:v>42107</x:v>
      </x:c>
      <x:c r="E136" s="82" t="n">
        <x:v>29724</x:v>
      </x:c>
      <x:c r="F136" s="86" t="n">
        <x:v>0.359577050506991</x:v>
      </x:c>
      <x:c r="G136" s="127" t="n">
        <x:v>0.407422925561257</x:v>
      </x:c>
      <x:c r="H136" s="86" t="n">
        <x:v>0.298811247592363</x:v>
      </x:c>
      <x:c r="I136" s="86" t="n">
        <x:v>0.323425095440949</x:v>
      </x:c>
      <x:c r="J136" s="82" t="s"/>
      <x:c r="K136" s="82" t="s"/>
      <x:c r="L136" s="82" t="s"/>
      <x:c r="M136" s="82" t="s"/>
      <x:c r="N136" s="82" t="s"/>
      <x:c r="O136" s="82" t="s"/>
      <x:c r="P136" s="82" t="s"/>
      <x:c r="Q136" s="82" t="s"/>
      <x:c r="R136" s="82" t="s"/>
      <x:c r="S136" s="82" t="s"/>
      <x:c r="T136" s="82" t="s"/>
      <x:c r="U136" s="82" t="s"/>
      <x:c r="V136" s="82" t="s"/>
      <x:c r="W136" s="82" t="s"/>
      <x:c r="X136" s="82" t="s"/>
      <x:c r="Y136" s="82" t="s"/>
      <x:c r="Z136" s="82" t="s"/>
      <x:c r="AA136" s="82" t="s"/>
      <x:c r="AB136" s="82" t="s"/>
      <x:c r="AC136" s="82" t="s"/>
      <x:c r="AD136" s="82" t="s"/>
      <x:c r="AE136" s="82" t="s"/>
      <x:c r="AF136" s="82" t="s"/>
      <x:c r="AG136" s="82" t="s"/>
      <x:c r="AH136" s="82" t="s"/>
      <x:c r="AI136" s="82" t="s"/>
      <x:c r="AJ136" s="82" t="s"/>
      <x:c r="AK136" s="82" t="s"/>
      <x:c r="AL136" s="82" t="s"/>
      <x:c r="AM136" s="82" t="s"/>
      <x:c r="AN136" s="82" t="s"/>
      <x:c r="AO136" s="82" t="s"/>
      <x:c r="AP136" s="82" t="s"/>
      <x:c r="AQ136" s="82" t="s"/>
      <x:c r="AR136" s="82" t="s"/>
      <x:c r="AS136" s="82" t="s"/>
      <x:c r="AT136" s="82" t="s"/>
      <x:c r="AU136" s="82" t="s"/>
      <x:c r="AV136" s="82" t="s"/>
      <x:c r="AW136" s="82" t="s"/>
      <x:c r="AX136" s="82" t="s"/>
      <x:c r="AY136" s="82" t="s"/>
      <x:c r="AZ136" s="82" t="s"/>
      <x:c r="BA136" s="82" t="s"/>
      <x:c r="BB136" s="82" t="s"/>
      <x:c r="BC136" s="82" t="s"/>
      <x:c r="BD136" s="82" t="s"/>
      <x:c r="BE136" s="82" t="s"/>
      <x:c r="BF136" s="82" t="s"/>
      <x:c r="BG136" s="82" t="s"/>
      <x:c r="BH136" s="82" t="s"/>
      <x:c r="BI136" s="82" t="s"/>
      <x:c r="BJ136" s="82" t="s"/>
      <x:c r="BK136" s="82" t="s"/>
      <x:c r="BL136" s="82" t="s"/>
      <x:c r="BM136" s="82" t="s"/>
      <x:c r="BN136" s="82" t="s"/>
      <x:c r="BO136" s="82" t="s"/>
      <x:c r="BP136" s="82" t="s"/>
      <x:c r="BQ136" s="82" t="s"/>
      <x:c r="BR136" s="82" t="s"/>
    </x:row>
    <x:row r="137" spans="1:70" x14ac:dyDescent="0.25">
      <x:c r="A137" s="82" t="s">
        <x:v>106</x:v>
      </x:c>
      <x:c r="B137" s="82" t="s">
        <x:v>107</x:v>
      </x:c>
      <x:c r="C137" s="82" t="s">
        <x:v>111</x:v>
      </x:c>
      <x:c r="D137" s="85">
        <x:v>42107</x:v>
      </x:c>
      <x:c r="E137" s="82" t="n">
        <x:v>29724</x:v>
      </x:c>
      <x:c r="F137" s="86" t="n">
        <x:v>4.38669755070788</x:v>
      </x:c>
      <x:c r="G137" s="127" t="n">
        <x:v>5.09558390001398</x:v>
      </x:c>
      <x:c r="H137" s="86" t="n">
        <x:v>4.38053866692765</x:v>
      </x:c>
      <x:c r="I137" s="86" t="n">
        <x:v>5.88166911128288</x:v>
      </x:c>
      <x:c r="J137" s="82" t="s"/>
      <x:c r="K137" s="82" t="s"/>
      <x:c r="L137" s="82" t="s"/>
      <x:c r="M137" s="82" t="s"/>
      <x:c r="N137" s="82" t="s"/>
      <x:c r="O137" s="82" t="s"/>
      <x:c r="P137" s="82" t="s"/>
      <x:c r="Q137" s="82" t="s"/>
      <x:c r="R137" s="82" t="s"/>
      <x:c r="S137" s="82" t="s"/>
      <x:c r="T137" s="82" t="s"/>
      <x:c r="U137" s="82" t="s"/>
      <x:c r="V137" s="82" t="s"/>
      <x:c r="W137" s="82" t="s"/>
      <x:c r="X137" s="82" t="s"/>
      <x:c r="Y137" s="82" t="s"/>
      <x:c r="Z137" s="82" t="s"/>
      <x:c r="AA137" s="82" t="s"/>
      <x:c r="AB137" s="82" t="s"/>
      <x:c r="AC137" s="82" t="s"/>
      <x:c r="AD137" s="82" t="s"/>
      <x:c r="AE137" s="82" t="s"/>
      <x:c r="AF137" s="82" t="s"/>
      <x:c r="AG137" s="82" t="s"/>
      <x:c r="AH137" s="82" t="s"/>
      <x:c r="AI137" s="82" t="s"/>
      <x:c r="AJ137" s="82" t="s"/>
      <x:c r="AK137" s="82" t="s"/>
      <x:c r="AL137" s="82" t="s"/>
      <x:c r="AM137" s="82" t="s"/>
      <x:c r="AN137" s="82" t="s"/>
      <x:c r="AO137" s="82" t="s"/>
      <x:c r="AP137" s="82" t="s"/>
      <x:c r="AQ137" s="82" t="s"/>
      <x:c r="AR137" s="82" t="s"/>
      <x:c r="AS137" s="82" t="s"/>
      <x:c r="AT137" s="82" t="s"/>
      <x:c r="AU137" s="82" t="s"/>
      <x:c r="AV137" s="82" t="s"/>
      <x:c r="AW137" s="82" t="s"/>
      <x:c r="AX137" s="82" t="s"/>
      <x:c r="AY137" s="82" t="s"/>
      <x:c r="AZ137" s="82" t="s"/>
      <x:c r="BA137" s="82" t="s"/>
      <x:c r="BB137" s="82" t="s"/>
      <x:c r="BC137" s="82" t="s"/>
      <x:c r="BD137" s="82" t="s"/>
      <x:c r="BE137" s="82" t="s"/>
      <x:c r="BF137" s="82" t="s"/>
      <x:c r="BG137" s="82" t="s"/>
      <x:c r="BH137" s="82" t="s"/>
      <x:c r="BI137" s="82" t="s"/>
      <x:c r="BJ137" s="82" t="s"/>
      <x:c r="BK137" s="82" t="s"/>
      <x:c r="BL137" s="82" t="s"/>
      <x:c r="BM137" s="82" t="s"/>
      <x:c r="BN137" s="82" t="s"/>
      <x:c r="BO137" s="82" t="s"/>
      <x:c r="BP137" s="82" t="s"/>
      <x:c r="BQ137" s="82" t="s"/>
      <x:c r="BR137" s="82" t="s"/>
    </x:row>
    <x:row r="138" spans="1:70" x14ac:dyDescent="0.25">
      <x:c r="A138" s="82" t="s">
        <x:v>106</x:v>
      </x:c>
      <x:c r="B138" s="82" t="s">
        <x:v>107</x:v>
      </x:c>
      <x:c r="C138" s="82" t="s">
        <x:v>112</x:v>
      </x:c>
      <x:c r="D138" s="85">
        <x:v>42107</x:v>
      </x:c>
      <x:c r="E138" s="82" t="n">
        <x:v>29724</x:v>
      </x:c>
      <x:c r="F138" s="82" t="n">
        <x:v>13.1413714269758</x:v>
      </x:c>
      <x:c r="G138" s="82" t="n">
        <x:v>15.265005141874</x:v>
      </x:c>
      <x:c r="H138" s="82" t="n">
        <x:v>13.1229210600663</x:v>
      </x:c>
      <x:c r="I138" s="82" t="n">
        <x:v>17.6199059790357</x:v>
      </x:c>
      <x:c r="J138" s="82" t="s"/>
      <x:c r="K138" s="82" t="s"/>
      <x:c r="L138" s="82" t="s"/>
      <x:c r="M138" s="82" t="s"/>
      <x:c r="N138" s="82" t="s"/>
      <x:c r="O138" s="82" t="s"/>
      <x:c r="P138" s="82" t="s"/>
      <x:c r="Q138" s="82" t="s"/>
      <x:c r="R138" s="82" t="s"/>
      <x:c r="S138" s="82" t="s"/>
      <x:c r="T138" s="82" t="s"/>
      <x:c r="U138" s="82" t="s"/>
      <x:c r="V138" s="82" t="s"/>
      <x:c r="W138" s="82" t="s"/>
      <x:c r="X138" s="82" t="s"/>
      <x:c r="Y138" s="82" t="s"/>
      <x:c r="Z138" s="82" t="s"/>
      <x:c r="AA138" s="82" t="s"/>
      <x:c r="AB138" s="82" t="s"/>
      <x:c r="AC138" s="82" t="s"/>
      <x:c r="AD138" s="82" t="s"/>
      <x:c r="AE138" s="82" t="s"/>
      <x:c r="AF138" s="82" t="s"/>
      <x:c r="AG138" s="82" t="s"/>
      <x:c r="AH138" s="82" t="s"/>
      <x:c r="AI138" s="82" t="s"/>
      <x:c r="AJ138" s="82" t="s"/>
      <x:c r="AK138" s="82" t="s"/>
      <x:c r="AL138" s="82" t="s"/>
      <x:c r="AM138" s="82" t="s"/>
      <x:c r="AN138" s="82" t="s"/>
      <x:c r="AO138" s="82" t="s"/>
      <x:c r="AP138" s="82" t="s"/>
      <x:c r="AQ138" s="82" t="s"/>
      <x:c r="AR138" s="82" t="s"/>
      <x:c r="AS138" s="82" t="s"/>
      <x:c r="AT138" s="82" t="s"/>
      <x:c r="AU138" s="82" t="s"/>
      <x:c r="AV138" s="82" t="s"/>
      <x:c r="AW138" s="82" t="s"/>
      <x:c r="AX138" s="82" t="s"/>
      <x:c r="AY138" s="82" t="s"/>
      <x:c r="AZ138" s="82" t="s"/>
      <x:c r="BA138" s="82" t="s"/>
      <x:c r="BB138" s="82" t="s"/>
      <x:c r="BC138" s="82" t="s"/>
      <x:c r="BD138" s="82" t="s"/>
      <x:c r="BE138" s="82" t="s"/>
      <x:c r="BF138" s="82" t="s"/>
      <x:c r="BG138" s="82" t="s"/>
      <x:c r="BH138" s="82" t="s"/>
      <x:c r="BI138" s="82" t="s"/>
      <x:c r="BJ138" s="82" t="s"/>
      <x:c r="BK138" s="82" t="s"/>
      <x:c r="BL138" s="82" t="s"/>
      <x:c r="BM138" s="82" t="s"/>
      <x:c r="BN138" s="82" t="s"/>
      <x:c r="BO138" s="82" t="s"/>
      <x:c r="BP138" s="82" t="s"/>
      <x:c r="BQ138" s="82" t="s"/>
      <x:c r="BR138" s="82" t="s"/>
    </x:row>
    <x:row r="139" spans="1:70" x14ac:dyDescent="0.25">
      <x:c r="A139" s="82" t="s">
        <x:v>106</x:v>
      </x:c>
      <x:c r="B139" s="82" t="s">
        <x:v>107</x:v>
      </x:c>
      <x:c r="C139" s="82" t="s">
        <x:v>113</x:v>
      </x:c>
      <x:c r="D139" s="85">
        <x:v>42107</x:v>
      </x:c>
      <x:c r="E139" s="82" t="n">
        <x:v>29724</x:v>
      </x:c>
      <x:c r="F139" s="88" t="n">
        <x:v>-9.091</x:v>
      </x:c>
      <x:c r="G139" s="88" t="n">
        <x:v>-8.789</x:v>
      </x:c>
      <x:c r="H139" s="82" t="s"/>
      <x:c r="I139" s="82" t="s"/>
      <x:c r="J139" s="82" t="s"/>
      <x:c r="K139" s="82" t="s"/>
      <x:c r="L139" s="82" t="s"/>
      <x:c r="M139" s="82" t="s"/>
      <x:c r="N139" s="82" t="s"/>
      <x:c r="O139" s="82" t="s"/>
      <x:c r="P139" s="82" t="s"/>
      <x:c r="Q139" s="82" t="s"/>
      <x:c r="R139" s="82" t="s"/>
      <x:c r="S139" s="82" t="s"/>
      <x:c r="T139" s="82" t="s"/>
      <x:c r="U139" s="82" t="s"/>
      <x:c r="V139" s="82" t="s"/>
      <x:c r="W139" s="82" t="s"/>
      <x:c r="X139" s="82" t="s"/>
      <x:c r="Y139" s="82" t="s"/>
      <x:c r="Z139" s="82" t="s"/>
      <x:c r="AA139" s="82" t="s"/>
      <x:c r="AB139" s="82" t="s"/>
      <x:c r="AC139" s="82" t="s"/>
      <x:c r="AD139" s="82" t="s"/>
      <x:c r="AE139" s="82" t="s"/>
      <x:c r="AF139" s="82" t="s"/>
      <x:c r="AG139" s="82" t="s"/>
      <x:c r="AH139" s="82" t="s"/>
      <x:c r="AI139" s="82" t="s"/>
      <x:c r="AJ139" s="82" t="s"/>
      <x:c r="AK139" s="82" t="s"/>
      <x:c r="AL139" s="82" t="s"/>
      <x:c r="AM139" s="82" t="s"/>
      <x:c r="AN139" s="82" t="s"/>
      <x:c r="AO139" s="82" t="s"/>
      <x:c r="AP139" s="82" t="s"/>
      <x:c r="AQ139" s="82" t="s"/>
      <x:c r="AR139" s="82" t="s"/>
      <x:c r="AS139" s="82" t="s"/>
      <x:c r="AT139" s="82" t="s"/>
      <x:c r="AU139" s="82" t="s"/>
      <x:c r="AV139" s="82" t="s"/>
      <x:c r="AW139" s="82" t="s"/>
      <x:c r="AX139" s="82" t="s"/>
      <x:c r="AY139" s="82" t="s"/>
      <x:c r="AZ139" s="82" t="s"/>
      <x:c r="BA139" s="82" t="s"/>
      <x:c r="BB139" s="82" t="s"/>
      <x:c r="BC139" s="82" t="s"/>
      <x:c r="BD139" s="82" t="s"/>
      <x:c r="BE139" s="82" t="s"/>
      <x:c r="BF139" s="82" t="s"/>
      <x:c r="BG139" s="82" t="s"/>
      <x:c r="BH139" s="82" t="s"/>
      <x:c r="BI139" s="82" t="s"/>
      <x:c r="BJ139" s="82" t="s"/>
      <x:c r="BK139" s="82" t="s"/>
      <x:c r="BL139" s="82" t="s"/>
      <x:c r="BM139" s="82" t="s"/>
      <x:c r="BN139" s="82" t="s"/>
      <x:c r="BO139" s="82" t="s"/>
      <x:c r="BP139" s="82" t="s"/>
      <x:c r="BQ139" s="82" t="s"/>
      <x:c r="BR139" s="82" t="s"/>
    </x:row>
    <x:row r="140" spans="1:70" x14ac:dyDescent="0.25">
      <x:c r="A140" s="82" t="s">
        <x:v>106</x:v>
      </x:c>
      <x:c r="B140" s="82" t="s">
        <x:v>107</x:v>
      </x:c>
      <x:c r="C140" s="82" t="s">
        <x:v>114</x:v>
      </x:c>
      <x:c r="D140" s="85">
        <x:v>42107</x:v>
      </x:c>
      <x:c r="E140" s="82" t="n">
        <x:v>29724</x:v>
      </x:c>
      <x:c r="F140" s="88" t="n">
        <x:v>0.732</x:v>
      </x:c>
      <x:c r="G140" s="88" t="n">
        <x:v>0.916</x:v>
      </x:c>
      <x:c r="H140" s="82" t="s"/>
      <x:c r="I140" s="82" t="s"/>
      <x:c r="J140" s="82" t="s"/>
      <x:c r="K140" s="82" t="s"/>
      <x:c r="L140" s="82" t="s"/>
      <x:c r="M140" s="82" t="s"/>
      <x:c r="N140" s="82" t="s"/>
      <x:c r="O140" s="82" t="s"/>
      <x:c r="P140" s="82" t="s"/>
      <x:c r="Q140" s="82" t="s"/>
      <x:c r="R140" s="82" t="s"/>
      <x:c r="S140" s="82" t="s"/>
      <x:c r="T140" s="82" t="s"/>
      <x:c r="U140" s="82" t="s"/>
      <x:c r="V140" s="82" t="s"/>
      <x:c r="W140" s="82" t="s"/>
      <x:c r="X140" s="82" t="s"/>
      <x:c r="Y140" s="82" t="s"/>
      <x:c r="Z140" s="82" t="s"/>
      <x:c r="AA140" s="82" t="s"/>
      <x:c r="AB140" s="82" t="s"/>
      <x:c r="AC140" s="82" t="s"/>
      <x:c r="AD140" s="82" t="s"/>
      <x:c r="AE140" s="82" t="s"/>
      <x:c r="AF140" s="82" t="s"/>
      <x:c r="AG140" s="82" t="s"/>
      <x:c r="AH140" s="82" t="s"/>
      <x:c r="AI140" s="82" t="s"/>
      <x:c r="AJ140" s="82" t="s"/>
      <x:c r="AK140" s="82" t="s"/>
      <x:c r="AL140" s="82" t="s"/>
      <x:c r="AM140" s="82" t="s"/>
      <x:c r="AN140" s="82" t="s"/>
      <x:c r="AO140" s="82" t="s"/>
      <x:c r="AP140" s="82" t="s"/>
      <x:c r="AQ140" s="82" t="s"/>
      <x:c r="AR140" s="82" t="s"/>
      <x:c r="AS140" s="82" t="s"/>
      <x:c r="AT140" s="82" t="s"/>
      <x:c r="AU140" s="82" t="s"/>
      <x:c r="AV140" s="82" t="s"/>
      <x:c r="AW140" s="82" t="s"/>
      <x:c r="AX140" s="82" t="s"/>
      <x:c r="AY140" s="82" t="s"/>
      <x:c r="AZ140" s="82" t="s"/>
      <x:c r="BA140" s="82" t="s"/>
      <x:c r="BB140" s="82" t="s"/>
      <x:c r="BC140" s="82" t="s"/>
      <x:c r="BD140" s="82" t="s"/>
      <x:c r="BE140" s="82" t="s"/>
      <x:c r="BF140" s="82" t="s"/>
      <x:c r="BG140" s="82" t="s"/>
      <x:c r="BH140" s="82" t="s"/>
      <x:c r="BI140" s="82" t="s"/>
      <x:c r="BJ140" s="82" t="s"/>
      <x:c r="BK140" s="82" t="s"/>
      <x:c r="BL140" s="82" t="s"/>
      <x:c r="BM140" s="82" t="s"/>
      <x:c r="BN140" s="82" t="s"/>
      <x:c r="BO140" s="82" t="s"/>
      <x:c r="BP140" s="82" t="s"/>
      <x:c r="BQ140" s="82" t="s"/>
      <x:c r="BR140" s="82" t="s"/>
    </x:row>
    <x:row r="141" spans="1:70" x14ac:dyDescent="0.25">
      <x:c r="A141" s="82" t="s">
        <x:v>106</x:v>
      </x:c>
      <x:c r="B141" s="82" t="s">
        <x:v>107</x:v>
      </x:c>
      <x:c r="C141" s="82" t="s">
        <x:v>115</x:v>
      </x:c>
      <x:c r="D141" s="85">
        <x:v>42107</x:v>
      </x:c>
      <x:c r="E141" s="82" t="n">
        <x:v>29724</x:v>
      </x:c>
      <x:c r="F141" s="101" t="n">
        <x:v>-8.427</x:v>
      </x:c>
      <x:c r="G141" s="101" t="n">
        <x:v>-7.858</x:v>
      </x:c>
      <x:c r="H141" s="82" t="s"/>
      <x:c r="I141" s="82" t="s"/>
      <x:c r="J141" s="82" t="s"/>
      <x:c r="K141" s="82" t="s"/>
      <x:c r="L141" s="82" t="s"/>
      <x:c r="M141" s="82" t="s"/>
      <x:c r="N141" s="82" t="s"/>
      <x:c r="O141" s="82" t="s"/>
      <x:c r="P141" s="82" t="s"/>
      <x:c r="Q141" s="82" t="s"/>
      <x:c r="R141" s="82" t="s"/>
      <x:c r="S141" s="82" t="s"/>
      <x:c r="T141" s="82" t="s"/>
      <x:c r="U141" s="82" t="s"/>
      <x:c r="V141" s="82" t="s"/>
      <x:c r="W141" s="82" t="s"/>
      <x:c r="X141" s="82" t="s"/>
      <x:c r="Y141" s="82" t="s"/>
      <x:c r="Z141" s="82" t="s"/>
      <x:c r="AA141" s="82" t="s"/>
      <x:c r="AB141" s="82" t="s"/>
      <x:c r="AC141" s="82" t="s"/>
      <x:c r="AD141" s="82" t="s"/>
      <x:c r="AE141" s="82" t="s"/>
      <x:c r="AF141" s="82" t="s"/>
      <x:c r="AG141" s="82" t="s"/>
      <x:c r="AH141" s="82" t="s"/>
      <x:c r="AI141" s="82" t="s"/>
      <x:c r="AJ141" s="82" t="s"/>
      <x:c r="AK141" s="82" t="s"/>
      <x:c r="AL141" s="82" t="s"/>
      <x:c r="AM141" s="82" t="s"/>
      <x:c r="AN141" s="82" t="s"/>
      <x:c r="AO141" s="82" t="s"/>
      <x:c r="AP141" s="82" t="s"/>
      <x:c r="AQ141" s="82" t="s"/>
      <x:c r="AR141" s="82" t="s"/>
      <x:c r="AS141" s="82" t="s"/>
      <x:c r="AT141" s="82" t="s"/>
      <x:c r="AU141" s="82" t="s"/>
      <x:c r="AV141" s="82" t="s"/>
      <x:c r="AW141" s="82" t="s"/>
      <x:c r="AX141" s="82" t="s"/>
      <x:c r="AY141" s="82" t="s"/>
      <x:c r="AZ141" s="82" t="s"/>
      <x:c r="BA141" s="82" t="s"/>
      <x:c r="BB141" s="82" t="s"/>
      <x:c r="BC141" s="82" t="s"/>
      <x:c r="BD141" s="82" t="s"/>
      <x:c r="BE141" s="82" t="s"/>
      <x:c r="BF141" s="82" t="s"/>
      <x:c r="BG141" s="82" t="s"/>
      <x:c r="BH141" s="82" t="s"/>
      <x:c r="BI141" s="82" t="s"/>
      <x:c r="BJ141" s="82" t="s"/>
      <x:c r="BK141" s="82" t="s"/>
      <x:c r="BL141" s="82" t="s"/>
      <x:c r="BM141" s="82" t="s"/>
      <x:c r="BN141" s="82" t="s"/>
      <x:c r="BO141" s="82" t="s"/>
      <x:c r="BP141" s="82" t="s"/>
      <x:c r="BQ141" s="82" t="s"/>
      <x:c r="BR141" s="82" t="s"/>
    </x:row>
    <x:row r="142" spans="1:70" x14ac:dyDescent="0.25">
      <x:c r="A142" s="82" t="s">
        <x:v>106</x:v>
      </x:c>
      <x:c r="B142" s="82" t="s">
        <x:v>107</x:v>
      </x:c>
      <x:c r="C142" s="82" t="s">
        <x:v>116</x:v>
      </x:c>
      <x:c r="D142" s="85">
        <x:v>42107</x:v>
      </x:c>
      <x:c r="E142" s="82" t="n">
        <x:v>29724</x:v>
      </x:c>
      <x:c r="F142" s="101" t="n">
        <x:v>0.796</x:v>
      </x:c>
      <x:c r="G142" s="101" t="n">
        <x:v>1.008</x:v>
      </x:c>
      <x:c r="H142" s="82" t="s"/>
      <x:c r="I142" s="82" t="s"/>
      <x:c r="J142" s="82" t="s"/>
      <x:c r="K142" s="82" t="s"/>
      <x:c r="L142" s="82" t="s"/>
      <x:c r="M142" s="82" t="s"/>
      <x:c r="N142" s="82" t="s"/>
      <x:c r="O142" s="82" t="s"/>
      <x:c r="P142" s="82" t="s"/>
      <x:c r="Q142" s="82" t="s"/>
      <x:c r="R142" s="82" t="s"/>
      <x:c r="S142" s="82" t="s"/>
      <x:c r="T142" s="82" t="s"/>
      <x:c r="U142" s="82" t="s"/>
      <x:c r="V142" s="82" t="s"/>
      <x:c r="W142" s="82" t="s"/>
      <x:c r="X142" s="82" t="s"/>
      <x:c r="Y142" s="82" t="s"/>
      <x:c r="Z142" s="82" t="s"/>
      <x:c r="AA142" s="82" t="s"/>
      <x:c r="AB142" s="82" t="s"/>
      <x:c r="AC142" s="82" t="s"/>
      <x:c r="AD142" s="82" t="s"/>
      <x:c r="AE142" s="82" t="s"/>
      <x:c r="AF142" s="82" t="s"/>
      <x:c r="AG142" s="82" t="s"/>
      <x:c r="AH142" s="82" t="s"/>
      <x:c r="AI142" s="82" t="s"/>
      <x:c r="AJ142" s="82" t="s"/>
      <x:c r="AK142" s="82" t="s"/>
      <x:c r="AL142" s="82" t="s"/>
      <x:c r="AM142" s="82" t="s"/>
      <x:c r="AN142" s="82" t="s"/>
      <x:c r="AO142" s="82" t="s"/>
      <x:c r="AP142" s="82" t="s"/>
      <x:c r="AQ142" s="82" t="s"/>
      <x:c r="AR142" s="82" t="s"/>
      <x:c r="AS142" s="82" t="s"/>
      <x:c r="AT142" s="82" t="s"/>
      <x:c r="AU142" s="82" t="s"/>
      <x:c r="AV142" s="82" t="s"/>
      <x:c r="AW142" s="82" t="s"/>
      <x:c r="AX142" s="82" t="s"/>
      <x:c r="AY142" s="82" t="s"/>
      <x:c r="AZ142" s="82" t="s"/>
      <x:c r="BA142" s="82" t="s"/>
      <x:c r="BB142" s="82" t="s"/>
      <x:c r="BC142" s="82" t="s"/>
      <x:c r="BD142" s="82" t="s"/>
      <x:c r="BE142" s="82" t="s"/>
      <x:c r="BF142" s="82" t="s"/>
      <x:c r="BG142" s="82" t="s"/>
      <x:c r="BH142" s="82" t="s"/>
      <x:c r="BI142" s="82" t="s"/>
      <x:c r="BJ142" s="82" t="s"/>
      <x:c r="BK142" s="82" t="s"/>
      <x:c r="BL142" s="82" t="s"/>
      <x:c r="BM142" s="82" t="s"/>
      <x:c r="BN142" s="82" t="s"/>
      <x:c r="BO142" s="82" t="s"/>
      <x:c r="BP142" s="82" t="s"/>
      <x:c r="BQ142" s="82" t="s"/>
      <x:c r="BR142" s="82" t="s"/>
    </x:row>
    <x:row r="143" spans="1:70" x14ac:dyDescent="0.25">
      <x:c r="A143" s="82" t="s">
        <x:v>106</x:v>
      </x:c>
      <x:c r="B143" s="82" t="s">
        <x:v>107</x:v>
      </x:c>
      <x:c r="C143" s="82" t="s">
        <x:v>17</x:v>
      </x:c>
      <x:c r="D143" s="85">
        <x:v>42107</x:v>
      </x:c>
      <x:c r="E143" s="82" t="n">
        <x:v>29724</x:v>
      </x:c>
      <x:c r="F143" s="102" t="n">
        <x:v>49.3235855202864</x:v>
      </x:c>
      <x:c r="G143" s="102" t="n">
        <x:v>37.8731912825479</x:v>
      </x:c>
      <x:c r="H143" s="82" t="s"/>
      <x:c r="I143" s="82" t="s"/>
      <x:c r="J143" s="82" t="s"/>
      <x:c r="K143" s="82" t="s"/>
      <x:c r="L143" s="82" t="s"/>
      <x:c r="M143" s="82" t="s"/>
      <x:c r="N143" s="82" t="s"/>
      <x:c r="O143" s="82" t="s"/>
      <x:c r="P143" s="82" t="s"/>
      <x:c r="Q143" s="82" t="s"/>
      <x:c r="R143" s="82" t="s"/>
      <x:c r="S143" s="82" t="s"/>
      <x:c r="T143" s="82" t="s"/>
      <x:c r="U143" s="82" t="s"/>
      <x:c r="V143" s="82" t="s"/>
      <x:c r="W143" s="82" t="s"/>
      <x:c r="X143" s="82" t="s"/>
      <x:c r="Y143" s="82" t="s"/>
      <x:c r="Z143" s="82" t="s"/>
      <x:c r="AA143" s="82" t="s"/>
      <x:c r="AB143" s="82" t="s"/>
      <x:c r="AC143" s="82" t="s"/>
      <x:c r="AD143" s="82" t="s"/>
      <x:c r="AE143" s="82" t="s"/>
      <x:c r="AF143" s="82" t="s"/>
      <x:c r="AG143" s="82" t="s"/>
      <x:c r="AH143" s="82" t="s"/>
      <x:c r="AI143" s="82" t="s"/>
      <x:c r="AJ143" s="82" t="s"/>
      <x:c r="AK143" s="82" t="s"/>
      <x:c r="AL143" s="82" t="s"/>
      <x:c r="AM143" s="82" t="s"/>
      <x:c r="AN143" s="82" t="s"/>
      <x:c r="AO143" s="82" t="s"/>
      <x:c r="AP143" s="82" t="s"/>
      <x:c r="AQ143" s="82" t="s"/>
      <x:c r="AR143" s="82" t="s"/>
      <x:c r="AS143" s="82" t="s"/>
      <x:c r="AT143" s="82" t="s"/>
      <x:c r="AU143" s="82" t="s"/>
      <x:c r="AV143" s="82" t="s"/>
      <x:c r="AW143" s="82" t="s"/>
      <x:c r="AX143" s="82" t="s"/>
      <x:c r="AY143" s="82" t="s"/>
      <x:c r="AZ143" s="82" t="s"/>
      <x:c r="BA143" s="82" t="s"/>
      <x:c r="BB143" s="82" t="s"/>
      <x:c r="BC143" s="82" t="s"/>
      <x:c r="BD143" s="82" t="s"/>
      <x:c r="BE143" s="82" t="s"/>
      <x:c r="BF143" s="82" t="s"/>
      <x:c r="BG143" s="82" t="s"/>
      <x:c r="BH143" s="82" t="s"/>
      <x:c r="BI143" s="82" t="s"/>
      <x:c r="BJ143" s="82" t="s"/>
      <x:c r="BK143" s="82" t="s"/>
      <x:c r="BL143" s="82" t="s"/>
      <x:c r="BM143" s="82" t="s"/>
      <x:c r="BN143" s="82" t="s"/>
      <x:c r="BO143" s="82" t="s"/>
      <x:c r="BP143" s="82" t="s"/>
      <x:c r="BQ143" s="82" t="s"/>
      <x:c r="BR143" s="82" t="s"/>
    </x:row>
    <x:row r="144" spans="1:70" x14ac:dyDescent="0.25">
      <x:c r="A144" s="82" t="s">
        <x:v>106</x:v>
      </x:c>
      <x:c r="B144" s="82" t="s">
        <x:v>107</x:v>
      </x:c>
      <x:c r="C144" s="82" t="s">
        <x:v>18</x:v>
      </x:c>
      <x:c r="D144" s="85">
        <x:v>42107</x:v>
      </x:c>
      <x:c r="E144" s="82" t="n">
        <x:v>29724</x:v>
      </x:c>
      <x:c r="F144" s="102" t="n">
        <x:v>0.0781643744019095</x:v>
      </x:c>
      <x:c r="G144" s="102" t="n">
        <x:v>0.0612126228713605</x:v>
      </x:c>
      <x:c r="H144" s="82" t="s"/>
      <x:c r="I144" s="82" t="s"/>
      <x:c r="J144" s="82" t="s"/>
      <x:c r="K144" s="82" t="s"/>
      <x:c r="L144" s="82" t="s"/>
      <x:c r="M144" s="82" t="s"/>
      <x:c r="N144" s="82" t="s"/>
      <x:c r="O144" s="82" t="s"/>
      <x:c r="P144" s="82" t="s"/>
      <x:c r="Q144" s="82" t="s"/>
      <x:c r="R144" s="82" t="s"/>
      <x:c r="S144" s="82" t="s"/>
      <x:c r="T144" s="82" t="s"/>
      <x:c r="U144" s="82" t="s"/>
      <x:c r="V144" s="82" t="s"/>
      <x:c r="W144" s="82" t="s"/>
      <x:c r="X144" s="82" t="s"/>
      <x:c r="Y144" s="82" t="s"/>
      <x:c r="Z144" s="82" t="s"/>
      <x:c r="AA144" s="82" t="s"/>
      <x:c r="AB144" s="82" t="s"/>
      <x:c r="AC144" s="82" t="s"/>
      <x:c r="AD144" s="82" t="s"/>
      <x:c r="AE144" s="82" t="s"/>
      <x:c r="AF144" s="82" t="s"/>
      <x:c r="AG144" s="82" t="s"/>
      <x:c r="AH144" s="82" t="s"/>
      <x:c r="AI144" s="82" t="s"/>
      <x:c r="AJ144" s="82" t="s"/>
      <x:c r="AK144" s="82" t="s"/>
      <x:c r="AL144" s="82" t="s"/>
      <x:c r="AM144" s="82" t="s"/>
      <x:c r="AN144" s="82" t="s"/>
      <x:c r="AO144" s="82" t="s"/>
      <x:c r="AP144" s="82" t="s"/>
      <x:c r="AQ144" s="82" t="s"/>
      <x:c r="AR144" s="82" t="s"/>
      <x:c r="AS144" s="82" t="s"/>
      <x:c r="AT144" s="82" t="s"/>
      <x:c r="AU144" s="82" t="s"/>
      <x:c r="AV144" s="82" t="s"/>
      <x:c r="AW144" s="82" t="s"/>
      <x:c r="AX144" s="82" t="s"/>
      <x:c r="AY144" s="82" t="s"/>
      <x:c r="AZ144" s="82" t="s"/>
      <x:c r="BA144" s="82" t="s"/>
      <x:c r="BB144" s="82" t="s"/>
      <x:c r="BC144" s="82" t="s"/>
      <x:c r="BD144" s="82" t="s"/>
      <x:c r="BE144" s="82" t="s"/>
      <x:c r="BF144" s="82" t="s"/>
      <x:c r="BG144" s="82" t="s"/>
      <x:c r="BH144" s="82" t="s"/>
      <x:c r="BI144" s="82" t="s"/>
      <x:c r="BJ144" s="82" t="s"/>
      <x:c r="BK144" s="82" t="s"/>
      <x:c r="BL144" s="82" t="s"/>
      <x:c r="BM144" s="82" t="s"/>
      <x:c r="BN144" s="82" t="s"/>
      <x:c r="BO144" s="82" t="s"/>
      <x:c r="BP144" s="82" t="s"/>
      <x:c r="BQ144" s="82" t="s"/>
      <x:c r="BR144" s="82" t="s"/>
    </x:row>
    <x:row r="145" spans="1:70" x14ac:dyDescent="0.25">
      <x:c r="A145" s="82" t="s">
        <x:v>106</x:v>
      </x:c>
      <x:c r="B145" s="82" t="s">
        <x:v>107</x:v>
      </x:c>
      <x:c r="C145" s="82" t="s">
        <x:v>19</x:v>
      </x:c>
      <x:c r="D145" s="85">
        <x:v>42107</x:v>
      </x:c>
      <x:c r="E145" s="82" t="n">
        <x:v>29724</x:v>
      </x:c>
      <x:c r="F145" s="102" t="n">
        <x:v>145.218512738913</x:v>
      </x:c>
      <x:c r="G145" s="102" t="n">
        <x:v>128.888436643832</x:v>
      </x:c>
      <x:c r="H145" s="82" t="s"/>
      <x:c r="I145" s="82" t="s"/>
      <x:c r="J145" s="82" t="s"/>
      <x:c r="K145" s="82" t="s"/>
      <x:c r="L145" s="82" t="s"/>
      <x:c r="M145" s="82" t="s"/>
      <x:c r="N145" s="82" t="s"/>
      <x:c r="O145" s="82" t="s"/>
      <x:c r="P145" s="82" t="s"/>
      <x:c r="Q145" s="82" t="s"/>
      <x:c r="R145" s="82" t="s"/>
      <x:c r="S145" s="82" t="s"/>
      <x:c r="T145" s="82" t="s"/>
      <x:c r="U145" s="82" t="s"/>
      <x:c r="V145" s="82" t="s"/>
      <x:c r="W145" s="82" t="s"/>
      <x:c r="X145" s="82" t="s"/>
      <x:c r="Y145" s="82" t="s"/>
      <x:c r="Z145" s="82" t="s"/>
      <x:c r="AA145" s="82" t="s"/>
      <x:c r="AB145" s="82" t="s"/>
      <x:c r="AC145" s="82" t="s"/>
      <x:c r="AD145" s="82" t="s"/>
      <x:c r="AE145" s="82" t="s"/>
      <x:c r="AF145" s="82" t="s"/>
      <x:c r="AG145" s="82" t="s"/>
      <x:c r="AH145" s="82" t="s"/>
      <x:c r="AI145" s="82" t="s"/>
      <x:c r="AJ145" s="82" t="s"/>
      <x:c r="AK145" s="82" t="s"/>
      <x:c r="AL145" s="82" t="s"/>
      <x:c r="AM145" s="82" t="s"/>
      <x:c r="AN145" s="82" t="s"/>
      <x:c r="AO145" s="82" t="s"/>
      <x:c r="AP145" s="82" t="s"/>
      <x:c r="AQ145" s="82" t="s"/>
      <x:c r="AR145" s="82" t="s"/>
      <x:c r="AS145" s="82" t="s"/>
      <x:c r="AT145" s="82" t="s"/>
      <x:c r="AU145" s="82" t="s"/>
      <x:c r="AV145" s="82" t="s"/>
      <x:c r="AW145" s="82" t="s"/>
      <x:c r="AX145" s="82" t="s"/>
      <x:c r="AY145" s="82" t="s"/>
      <x:c r="AZ145" s="82" t="s"/>
      <x:c r="BA145" s="82" t="s"/>
      <x:c r="BB145" s="82" t="s"/>
      <x:c r="BC145" s="82" t="s"/>
      <x:c r="BD145" s="82" t="s"/>
      <x:c r="BE145" s="82" t="s"/>
      <x:c r="BF145" s="82" t="s"/>
      <x:c r="BG145" s="82" t="s"/>
      <x:c r="BH145" s="82" t="s"/>
      <x:c r="BI145" s="82" t="s"/>
      <x:c r="BJ145" s="82" t="s"/>
      <x:c r="BK145" s="82" t="s"/>
      <x:c r="BL145" s="82" t="s"/>
      <x:c r="BM145" s="82" t="s"/>
      <x:c r="BN145" s="82" t="s"/>
      <x:c r="BO145" s="82" t="s"/>
      <x:c r="BP145" s="82" t="s"/>
      <x:c r="BQ145" s="82" t="s"/>
      <x:c r="BR145" s="82" t="s"/>
    </x:row>
    <x:row r="146" spans="1:70" x14ac:dyDescent="0.25">
      <x:c r="A146" s="82" t="s">
        <x:v>106</x:v>
      </x:c>
      <x:c r="B146" s="82" t="s">
        <x:v>107</x:v>
      </x:c>
      <x:c r="C146" s="82" t="s">
        <x:v>20</x:v>
      </x:c>
      <x:c r="D146" s="85">
        <x:v>42107</x:v>
      </x:c>
      <x:c r="E146" s="82" t="n">
        <x:v>29724</x:v>
      </x:c>
      <x:c r="F146" s="102" t="n">
        <x:v>0.521140383622904</x:v>
      </x:c>
      <x:c r="G146" s="102" t="n">
        <x:v>0.515758253021491</x:v>
      </x:c>
      <x:c r="H146" s="82" t="s"/>
      <x:c r="I146" s="82" t="s"/>
      <x:c r="J146" s="82" t="s"/>
      <x:c r="K146" s="82" t="s"/>
      <x:c r="L146" s="82" t="s"/>
      <x:c r="M146" s="82" t="s"/>
      <x:c r="N146" s="82" t="s"/>
      <x:c r="O146" s="82" t="s"/>
      <x:c r="P146" s="82" t="s"/>
      <x:c r="Q146" s="82" t="s"/>
      <x:c r="R146" s="82" t="s"/>
      <x:c r="S146" s="82" t="s"/>
      <x:c r="T146" s="82" t="s"/>
      <x:c r="U146" s="82" t="s"/>
      <x:c r="V146" s="82" t="s"/>
      <x:c r="W146" s="82" t="s"/>
      <x:c r="X146" s="82" t="s"/>
      <x:c r="Y146" s="82" t="s"/>
      <x:c r="Z146" s="82" t="s"/>
      <x:c r="AA146" s="82" t="s"/>
      <x:c r="AB146" s="82" t="s"/>
      <x:c r="AC146" s="82" t="s"/>
      <x:c r="AD146" s="82" t="s"/>
      <x:c r="AE146" s="82" t="s"/>
      <x:c r="AF146" s="82" t="s"/>
      <x:c r="AG146" s="82" t="s"/>
      <x:c r="AH146" s="82" t="s"/>
      <x:c r="AI146" s="82" t="s"/>
      <x:c r="AJ146" s="82" t="s"/>
      <x:c r="AK146" s="82" t="s"/>
      <x:c r="AL146" s="82" t="s"/>
      <x:c r="AM146" s="82" t="s"/>
      <x:c r="AN146" s="82" t="s"/>
      <x:c r="AO146" s="82" t="s"/>
      <x:c r="AP146" s="82" t="s"/>
      <x:c r="AQ146" s="82" t="s"/>
      <x:c r="AR146" s="82" t="s"/>
      <x:c r="AS146" s="82" t="s"/>
      <x:c r="AT146" s="82" t="s"/>
      <x:c r="AU146" s="82" t="s"/>
      <x:c r="AV146" s="82" t="s"/>
      <x:c r="AW146" s="82" t="s"/>
      <x:c r="AX146" s="82" t="s"/>
      <x:c r="AY146" s="82" t="s"/>
      <x:c r="AZ146" s="82" t="s"/>
      <x:c r="BA146" s="82" t="s"/>
      <x:c r="BB146" s="82" t="s"/>
      <x:c r="BC146" s="82" t="s"/>
      <x:c r="BD146" s="82" t="s"/>
      <x:c r="BE146" s="82" t="s"/>
      <x:c r="BF146" s="82" t="s"/>
      <x:c r="BG146" s="82" t="s"/>
      <x:c r="BH146" s="82" t="s"/>
      <x:c r="BI146" s="82" t="s"/>
      <x:c r="BJ146" s="82" t="s"/>
      <x:c r="BK146" s="82" t="s"/>
      <x:c r="BL146" s="82" t="s"/>
      <x:c r="BM146" s="82" t="s"/>
      <x:c r="BN146" s="82" t="s"/>
      <x:c r="BO146" s="82" t="s"/>
      <x:c r="BP146" s="82" t="s"/>
      <x:c r="BQ146" s="82" t="s"/>
      <x:c r="BR146" s="82" t="s"/>
    </x:row>
    <x:row r="147" spans="1:70" x14ac:dyDescent="0.25">
      <x:c r="A147" s="82" t="s">
        <x:v>106</x:v>
      </x:c>
      <x:c r="B147" s="82" t="s">
        <x:v>107</x:v>
      </x:c>
      <x:c r="C147" s="82" t="s">
        <x:v>21</x:v>
      </x:c>
      <x:c r="D147" s="85">
        <x:v>42107</x:v>
      </x:c>
      <x:c r="E147" s="82" t="n">
        <x:v>29724</x:v>
      </x:c>
      <x:c r="F147" s="102" t="n">
        <x:v>179.336090225564</x:v>
      </x:c>
      <x:c r="G147" s="102" t="n">
        <x:v>158.78407960199</x:v>
      </x:c>
      <x:c r="H147" s="82" t="s"/>
      <x:c r="I147" s="82" t="s"/>
      <x:c r="J147" s="82" t="s"/>
      <x:c r="K147" s="82" t="s"/>
      <x:c r="L147" s="82" t="s"/>
      <x:c r="M147" s="82" t="s"/>
      <x:c r="N147" s="82" t="s"/>
      <x:c r="O147" s="82" t="s"/>
      <x:c r="P147" s="82" t="s"/>
      <x:c r="Q147" s="82" t="s"/>
      <x:c r="R147" s="82" t="s"/>
      <x:c r="S147" s="82" t="s"/>
      <x:c r="T147" s="82" t="s"/>
      <x:c r="U147" s="82" t="s"/>
      <x:c r="V147" s="82" t="s"/>
      <x:c r="W147" s="82" t="s"/>
      <x:c r="X147" s="82" t="s"/>
      <x:c r="Y147" s="82" t="s"/>
      <x:c r="Z147" s="82" t="s"/>
      <x:c r="AA147" s="82" t="s"/>
      <x:c r="AB147" s="82" t="s"/>
      <x:c r="AC147" s="82" t="s"/>
      <x:c r="AD147" s="82" t="s"/>
      <x:c r="AE147" s="82" t="s"/>
      <x:c r="AF147" s="82" t="s"/>
      <x:c r="AG147" s="82" t="s"/>
      <x:c r="AH147" s="82" t="s"/>
      <x:c r="AI147" s="82" t="s"/>
      <x:c r="AJ147" s="82" t="s"/>
      <x:c r="AK147" s="82" t="s"/>
      <x:c r="AL147" s="82" t="s"/>
      <x:c r="AM147" s="82" t="s"/>
      <x:c r="AN147" s="82" t="s"/>
      <x:c r="AO147" s="82" t="s"/>
      <x:c r="AP147" s="82" t="s"/>
      <x:c r="AQ147" s="82" t="s"/>
      <x:c r="AR147" s="82" t="s"/>
      <x:c r="AS147" s="82" t="s"/>
      <x:c r="AT147" s="82" t="s"/>
      <x:c r="AU147" s="82" t="s"/>
      <x:c r="AV147" s="82" t="s"/>
      <x:c r="AW147" s="82" t="s"/>
      <x:c r="AX147" s="82" t="s"/>
      <x:c r="AY147" s="82" t="s"/>
      <x:c r="AZ147" s="82" t="s"/>
      <x:c r="BA147" s="82" t="s"/>
      <x:c r="BB147" s="82" t="s"/>
      <x:c r="BC147" s="82" t="s"/>
      <x:c r="BD147" s="82" t="s"/>
      <x:c r="BE147" s="82" t="s"/>
      <x:c r="BF147" s="82" t="s"/>
      <x:c r="BG147" s="82" t="s"/>
      <x:c r="BH147" s="82" t="s"/>
      <x:c r="BI147" s="82" t="s"/>
      <x:c r="BJ147" s="82" t="s"/>
      <x:c r="BK147" s="82" t="s"/>
      <x:c r="BL147" s="82" t="s"/>
      <x:c r="BM147" s="82" t="s"/>
      <x:c r="BN147" s="82" t="s"/>
      <x:c r="BO147" s="82" t="s"/>
      <x:c r="BP147" s="82" t="s"/>
      <x:c r="BQ147" s="82" t="s"/>
      <x:c r="BR147" s="82" t="s"/>
    </x:row>
    <x:row r="148" spans="1:70" x14ac:dyDescent="0.25">
      <x:c r="A148" s="82" t="s">
        <x:v>106</x:v>
      </x:c>
      <x:c r="B148" s="82" t="s">
        <x:v>107</x:v>
      </x:c>
      <x:c r="C148" s="82" t="s">
        <x:v>22</x:v>
      </x:c>
      <x:c r="D148" s="85">
        <x:v>42107</x:v>
      </x:c>
      <x:c r="E148" s="82" t="n">
        <x:v>29724</x:v>
      </x:c>
      <x:c r="F148" s="102" t="n">
        <x:v>0.502926729323308</x:v>
      </x:c>
      <x:c r="G148" s="102" t="n">
        <x:v>0.507892039800995</x:v>
      </x:c>
      <x:c r="H148" s="82" t="s"/>
      <x:c r="I148" s="82" t="s"/>
      <x:c r="J148" s="82" t="s"/>
      <x:c r="K148" s="82" t="s"/>
      <x:c r="L148" s="82" t="s"/>
      <x:c r="M148" s="82" t="s"/>
      <x:c r="N148" s="82" t="s"/>
      <x:c r="O148" s="82" t="s"/>
      <x:c r="P148" s="82" t="s"/>
      <x:c r="Q148" s="82" t="s"/>
      <x:c r="R148" s="82" t="s"/>
      <x:c r="S148" s="82" t="s"/>
      <x:c r="T148" s="82" t="s"/>
      <x:c r="U148" s="82" t="s"/>
      <x:c r="V148" s="82" t="s"/>
      <x:c r="W148" s="82" t="s"/>
      <x:c r="X148" s="82" t="s"/>
      <x:c r="Y148" s="82" t="s"/>
      <x:c r="Z148" s="82" t="s"/>
      <x:c r="AA148" s="82" t="s"/>
      <x:c r="AB148" s="82" t="s"/>
      <x:c r="AC148" s="82" t="s"/>
      <x:c r="AD148" s="82" t="s"/>
      <x:c r="AE148" s="82" t="s"/>
      <x:c r="AF148" s="82" t="s"/>
      <x:c r="AG148" s="82" t="s"/>
      <x:c r="AH148" s="82" t="s"/>
      <x:c r="AI148" s="82" t="s"/>
      <x:c r="AJ148" s="82" t="s"/>
      <x:c r="AK148" s="82" t="s"/>
      <x:c r="AL148" s="82" t="s"/>
      <x:c r="AM148" s="82" t="s"/>
      <x:c r="AN148" s="82" t="s"/>
      <x:c r="AO148" s="82" t="s"/>
      <x:c r="AP148" s="82" t="s"/>
      <x:c r="AQ148" s="82" t="s"/>
      <x:c r="AR148" s="82" t="s"/>
      <x:c r="AS148" s="82" t="s"/>
      <x:c r="AT148" s="82" t="s"/>
      <x:c r="AU148" s="82" t="s"/>
      <x:c r="AV148" s="82" t="s"/>
      <x:c r="AW148" s="82" t="s"/>
      <x:c r="AX148" s="82" t="s"/>
      <x:c r="AY148" s="82" t="s"/>
      <x:c r="AZ148" s="82" t="s"/>
      <x:c r="BA148" s="82" t="s"/>
      <x:c r="BB148" s="82" t="s"/>
      <x:c r="BC148" s="82" t="s"/>
      <x:c r="BD148" s="82" t="s"/>
      <x:c r="BE148" s="82" t="s"/>
      <x:c r="BF148" s="82" t="s"/>
      <x:c r="BG148" s="82" t="s"/>
      <x:c r="BH148" s="82" t="s"/>
      <x:c r="BI148" s="82" t="s"/>
      <x:c r="BJ148" s="82" t="s"/>
      <x:c r="BK148" s="82" t="s"/>
      <x:c r="BL148" s="82" t="s"/>
      <x:c r="BM148" s="82" t="s"/>
      <x:c r="BN148" s="82" t="s"/>
      <x:c r="BO148" s="82" t="s"/>
      <x:c r="BP148" s="82" t="s"/>
      <x:c r="BQ148" s="82" t="s"/>
      <x:c r="BR148" s="82" t="s"/>
    </x:row>
    <x:row r="149" spans="1:70" x14ac:dyDescent="0.25">
      <x:c r="A149" s="82" t="s">
        <x:v>106</x:v>
      </x:c>
      <x:c r="B149" s="82" t="s">
        <x:v>107</x:v>
      </x:c>
      <x:c r="C149" s="82" t="s">
        <x:v>23</x:v>
      </x:c>
      <x:c r="D149" s="85">
        <x:v>42107</x:v>
      </x:c>
      <x:c r="E149" s="82" t="n">
        <x:v>29724</x:v>
      </x:c>
      <x:c r="F149" s="102" t="n">
        <x:v>752.68</x:v>
      </x:c>
      <x:c r="G149" s="102" t="n">
        <x:v>748</x:v>
      </x:c>
      <x:c r="H149" s="82" t="s"/>
      <x:c r="I149" s="82" t="s"/>
      <x:c r="J149" s="82" t="s"/>
      <x:c r="K149" s="82" t="s"/>
      <x:c r="L149" s="82" t="s"/>
      <x:c r="M149" s="82" t="s"/>
      <x:c r="N149" s="82" t="s"/>
      <x:c r="O149" s="82" t="s"/>
      <x:c r="P149" s="82" t="s"/>
      <x:c r="Q149" s="82" t="s"/>
      <x:c r="R149" s="82" t="s"/>
      <x:c r="S149" s="82" t="s"/>
      <x:c r="T149" s="82" t="s"/>
      <x:c r="U149" s="82" t="s"/>
      <x:c r="V149" s="82" t="s"/>
      <x:c r="W149" s="82" t="s"/>
      <x:c r="X149" s="82" t="s"/>
      <x:c r="Y149" s="82" t="s"/>
      <x:c r="Z149" s="82" t="s"/>
      <x:c r="AA149" s="82" t="s"/>
      <x:c r="AB149" s="82" t="s"/>
      <x:c r="AC149" s="82" t="s"/>
      <x:c r="AD149" s="82" t="s"/>
      <x:c r="AE149" s="82" t="s"/>
      <x:c r="AF149" s="82" t="s"/>
      <x:c r="AG149" s="82" t="s"/>
      <x:c r="AH149" s="82" t="s"/>
      <x:c r="AI149" s="82" t="s"/>
      <x:c r="AJ149" s="82" t="s"/>
      <x:c r="AK149" s="82" t="s"/>
      <x:c r="AL149" s="82" t="s"/>
      <x:c r="AM149" s="82" t="s"/>
      <x:c r="AN149" s="82" t="s"/>
      <x:c r="AO149" s="82" t="s"/>
      <x:c r="AP149" s="82" t="s"/>
      <x:c r="AQ149" s="82" t="s"/>
      <x:c r="AR149" s="82" t="s"/>
      <x:c r="AS149" s="82" t="s"/>
      <x:c r="AT149" s="82" t="s"/>
      <x:c r="AU149" s="82" t="s"/>
      <x:c r="AV149" s="82" t="s"/>
      <x:c r="AW149" s="82" t="s"/>
      <x:c r="AX149" s="82" t="s"/>
      <x:c r="AY149" s="82" t="s"/>
      <x:c r="AZ149" s="82" t="s"/>
      <x:c r="BA149" s="82" t="s"/>
      <x:c r="BB149" s="82" t="s"/>
      <x:c r="BC149" s="82" t="s"/>
      <x:c r="BD149" s="82" t="s"/>
      <x:c r="BE149" s="82" t="s"/>
      <x:c r="BF149" s="82" t="s"/>
      <x:c r="BG149" s="82" t="s"/>
      <x:c r="BH149" s="82" t="s"/>
      <x:c r="BI149" s="82" t="s"/>
      <x:c r="BJ149" s="82" t="s"/>
      <x:c r="BK149" s="82" t="s"/>
      <x:c r="BL149" s="82" t="s"/>
      <x:c r="BM149" s="82" t="s"/>
      <x:c r="BN149" s="82" t="s"/>
      <x:c r="BO149" s="82" t="s"/>
      <x:c r="BP149" s="82" t="s"/>
      <x:c r="BQ149" s="82" t="s"/>
      <x:c r="BR149" s="82" t="s"/>
    </x:row>
    <x:row r="150" spans="1:70" x14ac:dyDescent="0.25">
      <x:c r="A150" s="82" t="s">
        <x:v>106</x:v>
      </x:c>
      <x:c r="B150" s="82" t="s">
        <x:v>107</x:v>
      </x:c>
      <x:c r="C150" s="82" t="s">
        <x:v>24</x:v>
      </x:c>
      <x:c r="D150" s="85">
        <x:v>42107</x:v>
      </x:c>
      <x:c r="E150" s="82" t="n">
        <x:v>29724</x:v>
      </x:c>
      <x:c r="F150" s="102" t="n">
        <x:v>84.532</x:v>
      </x:c>
      <x:c r="G150" s="102" t="n">
        <x:v>86.056</x:v>
      </x:c>
      <x:c r="H150" s="82" t="s"/>
      <x:c r="I150" s="82" t="s"/>
      <x:c r="J150" s="82" t="s"/>
      <x:c r="K150" s="82" t="s"/>
      <x:c r="L150" s="82" t="s"/>
      <x:c r="M150" s="82" t="s"/>
      <x:c r="N150" s="82" t="s"/>
      <x:c r="O150" s="82" t="s"/>
      <x:c r="P150" s="82" t="s"/>
      <x:c r="Q150" s="82" t="s"/>
      <x:c r="R150" s="82" t="s"/>
      <x:c r="S150" s="82" t="s"/>
      <x:c r="T150" s="82" t="s"/>
      <x:c r="U150" s="82" t="s"/>
      <x:c r="V150" s="82" t="s"/>
      <x:c r="W150" s="82" t="s"/>
      <x:c r="X150" s="82" t="s"/>
      <x:c r="Y150" s="82" t="s"/>
      <x:c r="Z150" s="82" t="s"/>
      <x:c r="AA150" s="82" t="s"/>
      <x:c r="AB150" s="82" t="s"/>
      <x:c r="AC150" s="82" t="s"/>
      <x:c r="AD150" s="82" t="s"/>
      <x:c r="AE150" s="82" t="s"/>
      <x:c r="AF150" s="82" t="s"/>
      <x:c r="AG150" s="82" t="s"/>
      <x:c r="AH150" s="82" t="s"/>
      <x:c r="AI150" s="82" t="s"/>
      <x:c r="AJ150" s="82" t="s"/>
      <x:c r="AK150" s="82" t="s"/>
      <x:c r="AL150" s="82" t="s"/>
      <x:c r="AM150" s="82" t="s"/>
      <x:c r="AN150" s="82" t="s"/>
      <x:c r="AO150" s="82" t="s"/>
      <x:c r="AP150" s="82" t="s"/>
      <x:c r="AQ150" s="82" t="s"/>
      <x:c r="AR150" s="82" t="s"/>
      <x:c r="AS150" s="82" t="s"/>
      <x:c r="AT150" s="82" t="s"/>
      <x:c r="AU150" s="82" t="s"/>
      <x:c r="AV150" s="82" t="s"/>
      <x:c r="AW150" s="82" t="s"/>
      <x:c r="AX150" s="82" t="s"/>
      <x:c r="AY150" s="82" t="s"/>
      <x:c r="AZ150" s="82" t="s"/>
      <x:c r="BA150" s="82" t="s"/>
      <x:c r="BB150" s="82" t="s"/>
      <x:c r="BC150" s="82" t="s"/>
      <x:c r="BD150" s="82" t="s"/>
      <x:c r="BE150" s="82" t="s"/>
      <x:c r="BF150" s="82" t="s"/>
      <x:c r="BG150" s="82" t="s"/>
      <x:c r="BH150" s="82" t="s"/>
      <x:c r="BI150" s="82" t="s"/>
      <x:c r="BJ150" s="82" t="s"/>
      <x:c r="BK150" s="82" t="s"/>
      <x:c r="BL150" s="82" t="s"/>
      <x:c r="BM150" s="82" t="s"/>
      <x:c r="BN150" s="82" t="s"/>
      <x:c r="BO150" s="82" t="s"/>
      <x:c r="BP150" s="82" t="s"/>
      <x:c r="BQ150" s="82" t="s"/>
      <x:c r="BR150" s="82" t="s"/>
    </x:row>
    <x:row r="151" spans="1:70" x14ac:dyDescent="0.25">
      <x:c r="A151" s="82" t="s">
        <x:v>106</x:v>
      </x:c>
      <x:c r="B151" s="82" t="s">
        <x:v>107</x:v>
      </x:c>
      <x:c r="C151" s="82" t="s">
        <x:v>117</x:v>
      </x:c>
      <x:c r="D151" s="85">
        <x:v>42107</x:v>
      </x:c>
      <x:c r="E151" s="82" t="n">
        <x:v>29724</x:v>
      </x:c>
      <x:c r="F151" s="82" t="n">
        <x:v>0</x:v>
      </x:c>
      <x:c r="G151" s="82" t="n">
        <x:v>0</x:v>
      </x:c>
      <x:c r="H151" s="82" t="s"/>
      <x:c r="I151" s="82" t="s"/>
      <x:c r="J151" s="82" t="s"/>
      <x:c r="K151" s="82" t="s"/>
      <x:c r="L151" s="82" t="s"/>
      <x:c r="M151" s="82" t="s"/>
      <x:c r="N151" s="82" t="s"/>
      <x:c r="O151" s="82" t="s"/>
      <x:c r="P151" s="82" t="s"/>
      <x:c r="Q151" s="82" t="s"/>
      <x:c r="R151" s="82" t="s"/>
      <x:c r="S151" s="82" t="s"/>
      <x:c r="T151" s="82" t="s"/>
      <x:c r="U151" s="82" t="s"/>
      <x:c r="V151" s="82" t="s"/>
      <x:c r="W151" s="82" t="s"/>
      <x:c r="X151" s="82" t="s"/>
      <x:c r="Y151" s="82" t="s"/>
      <x:c r="Z151" s="82" t="s"/>
      <x:c r="AA151" s="82" t="s"/>
      <x:c r="AB151" s="82" t="s"/>
      <x:c r="AC151" s="82" t="s"/>
      <x:c r="AD151" s="82" t="s"/>
      <x:c r="AE151" s="82" t="s"/>
      <x:c r="AF151" s="82" t="s"/>
      <x:c r="AG151" s="82" t="s"/>
      <x:c r="AH151" s="82" t="s"/>
      <x:c r="AI151" s="82" t="s"/>
      <x:c r="AJ151" s="82" t="s"/>
      <x:c r="AK151" s="82" t="s"/>
      <x:c r="AL151" s="82" t="s"/>
      <x:c r="AM151" s="82" t="s"/>
      <x:c r="AN151" s="82" t="s"/>
      <x:c r="AO151" s="82" t="s"/>
      <x:c r="AP151" s="82" t="s"/>
      <x:c r="AQ151" s="82" t="s"/>
      <x:c r="AR151" s="82" t="s"/>
      <x:c r="AS151" s="82" t="s"/>
      <x:c r="AT151" s="82" t="s"/>
      <x:c r="AU151" s="82" t="s"/>
      <x:c r="AV151" s="82" t="s"/>
      <x:c r="AW151" s="82" t="s"/>
      <x:c r="AX151" s="82" t="s"/>
      <x:c r="AY151" s="82" t="s"/>
      <x:c r="AZ151" s="82" t="s"/>
      <x:c r="BA151" s="82" t="s"/>
      <x:c r="BB151" s="82" t="s"/>
      <x:c r="BC151" s="82" t="s"/>
      <x:c r="BD151" s="82" t="s"/>
      <x:c r="BE151" s="82" t="s"/>
      <x:c r="BF151" s="82" t="s"/>
      <x:c r="BG151" s="82" t="s"/>
      <x:c r="BH151" s="82" t="s"/>
      <x:c r="BI151" s="82" t="s"/>
      <x:c r="BJ151" s="82" t="s"/>
      <x:c r="BK151" s="82" t="s"/>
      <x:c r="BL151" s="82" t="s"/>
      <x:c r="BM151" s="82" t="s"/>
      <x:c r="BN151" s="82" t="s"/>
      <x:c r="BO151" s="82" t="s"/>
      <x:c r="BP151" s="82" t="s"/>
      <x:c r="BQ151" s="82" t="s"/>
      <x:c r="BR151" s="82" t="s"/>
    </x:row>
    <x:row r="152" spans="1:70" x14ac:dyDescent="0.25">
      <x:c r="A152" s="82" t="s">
        <x:v>106</x:v>
      </x:c>
      <x:c r="B152" s="82" t="s">
        <x:v>107</x:v>
      </x:c>
      <x:c r="C152" s="82" t="s">
        <x:v>118</x:v>
      </x:c>
      <x:c r="D152" s="85">
        <x:v>42107</x:v>
      </x:c>
      <x:c r="E152" s="82" t="n">
        <x:v>29724</x:v>
      </x:c>
      <x:c r="F152" s="90" t="n">
        <x:v>120.1</x:v>
      </x:c>
      <x:c r="G152" s="90" t="n">
        <x:v>117.5</x:v>
      </x:c>
      <x:c r="H152" s="82" t="s"/>
      <x:c r="I152" s="82" t="s"/>
      <x:c r="J152" s="82" t="s"/>
      <x:c r="K152" s="82" t="s"/>
      <x:c r="L152" s="82" t="s"/>
      <x:c r="M152" s="82" t="s"/>
      <x:c r="N152" s="82" t="s"/>
      <x:c r="O152" s="82" t="s"/>
      <x:c r="P152" s="82" t="s"/>
      <x:c r="Q152" s="82" t="s"/>
      <x:c r="R152" s="82" t="s"/>
      <x:c r="S152" s="82" t="s"/>
      <x:c r="T152" s="82" t="s"/>
      <x:c r="U152" s="82" t="s"/>
      <x:c r="V152" s="82" t="s"/>
      <x:c r="W152" s="82" t="s"/>
      <x:c r="X152" s="82" t="s"/>
      <x:c r="Y152" s="82" t="s"/>
      <x:c r="Z152" s="82" t="s"/>
      <x:c r="AA152" s="82" t="s"/>
      <x:c r="AB152" s="82" t="s"/>
      <x:c r="AC152" s="82" t="s"/>
      <x:c r="AD152" s="82" t="s"/>
      <x:c r="AE152" s="82" t="s"/>
      <x:c r="AF152" s="82" t="s"/>
      <x:c r="AG152" s="82" t="s"/>
      <x:c r="AH152" s="82" t="s"/>
      <x:c r="AI152" s="82" t="s"/>
      <x:c r="AJ152" s="82" t="s"/>
      <x:c r="AK152" s="82" t="s"/>
      <x:c r="AL152" s="82" t="s"/>
      <x:c r="AM152" s="82" t="s"/>
      <x:c r="AN152" s="82" t="s"/>
      <x:c r="AO152" s="82" t="s"/>
      <x:c r="AP152" s="82" t="s"/>
      <x:c r="AQ152" s="82" t="s"/>
      <x:c r="AR152" s="82" t="s"/>
      <x:c r="AS152" s="82" t="s"/>
      <x:c r="AT152" s="82" t="s"/>
      <x:c r="AU152" s="82" t="s"/>
      <x:c r="AV152" s="82" t="s"/>
      <x:c r="AW152" s="82" t="s"/>
      <x:c r="AX152" s="82" t="s"/>
      <x:c r="AY152" s="82" t="s"/>
      <x:c r="AZ152" s="82" t="s"/>
      <x:c r="BA152" s="82" t="s"/>
      <x:c r="BB152" s="82" t="s"/>
      <x:c r="BC152" s="82" t="s"/>
      <x:c r="BD152" s="82" t="s"/>
      <x:c r="BE152" s="82" t="s"/>
      <x:c r="BF152" s="82" t="s"/>
      <x:c r="BG152" s="82" t="s"/>
      <x:c r="BH152" s="82" t="s"/>
      <x:c r="BI152" s="82" t="s"/>
      <x:c r="BJ152" s="82" t="s"/>
      <x:c r="BK152" s="82" t="s"/>
      <x:c r="BL152" s="82" t="s"/>
      <x:c r="BM152" s="82" t="s"/>
      <x:c r="BN152" s="82" t="s"/>
      <x:c r="BO152" s="82" t="s"/>
      <x:c r="BP152" s="82" t="s"/>
      <x:c r="BQ152" s="82" t="s"/>
      <x:c r="BR152" s="82" t="s"/>
    </x:row>
    <x:row r="153" spans="1:70" x14ac:dyDescent="0.25">
      <x:c r="A153" s="82" t="s">
        <x:v>106</x:v>
      </x:c>
      <x:c r="B153" s="82" t="s">
        <x:v>107</x:v>
      </x:c>
      <x:c r="C153" s="82" t="s">
        <x:v>119</x:v>
      </x:c>
      <x:c r="D153" s="85">
        <x:v>42107</x:v>
      </x:c>
      <x:c r="E153" s="82" t="n">
        <x:v>29724</x:v>
      </x:c>
      <x:c r="F153" s="90" t="n">
        <x:v>122.6</x:v>
      </x:c>
      <x:c r="G153" s="90" t="n">
        <x:v>119.6</x:v>
      </x:c>
      <x:c r="H153" s="82" t="s"/>
      <x:c r="I153" s="82" t="s"/>
      <x:c r="J153" s="82" t="s"/>
      <x:c r="K153" s="82" t="s"/>
      <x:c r="L153" s="82" t="s"/>
      <x:c r="M153" s="82" t="s"/>
      <x:c r="N153" s="82" t="s"/>
      <x:c r="O153" s="82" t="s"/>
      <x:c r="P153" s="82" t="s"/>
      <x:c r="Q153" s="82" t="s"/>
      <x:c r="R153" s="82" t="s"/>
      <x:c r="S153" s="82" t="s"/>
      <x:c r="T153" s="82" t="s"/>
      <x:c r="U153" s="82" t="s"/>
      <x:c r="V153" s="82" t="s"/>
      <x:c r="W153" s="82" t="s"/>
      <x:c r="X153" s="82" t="s"/>
      <x:c r="Y153" s="82" t="s"/>
      <x:c r="Z153" s="82" t="s"/>
      <x:c r="AA153" s="82" t="s"/>
      <x:c r="AB153" s="82" t="s"/>
      <x:c r="AC153" s="82" t="s"/>
      <x:c r="AD153" s="82" t="s"/>
      <x:c r="AE153" s="82" t="s"/>
      <x:c r="AF153" s="82" t="s"/>
      <x:c r="AG153" s="82" t="s"/>
      <x:c r="AH153" s="82" t="s"/>
      <x:c r="AI153" s="82" t="s"/>
      <x:c r="AJ153" s="82" t="s"/>
      <x:c r="AK153" s="82" t="s"/>
      <x:c r="AL153" s="82" t="s"/>
      <x:c r="AM153" s="82" t="s"/>
      <x:c r="AN153" s="82" t="s"/>
      <x:c r="AO153" s="82" t="s"/>
      <x:c r="AP153" s="82" t="s"/>
      <x:c r="AQ153" s="82" t="s"/>
      <x:c r="AR153" s="82" t="s"/>
      <x:c r="AS153" s="82" t="s"/>
      <x:c r="AT153" s="82" t="s"/>
      <x:c r="AU153" s="82" t="s"/>
      <x:c r="AV153" s="82" t="s"/>
      <x:c r="AW153" s="82" t="s"/>
      <x:c r="AX153" s="82" t="s"/>
      <x:c r="AY153" s="82" t="s"/>
      <x:c r="AZ153" s="82" t="s"/>
      <x:c r="BA153" s="82" t="s"/>
      <x:c r="BB153" s="82" t="s"/>
      <x:c r="BC153" s="82" t="s"/>
      <x:c r="BD153" s="82" t="s"/>
      <x:c r="BE153" s="82" t="s"/>
      <x:c r="BF153" s="82" t="s"/>
      <x:c r="BG153" s="82" t="s"/>
      <x:c r="BH153" s="82" t="s"/>
      <x:c r="BI153" s="82" t="s"/>
      <x:c r="BJ153" s="82" t="s"/>
      <x:c r="BK153" s="82" t="s"/>
      <x:c r="BL153" s="82" t="s"/>
      <x:c r="BM153" s="82" t="s"/>
      <x:c r="BN153" s="82" t="s"/>
      <x:c r="BO153" s="82" t="s"/>
      <x:c r="BP153" s="82" t="s"/>
      <x:c r="BQ153" s="82" t="s"/>
      <x:c r="BR153" s="82" t="s"/>
    </x:row>
    <x:row r="154" spans="1:70" customFormat="1" ht="15.75" customHeight="1" thickBot="1" x14ac:dyDescent="0.3">
      <x:c r="A154" s="106" t="s">
        <x:v>106</x:v>
      </x:c>
      <x:c r="B154" s="106" t="s">
        <x:v>107</x:v>
      </x:c>
      <x:c r="C154" s="106" t="s">
        <x:v>120</x:v>
      </x:c>
      <x:c r="D154" s="105">
        <x:v>42107</x:v>
      </x:c>
      <x:c r="E154" s="106" t="n">
        <x:v>29724</x:v>
      </x:c>
      <x:c r="F154" s="126" t="n">
        <x:v>2.5</x:v>
      </x:c>
      <x:c r="G154" s="126" t="n">
        <x:v>2.09999999999999</x:v>
      </x:c>
      <x:c r="H154" s="106" t="s"/>
      <x:c r="I154" s="106" t="s"/>
      <x:c r="J154" s="82" t="s"/>
      <x:c r="K154" s="82" t="s"/>
      <x:c r="L154" s="82" t="s"/>
      <x:c r="M154" s="82" t="s"/>
      <x:c r="N154" s="82" t="s"/>
      <x:c r="O154" s="82" t="s"/>
      <x:c r="P154" s="82" t="s"/>
      <x:c r="Q154" s="82" t="s"/>
      <x:c r="R154" s="82" t="s"/>
      <x:c r="S154" s="82" t="s"/>
      <x:c r="T154" s="82" t="s"/>
      <x:c r="U154" s="82" t="s"/>
      <x:c r="V154" s="82" t="s"/>
      <x:c r="W154" s="82" t="s"/>
      <x:c r="X154" s="82" t="s"/>
      <x:c r="Y154" s="82" t="s"/>
      <x:c r="Z154" s="82" t="s"/>
      <x:c r="AA154" s="82" t="s"/>
      <x:c r="AB154" s="82" t="s"/>
      <x:c r="AC154" s="82" t="s"/>
      <x:c r="AD154" s="82" t="s"/>
      <x:c r="AE154" s="82" t="s"/>
      <x:c r="AF154" s="82" t="s"/>
      <x:c r="AG154" s="82" t="s"/>
      <x:c r="AH154" s="82" t="s"/>
      <x:c r="AI154" s="82" t="s"/>
      <x:c r="AJ154" s="82" t="s"/>
      <x:c r="AK154" s="82" t="s"/>
      <x:c r="AL154" s="82" t="s"/>
      <x:c r="AM154" s="82" t="s"/>
      <x:c r="AN154" s="82" t="s"/>
      <x:c r="AO154" s="82" t="s"/>
      <x:c r="AP154" s="82" t="s"/>
      <x:c r="AQ154" s="82" t="s"/>
      <x:c r="AR154" s="82" t="s"/>
      <x:c r="AS154" s="82" t="s"/>
      <x:c r="AT154" s="82" t="s"/>
      <x:c r="AU154" s="82" t="s"/>
      <x:c r="AV154" s="82" t="s"/>
      <x:c r="AW154" s="82" t="s"/>
      <x:c r="AX154" s="82" t="s"/>
      <x:c r="AY154" s="82" t="s"/>
      <x:c r="AZ154" s="82" t="s"/>
      <x:c r="BA154" s="82" t="s"/>
      <x:c r="BB154" s="82" t="s"/>
      <x:c r="BC154" s="82" t="s"/>
      <x:c r="BD154" s="82" t="s"/>
      <x:c r="BE154" s="82" t="s"/>
      <x:c r="BF154" s="82" t="s"/>
      <x:c r="BG154" s="82" t="s"/>
      <x:c r="BH154" s="82" t="s"/>
      <x:c r="BI154" s="82" t="s"/>
      <x:c r="BJ154" s="82" t="s"/>
      <x:c r="BK154" s="82" t="s"/>
      <x:c r="BL154" s="82" t="s"/>
      <x:c r="BM154" s="82" t="s"/>
      <x:c r="BN154" s="82" t="s"/>
      <x:c r="BO154" s="82" t="s"/>
      <x:c r="BP154" s="82" t="s"/>
      <x:c r="BQ154" s="82" t="s"/>
      <x:c r="BR154" s="82" t="s"/>
    </x:row>
    <x:row r="155" spans="1:70" x14ac:dyDescent="0.25">
      <x:c r="A155" s="82" t="s">
        <x:v>106</x:v>
      </x:c>
      <x:c r="B155" s="82" t="s">
        <x:v>107</x:v>
      </x:c>
      <x:c r="C155" s="82" t="s">
        <x:v>108</x:v>
      </x:c>
      <x:c r="D155" s="85">
        <x:v>42107</x:v>
      </x:c>
      <x:c r="E155" s="82" t="n">
        <x:v>29734</x:v>
      </x:c>
      <x:c r="F155" s="86" t="n">
        <x:v>0.0860716212129149</x:v>
      </x:c>
      <x:c r="G155" s="86" t="n">
        <x:v>0.0365368474882212</x:v>
      </x:c>
      <x:c r="H155" s="86" t="n">
        <x:v>0.0647305141126582</x:v>
      </x:c>
      <x:c r="I155" s="86" t="n">
        <x:v>0.0323763601829558</x:v>
      </x:c>
      <x:c r="J155" s="82" t="s"/>
      <x:c r="K155" s="82" t="s"/>
      <x:c r="L155" s="82" t="s"/>
      <x:c r="M155" s="82" t="s"/>
      <x:c r="N155" s="82" t="s"/>
      <x:c r="O155" s="82" t="s"/>
      <x:c r="P155" s="82" t="s"/>
      <x:c r="Q155" s="82" t="s"/>
      <x:c r="R155" s="82" t="s"/>
      <x:c r="S155" s="82" t="s"/>
      <x:c r="T155" s="82" t="s"/>
      <x:c r="U155" s="82" t="s"/>
      <x:c r="V155" s="82" t="s"/>
      <x:c r="W155" s="82" t="s"/>
      <x:c r="X155" s="82" t="s"/>
      <x:c r="Y155" s="82" t="s"/>
      <x:c r="Z155" s="82" t="s"/>
      <x:c r="AA155" s="82" t="s"/>
      <x:c r="AB155" s="82" t="s"/>
      <x:c r="AC155" s="82" t="s"/>
      <x:c r="AD155" s="82" t="s"/>
      <x:c r="AE155" s="82" t="s"/>
      <x:c r="AF155" s="82" t="s"/>
      <x:c r="AG155" s="82" t="s"/>
      <x:c r="AH155" s="82" t="s"/>
      <x:c r="AI155" s="82" t="s"/>
      <x:c r="AJ155" s="82" t="s"/>
      <x:c r="AK155" s="82" t="s"/>
      <x:c r="AL155" s="82" t="s"/>
      <x:c r="AM155" s="82" t="s"/>
      <x:c r="AN155" s="82" t="s"/>
      <x:c r="AO155" s="82" t="s"/>
      <x:c r="AP155" s="82" t="s"/>
      <x:c r="AQ155" s="82" t="s"/>
      <x:c r="AR155" s="82" t="s"/>
      <x:c r="AS155" s="82" t="s"/>
      <x:c r="AT155" s="82" t="s"/>
      <x:c r="AU155" s="82" t="s"/>
      <x:c r="AV155" s="82" t="s"/>
      <x:c r="AW155" s="82" t="s"/>
      <x:c r="AX155" s="82" t="s"/>
      <x:c r="AY155" s="82" t="s"/>
      <x:c r="AZ155" s="82" t="s"/>
      <x:c r="BA155" s="82" t="s"/>
      <x:c r="BB155" s="82" t="s"/>
      <x:c r="BC155" s="82" t="s"/>
      <x:c r="BD155" s="82" t="s"/>
      <x:c r="BE155" s="82" t="s"/>
      <x:c r="BF155" s="82" t="s"/>
      <x:c r="BG155" s="82" t="s"/>
      <x:c r="BH155" s="82" t="s"/>
      <x:c r="BI155" s="82" t="s"/>
      <x:c r="BJ155" s="82" t="s"/>
      <x:c r="BK155" s="82" t="s"/>
      <x:c r="BL155" s="82" t="s"/>
      <x:c r="BM155" s="82" t="s"/>
      <x:c r="BN155" s="82" t="s"/>
      <x:c r="BO155" s="82" t="s"/>
      <x:c r="BP155" s="82" t="s"/>
      <x:c r="BQ155" s="82" t="s"/>
      <x:c r="BR155" s="82" t="s"/>
    </x:row>
    <x:row r="156" spans="1:70" x14ac:dyDescent="0.25">
      <x:c r="A156" s="82" t="s">
        <x:v>106</x:v>
      </x:c>
      <x:c r="B156" s="82" t="s">
        <x:v>107</x:v>
      </x:c>
      <x:c r="C156" s="82" t="s">
        <x:v>109</x:v>
      </x:c>
      <x:c r="D156" s="85">
        <x:v>42107</x:v>
      </x:c>
      <x:c r="E156" s="82" t="n">
        <x:v>29734</x:v>
      </x:c>
      <x:c r="F156" s="86" t="n">
        <x:v>2.13598810778778</x:v>
      </x:c>
      <x:c r="G156" s="86" t="n">
        <x:v>3.07496129504459</x:v>
      </x:c>
      <x:c r="H156" s="86" t="n">
        <x:v>2.87215071961074</x:v>
      </x:c>
      <x:c r="I156" s="86" t="n">
        <x:v>2.96369632708238</x:v>
      </x:c>
      <x:c r="J156" s="82" t="s"/>
      <x:c r="K156" s="82" t="s"/>
      <x:c r="L156" s="82" t="s"/>
      <x:c r="M156" s="82" t="s"/>
      <x:c r="N156" s="82" t="s"/>
      <x:c r="O156" s="82" t="s"/>
      <x:c r="P156" s="82" t="s"/>
      <x:c r="Q156" s="82" t="s"/>
      <x:c r="R156" s="82" t="s"/>
      <x:c r="S156" s="82" t="s"/>
      <x:c r="T156" s="82" t="s"/>
      <x:c r="U156" s="82" t="s"/>
      <x:c r="V156" s="82" t="s"/>
      <x:c r="W156" s="82" t="s"/>
      <x:c r="X156" s="82" t="s"/>
      <x:c r="Y156" s="82" t="s"/>
      <x:c r="Z156" s="82" t="s"/>
      <x:c r="AA156" s="82" t="s"/>
      <x:c r="AB156" s="82" t="s"/>
      <x:c r="AC156" s="82" t="s"/>
      <x:c r="AD156" s="82" t="s"/>
      <x:c r="AE156" s="82" t="s"/>
      <x:c r="AF156" s="82" t="s"/>
      <x:c r="AG156" s="82" t="s"/>
      <x:c r="AH156" s="82" t="s"/>
      <x:c r="AI156" s="82" t="s"/>
      <x:c r="AJ156" s="82" t="s"/>
      <x:c r="AK156" s="82" t="s"/>
      <x:c r="AL156" s="82" t="s"/>
      <x:c r="AM156" s="82" t="s"/>
      <x:c r="AN156" s="82" t="s"/>
      <x:c r="AO156" s="82" t="s"/>
      <x:c r="AP156" s="82" t="s"/>
      <x:c r="AQ156" s="82" t="s"/>
      <x:c r="AR156" s="82" t="s"/>
      <x:c r="AS156" s="82" t="s"/>
      <x:c r="AT156" s="82" t="s"/>
      <x:c r="AU156" s="82" t="s"/>
      <x:c r="AV156" s="82" t="s"/>
      <x:c r="AW156" s="82" t="s"/>
      <x:c r="AX156" s="82" t="s"/>
      <x:c r="AY156" s="82" t="s"/>
      <x:c r="AZ156" s="82" t="s"/>
      <x:c r="BA156" s="82" t="s"/>
      <x:c r="BB156" s="82" t="s"/>
      <x:c r="BC156" s="82" t="s"/>
      <x:c r="BD156" s="82" t="s"/>
      <x:c r="BE156" s="82" t="s"/>
      <x:c r="BF156" s="82" t="s"/>
      <x:c r="BG156" s="82" t="s"/>
      <x:c r="BH156" s="82" t="s"/>
      <x:c r="BI156" s="82" t="s"/>
      <x:c r="BJ156" s="82" t="s"/>
      <x:c r="BK156" s="82" t="s"/>
      <x:c r="BL156" s="82" t="s"/>
      <x:c r="BM156" s="82" t="s"/>
      <x:c r="BN156" s="82" t="s"/>
      <x:c r="BO156" s="82" t="s"/>
      <x:c r="BP156" s="82" t="s"/>
      <x:c r="BQ156" s="82" t="s"/>
      <x:c r="BR156" s="82" t="s"/>
    </x:row>
    <x:row r="157" spans="1:70" x14ac:dyDescent="0.25">
      <x:c r="A157" s="82" t="s">
        <x:v>106</x:v>
      </x:c>
      <x:c r="B157" s="82" t="s">
        <x:v>107</x:v>
      </x:c>
      <x:c r="C157" s="82" t="s">
        <x:v>110</x:v>
      </x:c>
      <x:c r="D157" s="85">
        <x:v>42107</x:v>
      </x:c>
      <x:c r="E157" s="82" t="n">
        <x:v>29734</x:v>
      </x:c>
      <x:c r="F157" s="86" t="n">
        <x:v>0.361232173313111</x:v>
      </x:c>
      <x:c r="G157" s="86" t="n">
        <x:v>0.399286066425666</x:v>
      </x:c>
      <x:c r="H157" s="86" t="n">
        <x:v>0.280872474905397</x:v>
      </x:c>
      <x:c r="I157" s="86" t="n">
        <x:v>0.321252143485525</x:v>
      </x:c>
      <x:c r="J157" s="82" t="s"/>
      <x:c r="K157" s="82" t="s"/>
      <x:c r="L157" s="82" t="s"/>
      <x:c r="M157" s="82" t="s"/>
      <x:c r="N157" s="82" t="s"/>
      <x:c r="O157" s="82" t="s"/>
      <x:c r="P157" s="82" t="s"/>
      <x:c r="Q157" s="82" t="s"/>
      <x:c r="R157" s="82" t="s"/>
      <x:c r="S157" s="82" t="s"/>
      <x:c r="T157" s="82" t="s"/>
      <x:c r="U157" s="82" t="s"/>
      <x:c r="V157" s="82" t="s"/>
      <x:c r="W157" s="82" t="s"/>
      <x:c r="X157" s="82" t="s"/>
      <x:c r="Y157" s="82" t="s"/>
      <x:c r="Z157" s="82" t="s"/>
      <x:c r="AA157" s="82" t="s"/>
      <x:c r="AB157" s="82" t="s"/>
      <x:c r="AC157" s="82" t="s"/>
      <x:c r="AD157" s="82" t="s"/>
      <x:c r="AE157" s="82" t="s"/>
      <x:c r="AF157" s="82" t="s"/>
      <x:c r="AG157" s="82" t="s"/>
      <x:c r="AH157" s="82" t="s"/>
      <x:c r="AI157" s="82" t="s"/>
      <x:c r="AJ157" s="82" t="s"/>
      <x:c r="AK157" s="82" t="s"/>
      <x:c r="AL157" s="82" t="s"/>
      <x:c r="AM157" s="82" t="s"/>
      <x:c r="AN157" s="82" t="s"/>
      <x:c r="AO157" s="82" t="s"/>
      <x:c r="AP157" s="82" t="s"/>
      <x:c r="AQ157" s="82" t="s"/>
      <x:c r="AR157" s="82" t="s"/>
      <x:c r="AS157" s="82" t="s"/>
      <x:c r="AT157" s="82" t="s"/>
      <x:c r="AU157" s="82" t="s"/>
      <x:c r="AV157" s="82" t="s"/>
      <x:c r="AW157" s="82" t="s"/>
      <x:c r="AX157" s="82" t="s"/>
      <x:c r="AY157" s="82" t="s"/>
      <x:c r="AZ157" s="82" t="s"/>
      <x:c r="BA157" s="82" t="s"/>
      <x:c r="BB157" s="82" t="s"/>
      <x:c r="BC157" s="82" t="s"/>
      <x:c r="BD157" s="82" t="s"/>
      <x:c r="BE157" s="82" t="s"/>
      <x:c r="BF157" s="82" t="s"/>
      <x:c r="BG157" s="82" t="s"/>
      <x:c r="BH157" s="82" t="s"/>
      <x:c r="BI157" s="82" t="s"/>
      <x:c r="BJ157" s="82" t="s"/>
      <x:c r="BK157" s="82" t="s"/>
      <x:c r="BL157" s="82" t="s"/>
      <x:c r="BM157" s="82" t="s"/>
      <x:c r="BN157" s="82" t="s"/>
      <x:c r="BO157" s="82" t="s"/>
      <x:c r="BP157" s="82" t="s"/>
      <x:c r="BQ157" s="82" t="s"/>
      <x:c r="BR157" s="82" t="s"/>
    </x:row>
    <x:row r="158" spans="1:70" x14ac:dyDescent="0.25">
      <x:c r="A158" s="82" t="s">
        <x:v>106</x:v>
      </x:c>
      <x:c r="B158" s="82" t="s">
        <x:v>107</x:v>
      </x:c>
      <x:c r="C158" s="82" t="s">
        <x:v>111</x:v>
      </x:c>
      <x:c r="D158" s="85">
        <x:v>42107</x:v>
      </x:c>
      <x:c r="E158" s="82" t="n">
        <x:v>29734</x:v>
      </x:c>
      <x:c r="F158" s="86" t="n">
        <x:v>5.23959766260256</x:v>
      </x:c>
      <x:c r="G158" s="86" t="n">
        <x:v>3.39104072577365</x:v>
      </x:c>
      <x:c r="H158" s="86" t="n">
        <x:v>4.48942370154355</x:v>
      </x:c>
      <x:c r="I158" s="86" t="n">
        <x:v>3.64245272365678</x:v>
      </x:c>
      <x:c r="J158" s="82" t="s"/>
      <x:c r="K158" s="82" t="s"/>
      <x:c r="L158" s="82" t="s"/>
      <x:c r="M158" s="82" t="s"/>
      <x:c r="N158" s="82" t="s"/>
      <x:c r="O158" s="82" t="s"/>
      <x:c r="P158" s="82" t="s"/>
      <x:c r="Q158" s="82" t="s"/>
      <x:c r="R158" s="82" t="s"/>
      <x:c r="S158" s="82" t="s"/>
      <x:c r="T158" s="82" t="s"/>
      <x:c r="U158" s="82" t="s"/>
      <x:c r="V158" s="82" t="s"/>
      <x:c r="W158" s="82" t="s"/>
      <x:c r="X158" s="82" t="s"/>
      <x:c r="Y158" s="82" t="s"/>
      <x:c r="Z158" s="82" t="s"/>
      <x:c r="AA158" s="82" t="s"/>
      <x:c r="AB158" s="82" t="s"/>
      <x:c r="AC158" s="82" t="s"/>
      <x:c r="AD158" s="82" t="s"/>
      <x:c r="AE158" s="82" t="s"/>
      <x:c r="AF158" s="82" t="s"/>
      <x:c r="AG158" s="82" t="s"/>
      <x:c r="AH158" s="82" t="s"/>
      <x:c r="AI158" s="82" t="s"/>
      <x:c r="AJ158" s="82" t="s"/>
      <x:c r="AK158" s="82" t="s"/>
      <x:c r="AL158" s="82" t="s"/>
      <x:c r="AM158" s="82" t="s"/>
      <x:c r="AN158" s="82" t="s"/>
      <x:c r="AO158" s="82" t="s"/>
      <x:c r="AP158" s="82" t="s"/>
      <x:c r="AQ158" s="82" t="s"/>
      <x:c r="AR158" s="82" t="s"/>
      <x:c r="AS158" s="82" t="s"/>
      <x:c r="AT158" s="82" t="s"/>
      <x:c r="AU158" s="82" t="s"/>
      <x:c r="AV158" s="82" t="s"/>
      <x:c r="AW158" s="82" t="s"/>
      <x:c r="AX158" s="82" t="s"/>
      <x:c r="AY158" s="82" t="s"/>
      <x:c r="AZ158" s="82" t="s"/>
      <x:c r="BA158" s="82" t="s"/>
      <x:c r="BB158" s="82" t="s"/>
      <x:c r="BC158" s="82" t="s"/>
      <x:c r="BD158" s="82" t="s"/>
      <x:c r="BE158" s="82" t="s"/>
      <x:c r="BF158" s="82" t="s"/>
      <x:c r="BG158" s="82" t="s"/>
      <x:c r="BH158" s="82" t="s"/>
      <x:c r="BI158" s="82" t="s"/>
      <x:c r="BJ158" s="82" t="s"/>
      <x:c r="BK158" s="82" t="s"/>
      <x:c r="BL158" s="82" t="s"/>
      <x:c r="BM158" s="82" t="s"/>
      <x:c r="BN158" s="82" t="s"/>
      <x:c r="BO158" s="82" t="s"/>
      <x:c r="BP158" s="82" t="s"/>
      <x:c r="BQ158" s="82" t="s"/>
      <x:c r="BR158" s="82" t="s"/>
    </x:row>
    <x:row r="159" spans="1:70" x14ac:dyDescent="0.25">
      <x:c r="A159" s="82" t="s">
        <x:v>106</x:v>
      </x:c>
      <x:c r="B159" s="82" t="s">
        <x:v>107</x:v>
      </x:c>
      <x:c r="C159" s="82" t="s">
        <x:v>112</x:v>
      </x:c>
      <x:c r="D159" s="85">
        <x:v>42107</x:v>
      </x:c>
      <x:c r="E159" s="82" t="n">
        <x:v>29734</x:v>
      </x:c>
      <x:c r="F159" s="82" t="n">
        <x:v>15.6964318182965</x:v>
      </x:c>
      <x:c r="G159" s="82" t="n">
        <x:v>10.1586501431361</x:v>
      </x:c>
      <x:c r="H159" s="82" t="n">
        <x:v>13.4491114723722</x:v>
      </x:c>
      <x:c r="I159" s="82" t="n">
        <x:v>10.9118131791532</x:v>
      </x:c>
      <x:c r="J159" s="82" t="s"/>
      <x:c r="K159" s="82" t="s"/>
      <x:c r="L159" s="82" t="s"/>
      <x:c r="M159" s="82" t="s"/>
      <x:c r="N159" s="82" t="s"/>
      <x:c r="O159" s="82" t="s"/>
      <x:c r="P159" s="82" t="s"/>
      <x:c r="Q159" s="82" t="s"/>
      <x:c r="R159" s="82" t="s"/>
      <x:c r="S159" s="82" t="s"/>
      <x:c r="T159" s="82" t="s"/>
      <x:c r="U159" s="82" t="s"/>
      <x:c r="V159" s="82" t="s"/>
      <x:c r="W159" s="82" t="s"/>
      <x:c r="X159" s="82" t="s"/>
      <x:c r="Y159" s="82" t="s"/>
      <x:c r="Z159" s="82" t="s"/>
      <x:c r="AA159" s="82" t="s"/>
      <x:c r="AB159" s="82" t="s"/>
      <x:c r="AC159" s="82" t="s"/>
      <x:c r="AD159" s="82" t="s"/>
      <x:c r="AE159" s="82" t="s"/>
      <x:c r="AF159" s="82" t="s"/>
      <x:c r="AG159" s="82" t="s"/>
      <x:c r="AH159" s="82" t="s"/>
      <x:c r="AI159" s="82" t="s"/>
      <x:c r="AJ159" s="82" t="s"/>
      <x:c r="AK159" s="82" t="s"/>
      <x:c r="AL159" s="82" t="s"/>
      <x:c r="AM159" s="82" t="s"/>
      <x:c r="AN159" s="82" t="s"/>
      <x:c r="AO159" s="82" t="s"/>
      <x:c r="AP159" s="82" t="s"/>
      <x:c r="AQ159" s="82" t="s"/>
      <x:c r="AR159" s="82" t="s"/>
      <x:c r="AS159" s="82" t="s"/>
      <x:c r="AT159" s="82" t="s"/>
      <x:c r="AU159" s="82" t="s"/>
      <x:c r="AV159" s="82" t="s"/>
      <x:c r="AW159" s="82" t="s"/>
      <x:c r="AX159" s="82" t="s"/>
      <x:c r="AY159" s="82" t="s"/>
      <x:c r="AZ159" s="82" t="s"/>
      <x:c r="BA159" s="82" t="s"/>
      <x:c r="BB159" s="82" t="s"/>
      <x:c r="BC159" s="82" t="s"/>
      <x:c r="BD159" s="82" t="s"/>
      <x:c r="BE159" s="82" t="s"/>
      <x:c r="BF159" s="82" t="s"/>
      <x:c r="BG159" s="82" t="s"/>
      <x:c r="BH159" s="82" t="s"/>
      <x:c r="BI159" s="82" t="s"/>
      <x:c r="BJ159" s="82" t="s"/>
      <x:c r="BK159" s="82" t="s"/>
      <x:c r="BL159" s="82" t="s"/>
      <x:c r="BM159" s="82" t="s"/>
      <x:c r="BN159" s="82" t="s"/>
      <x:c r="BO159" s="82" t="s"/>
      <x:c r="BP159" s="82" t="s"/>
      <x:c r="BQ159" s="82" t="s"/>
      <x:c r="BR159" s="82" t="s"/>
    </x:row>
    <x:row r="160" spans="1:70" x14ac:dyDescent="0.25">
      <x:c r="A160" s="82" t="s">
        <x:v>106</x:v>
      </x:c>
      <x:c r="B160" s="82" t="s">
        <x:v>107</x:v>
      </x:c>
      <x:c r="C160" s="82" t="s">
        <x:v>113</x:v>
      </x:c>
      <x:c r="D160" s="85">
        <x:v>42107</x:v>
      </x:c>
      <x:c r="E160" s="82" t="n">
        <x:v>29734</x:v>
      </x:c>
      <x:c r="F160" s="88" t="n">
        <x:v>-7.403</x:v>
      </x:c>
      <x:c r="G160" s="88" t="n">
        <x:v>-8.134</x:v>
      </x:c>
      <x:c r="H160" s="82" t="s"/>
      <x:c r="I160" s="82" t="s"/>
      <x:c r="J160" s="82" t="s"/>
      <x:c r="K160" s="82" t="s"/>
      <x:c r="L160" s="82" t="s"/>
      <x:c r="M160" s="82" t="s"/>
      <x:c r="N160" s="82" t="s"/>
      <x:c r="O160" s="82" t="s"/>
      <x:c r="P160" s="82" t="s"/>
      <x:c r="Q160" s="82" t="s"/>
      <x:c r="R160" s="82" t="s"/>
      <x:c r="S160" s="82" t="s"/>
      <x:c r="T160" s="82" t="s"/>
      <x:c r="U160" s="82" t="s"/>
      <x:c r="V160" s="82" t="s"/>
      <x:c r="W160" s="82" t="s"/>
      <x:c r="X160" s="82" t="s"/>
      <x:c r="Y160" s="82" t="s"/>
      <x:c r="Z160" s="82" t="s"/>
      <x:c r="AA160" s="82" t="s"/>
      <x:c r="AB160" s="82" t="s"/>
      <x:c r="AC160" s="82" t="s"/>
      <x:c r="AD160" s="82" t="s"/>
      <x:c r="AE160" s="82" t="s"/>
      <x:c r="AF160" s="82" t="s"/>
      <x:c r="AG160" s="82" t="s"/>
      <x:c r="AH160" s="82" t="s"/>
      <x:c r="AI160" s="82" t="s"/>
      <x:c r="AJ160" s="82" t="s"/>
      <x:c r="AK160" s="82" t="s"/>
      <x:c r="AL160" s="82" t="s"/>
      <x:c r="AM160" s="82" t="s"/>
      <x:c r="AN160" s="82" t="s"/>
      <x:c r="AO160" s="82" t="s"/>
      <x:c r="AP160" s="82" t="s"/>
      <x:c r="AQ160" s="82" t="s"/>
      <x:c r="AR160" s="82" t="s"/>
      <x:c r="AS160" s="82" t="s"/>
      <x:c r="AT160" s="82" t="s"/>
      <x:c r="AU160" s="82" t="s"/>
      <x:c r="AV160" s="82" t="s"/>
      <x:c r="AW160" s="82" t="s"/>
      <x:c r="AX160" s="82" t="s"/>
      <x:c r="AY160" s="82" t="s"/>
      <x:c r="AZ160" s="82" t="s"/>
      <x:c r="BA160" s="82" t="s"/>
      <x:c r="BB160" s="82" t="s"/>
      <x:c r="BC160" s="82" t="s"/>
      <x:c r="BD160" s="82" t="s"/>
      <x:c r="BE160" s="82" t="s"/>
      <x:c r="BF160" s="82" t="s"/>
      <x:c r="BG160" s="82" t="s"/>
      <x:c r="BH160" s="82" t="s"/>
      <x:c r="BI160" s="82" t="s"/>
      <x:c r="BJ160" s="82" t="s"/>
      <x:c r="BK160" s="82" t="s"/>
      <x:c r="BL160" s="82" t="s"/>
      <x:c r="BM160" s="82" t="s"/>
      <x:c r="BN160" s="82" t="s"/>
      <x:c r="BO160" s="82" t="s"/>
      <x:c r="BP160" s="82" t="s"/>
      <x:c r="BQ160" s="82" t="s"/>
      <x:c r="BR160" s="82" t="s"/>
    </x:row>
    <x:row r="161" spans="1:70" x14ac:dyDescent="0.25">
      <x:c r="A161" s="82" t="s">
        <x:v>106</x:v>
      </x:c>
      <x:c r="B161" s="82" t="s">
        <x:v>107</x:v>
      </x:c>
      <x:c r="C161" s="82" t="s">
        <x:v>114</x:v>
      </x:c>
      <x:c r="D161" s="85">
        <x:v>42107</x:v>
      </x:c>
      <x:c r="E161" s="82" t="n">
        <x:v>29734</x:v>
      </x:c>
      <x:c r="F161" s="88" t="n">
        <x:v>1</x:v>
      </x:c>
      <x:c r="G161" s="88" t="n">
        <x:v>0.652</x:v>
      </x:c>
      <x:c r="H161" s="82" t="s"/>
      <x:c r="I161" s="82" t="s"/>
      <x:c r="J161" s="82" t="s"/>
      <x:c r="K161" s="82" t="s"/>
      <x:c r="L161" s="82" t="s"/>
      <x:c r="M161" s="82" t="s"/>
      <x:c r="N161" s="82" t="s"/>
      <x:c r="O161" s="82" t="s"/>
      <x:c r="P161" s="82" t="s"/>
      <x:c r="Q161" s="82" t="s"/>
      <x:c r="R161" s="82" t="s"/>
      <x:c r="S161" s="82" t="s"/>
      <x:c r="T161" s="82" t="s"/>
      <x:c r="U161" s="82" t="s"/>
      <x:c r="V161" s="82" t="s"/>
      <x:c r="W161" s="82" t="s"/>
      <x:c r="X161" s="82" t="s"/>
      <x:c r="Y161" s="82" t="s"/>
      <x:c r="Z161" s="82" t="s"/>
      <x:c r="AA161" s="82" t="s"/>
      <x:c r="AB161" s="82" t="s"/>
      <x:c r="AC161" s="82" t="s"/>
      <x:c r="AD161" s="82" t="s"/>
      <x:c r="AE161" s="82" t="s"/>
      <x:c r="AF161" s="82" t="s"/>
      <x:c r="AG161" s="82" t="s"/>
      <x:c r="AH161" s="82" t="s"/>
      <x:c r="AI161" s="82" t="s"/>
      <x:c r="AJ161" s="82" t="s"/>
      <x:c r="AK161" s="82" t="s"/>
      <x:c r="AL161" s="82" t="s"/>
      <x:c r="AM161" s="82" t="s"/>
      <x:c r="AN161" s="82" t="s"/>
      <x:c r="AO161" s="82" t="s"/>
      <x:c r="AP161" s="82" t="s"/>
      <x:c r="AQ161" s="82" t="s"/>
      <x:c r="AR161" s="82" t="s"/>
      <x:c r="AS161" s="82" t="s"/>
      <x:c r="AT161" s="82" t="s"/>
      <x:c r="AU161" s="82" t="s"/>
      <x:c r="AV161" s="82" t="s"/>
      <x:c r="AW161" s="82" t="s"/>
      <x:c r="AX161" s="82" t="s"/>
      <x:c r="AY161" s="82" t="s"/>
      <x:c r="AZ161" s="82" t="s"/>
      <x:c r="BA161" s="82" t="s"/>
      <x:c r="BB161" s="82" t="s"/>
      <x:c r="BC161" s="82" t="s"/>
      <x:c r="BD161" s="82" t="s"/>
      <x:c r="BE161" s="82" t="s"/>
      <x:c r="BF161" s="82" t="s"/>
      <x:c r="BG161" s="82" t="s"/>
      <x:c r="BH161" s="82" t="s"/>
      <x:c r="BI161" s="82" t="s"/>
      <x:c r="BJ161" s="82" t="s"/>
      <x:c r="BK161" s="82" t="s"/>
      <x:c r="BL161" s="82" t="s"/>
      <x:c r="BM161" s="82" t="s"/>
      <x:c r="BN161" s="82" t="s"/>
      <x:c r="BO161" s="82" t="s"/>
      <x:c r="BP161" s="82" t="s"/>
      <x:c r="BQ161" s="82" t="s"/>
      <x:c r="BR161" s="82" t="s"/>
    </x:row>
    <x:row r="162" spans="1:70" x14ac:dyDescent="0.25">
      <x:c r="A162" s="82" t="s">
        <x:v>106</x:v>
      </x:c>
      <x:c r="B162" s="82" t="s">
        <x:v>107</x:v>
      </x:c>
      <x:c r="C162" s="82" t="s">
        <x:v>115</x:v>
      </x:c>
      <x:c r="D162" s="85">
        <x:v>42107</x:v>
      </x:c>
      <x:c r="E162" s="82" t="n">
        <x:v>29734</x:v>
      </x:c>
      <x:c r="F162" s="101" t="n">
        <x:v>-8.159</x:v>
      </x:c>
      <x:c r="G162" s="101" t="n">
        <x:v>-8.492</x:v>
      </x:c>
      <x:c r="H162" s="82" t="s"/>
      <x:c r="I162" s="82" t="s"/>
      <x:c r="J162" s="82" t="s"/>
      <x:c r="K162" s="82" t="s"/>
      <x:c r="L162" s="82" t="s"/>
      <x:c r="M162" s="82" t="s"/>
      <x:c r="N162" s="82" t="s"/>
      <x:c r="O162" s="82" t="s"/>
      <x:c r="P162" s="82" t="s"/>
      <x:c r="Q162" s="82" t="s"/>
      <x:c r="R162" s="82" t="s"/>
      <x:c r="S162" s="82" t="s"/>
      <x:c r="T162" s="82" t="s"/>
      <x:c r="U162" s="82" t="s"/>
      <x:c r="V162" s="82" t="s"/>
      <x:c r="W162" s="82" t="s"/>
      <x:c r="X162" s="82" t="s"/>
      <x:c r="Y162" s="82" t="s"/>
      <x:c r="Z162" s="82" t="s"/>
      <x:c r="AA162" s="82" t="s"/>
      <x:c r="AB162" s="82" t="s"/>
      <x:c r="AC162" s="82" t="s"/>
      <x:c r="AD162" s="82" t="s"/>
      <x:c r="AE162" s="82" t="s"/>
      <x:c r="AF162" s="82" t="s"/>
      <x:c r="AG162" s="82" t="s"/>
      <x:c r="AH162" s="82" t="s"/>
      <x:c r="AI162" s="82" t="s"/>
      <x:c r="AJ162" s="82" t="s"/>
      <x:c r="AK162" s="82" t="s"/>
      <x:c r="AL162" s="82" t="s"/>
      <x:c r="AM162" s="82" t="s"/>
      <x:c r="AN162" s="82" t="s"/>
      <x:c r="AO162" s="82" t="s"/>
      <x:c r="AP162" s="82" t="s"/>
      <x:c r="AQ162" s="82" t="s"/>
      <x:c r="AR162" s="82" t="s"/>
      <x:c r="AS162" s="82" t="s"/>
      <x:c r="AT162" s="82" t="s"/>
      <x:c r="AU162" s="82" t="s"/>
      <x:c r="AV162" s="82" t="s"/>
      <x:c r="AW162" s="82" t="s"/>
      <x:c r="AX162" s="82" t="s"/>
      <x:c r="AY162" s="82" t="s"/>
      <x:c r="AZ162" s="82" t="s"/>
      <x:c r="BA162" s="82" t="s"/>
      <x:c r="BB162" s="82" t="s"/>
      <x:c r="BC162" s="82" t="s"/>
      <x:c r="BD162" s="82" t="s"/>
      <x:c r="BE162" s="82" t="s"/>
      <x:c r="BF162" s="82" t="s"/>
      <x:c r="BG162" s="82" t="s"/>
      <x:c r="BH162" s="82" t="s"/>
      <x:c r="BI162" s="82" t="s"/>
      <x:c r="BJ162" s="82" t="s"/>
      <x:c r="BK162" s="82" t="s"/>
      <x:c r="BL162" s="82" t="s"/>
      <x:c r="BM162" s="82" t="s"/>
      <x:c r="BN162" s="82" t="s"/>
      <x:c r="BO162" s="82" t="s"/>
      <x:c r="BP162" s="82" t="s"/>
      <x:c r="BQ162" s="82" t="s"/>
      <x:c r="BR162" s="82" t="s"/>
    </x:row>
    <x:row r="163" spans="1:70" x14ac:dyDescent="0.25">
      <x:c r="A163" s="82" t="s">
        <x:v>106</x:v>
      </x:c>
      <x:c r="B163" s="82" t="s">
        <x:v>107</x:v>
      </x:c>
      <x:c r="C163" s="82" t="s">
        <x:v>116</x:v>
      </x:c>
      <x:c r="D163" s="85">
        <x:v>42107</x:v>
      </x:c>
      <x:c r="E163" s="82" t="n">
        <x:v>29734</x:v>
      </x:c>
      <x:c r="F163" s="101" t="n">
        <x:v>0.616</x:v>
      </x:c>
      <x:c r="G163" s="101" t="n">
        <x:v>0.828</x:v>
      </x:c>
      <x:c r="H163" s="82" t="s"/>
      <x:c r="I163" s="82" t="s"/>
      <x:c r="J163" s="82" t="s"/>
      <x:c r="K163" s="82" t="s"/>
      <x:c r="L163" s="82" t="s"/>
      <x:c r="M163" s="82" t="s"/>
      <x:c r="N163" s="82" t="s"/>
      <x:c r="O163" s="82" t="s"/>
      <x:c r="P163" s="82" t="s"/>
      <x:c r="Q163" s="82" t="s"/>
      <x:c r="R163" s="82" t="s"/>
      <x:c r="S163" s="82" t="s"/>
      <x:c r="T163" s="82" t="s"/>
      <x:c r="U163" s="82" t="s"/>
      <x:c r="V163" s="82" t="s"/>
      <x:c r="W163" s="82" t="s"/>
      <x:c r="X163" s="82" t="s"/>
      <x:c r="Y163" s="82" t="s"/>
      <x:c r="Z163" s="82" t="s"/>
      <x:c r="AA163" s="82" t="s"/>
      <x:c r="AB163" s="82" t="s"/>
      <x:c r="AC163" s="82" t="s"/>
      <x:c r="AD163" s="82" t="s"/>
      <x:c r="AE163" s="82" t="s"/>
      <x:c r="AF163" s="82" t="s"/>
      <x:c r="AG163" s="82" t="s"/>
      <x:c r="AH163" s="82" t="s"/>
      <x:c r="AI163" s="82" t="s"/>
      <x:c r="AJ163" s="82" t="s"/>
      <x:c r="AK163" s="82" t="s"/>
      <x:c r="AL163" s="82" t="s"/>
      <x:c r="AM163" s="82" t="s"/>
      <x:c r="AN163" s="82" t="s"/>
      <x:c r="AO163" s="82" t="s"/>
      <x:c r="AP163" s="82" t="s"/>
      <x:c r="AQ163" s="82" t="s"/>
      <x:c r="AR163" s="82" t="s"/>
      <x:c r="AS163" s="82" t="s"/>
      <x:c r="AT163" s="82" t="s"/>
      <x:c r="AU163" s="82" t="s"/>
      <x:c r="AV163" s="82" t="s"/>
      <x:c r="AW163" s="82" t="s"/>
      <x:c r="AX163" s="82" t="s"/>
      <x:c r="AY163" s="82" t="s"/>
      <x:c r="AZ163" s="82" t="s"/>
      <x:c r="BA163" s="82" t="s"/>
      <x:c r="BB163" s="82" t="s"/>
      <x:c r="BC163" s="82" t="s"/>
      <x:c r="BD163" s="82" t="s"/>
      <x:c r="BE163" s="82" t="s"/>
      <x:c r="BF163" s="82" t="s"/>
      <x:c r="BG163" s="82" t="s"/>
      <x:c r="BH163" s="82" t="s"/>
      <x:c r="BI163" s="82" t="s"/>
      <x:c r="BJ163" s="82" t="s"/>
      <x:c r="BK163" s="82" t="s"/>
      <x:c r="BL163" s="82" t="s"/>
      <x:c r="BM163" s="82" t="s"/>
      <x:c r="BN163" s="82" t="s"/>
      <x:c r="BO163" s="82" t="s"/>
      <x:c r="BP163" s="82" t="s"/>
      <x:c r="BQ163" s="82" t="s"/>
      <x:c r="BR163" s="82" t="s"/>
    </x:row>
    <x:row r="164" spans="1:70" x14ac:dyDescent="0.25">
      <x:c r="A164" s="82" t="s">
        <x:v>106</x:v>
      </x:c>
      <x:c r="B164" s="82" t="s">
        <x:v>107</x:v>
      </x:c>
      <x:c r="C164" s="82" t="s">
        <x:v>17</x:v>
      </x:c>
      <x:c r="D164" s="85">
        <x:v>42107</x:v>
      </x:c>
      <x:c r="E164" s="82" t="n">
        <x:v>29734</x:v>
      </x:c>
      <x:c r="F164" s="102" t="n">
        <x:v>39.3705180014811</x:v>
      </x:c>
      <x:c r="G164" s="102" t="n">
        <x:v>42.4724233610211</x:v>
      </x:c>
      <x:c r="H164" s="82" t="s"/>
      <x:c r="I164" s="82" t="s"/>
      <x:c r="J164" s="82" t="s"/>
      <x:c r="K164" s="82" t="s"/>
      <x:c r="L164" s="82" t="s"/>
      <x:c r="M164" s="82" t="s"/>
      <x:c r="N164" s="82" t="s"/>
      <x:c r="O164" s="82" t="s"/>
      <x:c r="P164" s="82" t="s"/>
      <x:c r="Q164" s="82" t="s"/>
      <x:c r="R164" s="82" t="s"/>
      <x:c r="S164" s="82" t="s"/>
      <x:c r="T164" s="82" t="s"/>
      <x:c r="U164" s="82" t="s"/>
      <x:c r="V164" s="82" t="s"/>
      <x:c r="W164" s="82" t="s"/>
      <x:c r="X164" s="82" t="s"/>
      <x:c r="Y164" s="82" t="s"/>
      <x:c r="Z164" s="82" t="s"/>
      <x:c r="AA164" s="82" t="s"/>
      <x:c r="AB164" s="82" t="s"/>
      <x:c r="AC164" s="82" t="s"/>
      <x:c r="AD164" s="82" t="s"/>
      <x:c r="AE164" s="82" t="s"/>
      <x:c r="AF164" s="82" t="s"/>
      <x:c r="AG164" s="82" t="s"/>
      <x:c r="AH164" s="82" t="s"/>
      <x:c r="AI164" s="82" t="s"/>
      <x:c r="AJ164" s="82" t="s"/>
      <x:c r="AK164" s="82" t="s"/>
      <x:c r="AL164" s="82" t="s"/>
      <x:c r="AM164" s="82" t="s"/>
      <x:c r="AN164" s="82" t="s"/>
      <x:c r="AO164" s="82" t="s"/>
      <x:c r="AP164" s="82" t="s"/>
      <x:c r="AQ164" s="82" t="s"/>
      <x:c r="AR164" s="82" t="s"/>
      <x:c r="AS164" s="82" t="s"/>
      <x:c r="AT164" s="82" t="s"/>
      <x:c r="AU164" s="82" t="s"/>
      <x:c r="AV164" s="82" t="s"/>
      <x:c r="AW164" s="82" t="s"/>
      <x:c r="AX164" s="82" t="s"/>
      <x:c r="AY164" s="82" t="s"/>
      <x:c r="AZ164" s="82" t="s"/>
      <x:c r="BA164" s="82" t="s"/>
      <x:c r="BB164" s="82" t="s"/>
      <x:c r="BC164" s="82" t="s"/>
      <x:c r="BD164" s="82" t="s"/>
      <x:c r="BE164" s="82" t="s"/>
      <x:c r="BF164" s="82" t="s"/>
      <x:c r="BG164" s="82" t="s"/>
      <x:c r="BH164" s="82" t="s"/>
      <x:c r="BI164" s="82" t="s"/>
      <x:c r="BJ164" s="82" t="s"/>
      <x:c r="BK164" s="82" t="s"/>
      <x:c r="BL164" s="82" t="s"/>
      <x:c r="BM164" s="82" t="s"/>
      <x:c r="BN164" s="82" t="s"/>
      <x:c r="BO164" s="82" t="s"/>
      <x:c r="BP164" s="82" t="s"/>
      <x:c r="BQ164" s="82" t="s"/>
      <x:c r="BR164" s="82" t="s"/>
    </x:row>
    <x:row r="165" spans="1:70" x14ac:dyDescent="0.25">
      <x:c r="A165" s="82" t="s">
        <x:v>106</x:v>
      </x:c>
      <x:c r="B165" s="82" t="s">
        <x:v>107</x:v>
      </x:c>
      <x:c r="C165" s="82" t="s">
        <x:v>18</x:v>
      </x:c>
      <x:c r="D165" s="85">
        <x:v>42107</x:v>
      </x:c>
      <x:c r="E165" s="82" t="n">
        <x:v>29734</x:v>
      </x:c>
      <x:c r="F165" s="102" t="n">
        <x:v>0.0630328386861089</x:v>
      </x:c>
      <x:c r="G165" s="102" t="n">
        <x:v>0.0666173029320321</x:v>
      </x:c>
      <x:c r="H165" s="82" t="s"/>
      <x:c r="I165" s="82" t="s"/>
      <x:c r="J165" s="82" t="s"/>
      <x:c r="K165" s="82" t="s"/>
      <x:c r="L165" s="82" t="s"/>
      <x:c r="M165" s="82" t="s"/>
      <x:c r="N165" s="82" t="s"/>
      <x:c r="O165" s="82" t="s"/>
      <x:c r="P165" s="82" t="s"/>
      <x:c r="Q165" s="82" t="s"/>
      <x:c r="R165" s="82" t="s"/>
      <x:c r="S165" s="82" t="s"/>
      <x:c r="T165" s="82" t="s"/>
      <x:c r="U165" s="82" t="s"/>
      <x:c r="V165" s="82" t="s"/>
      <x:c r="W165" s="82" t="s"/>
      <x:c r="X165" s="82" t="s"/>
      <x:c r="Y165" s="82" t="s"/>
      <x:c r="Z165" s="82" t="s"/>
      <x:c r="AA165" s="82" t="s"/>
      <x:c r="AB165" s="82" t="s"/>
      <x:c r="AC165" s="82" t="s"/>
      <x:c r="AD165" s="82" t="s"/>
      <x:c r="AE165" s="82" t="s"/>
      <x:c r="AF165" s="82" t="s"/>
      <x:c r="AG165" s="82" t="s"/>
      <x:c r="AH165" s="82" t="s"/>
      <x:c r="AI165" s="82" t="s"/>
      <x:c r="AJ165" s="82" t="s"/>
      <x:c r="AK165" s="82" t="s"/>
      <x:c r="AL165" s="82" t="s"/>
      <x:c r="AM165" s="82" t="s"/>
      <x:c r="AN165" s="82" t="s"/>
      <x:c r="AO165" s="82" t="s"/>
      <x:c r="AP165" s="82" t="s"/>
      <x:c r="AQ165" s="82" t="s"/>
      <x:c r="AR165" s="82" t="s"/>
      <x:c r="AS165" s="82" t="s"/>
      <x:c r="AT165" s="82" t="s"/>
      <x:c r="AU165" s="82" t="s"/>
      <x:c r="AV165" s="82" t="s"/>
      <x:c r="AW165" s="82" t="s"/>
      <x:c r="AX165" s="82" t="s"/>
      <x:c r="AY165" s="82" t="s"/>
      <x:c r="AZ165" s="82" t="s"/>
      <x:c r="BA165" s="82" t="s"/>
      <x:c r="BB165" s="82" t="s"/>
      <x:c r="BC165" s="82" t="s"/>
      <x:c r="BD165" s="82" t="s"/>
      <x:c r="BE165" s="82" t="s"/>
      <x:c r="BF165" s="82" t="s"/>
      <x:c r="BG165" s="82" t="s"/>
      <x:c r="BH165" s="82" t="s"/>
      <x:c r="BI165" s="82" t="s"/>
      <x:c r="BJ165" s="82" t="s"/>
      <x:c r="BK165" s="82" t="s"/>
      <x:c r="BL165" s="82" t="s"/>
      <x:c r="BM165" s="82" t="s"/>
      <x:c r="BN165" s="82" t="s"/>
      <x:c r="BO165" s="82" t="s"/>
      <x:c r="BP165" s="82" t="s"/>
      <x:c r="BQ165" s="82" t="s"/>
      <x:c r="BR165" s="82" t="s"/>
    </x:row>
    <x:row r="166" spans="1:70" x14ac:dyDescent="0.25">
      <x:c r="A166" s="82" t="s">
        <x:v>106</x:v>
      </x:c>
      <x:c r="B166" s="82" t="s">
        <x:v>107</x:v>
      </x:c>
      <x:c r="C166" s="82" t="s">
        <x:v>19</x:v>
      </x:c>
      <x:c r="D166" s="85">
        <x:v>42107</x:v>
      </x:c>
      <x:c r="E166" s="82" t="n">
        <x:v>29734</x:v>
      </x:c>
      <x:c r="F166" s="102" t="n">
        <x:v>122.845391627994</x:v>
      </x:c>
      <x:c r="G166" s="102" t="n">
        <x:v>131.344788334035</x:v>
      </x:c>
      <x:c r="H166" s="82" t="s"/>
      <x:c r="I166" s="82" t="s"/>
      <x:c r="J166" s="82" t="s"/>
      <x:c r="K166" s="82" t="s"/>
      <x:c r="L166" s="82" t="s"/>
      <x:c r="M166" s="82" t="s"/>
      <x:c r="N166" s="82" t="s"/>
      <x:c r="O166" s="82" t="s"/>
      <x:c r="P166" s="82" t="s"/>
      <x:c r="Q166" s="82" t="s"/>
      <x:c r="R166" s="82" t="s"/>
      <x:c r="S166" s="82" t="s"/>
      <x:c r="T166" s="82" t="s"/>
      <x:c r="U166" s="82" t="s"/>
      <x:c r="V166" s="82" t="s"/>
      <x:c r="W166" s="82" t="s"/>
      <x:c r="X166" s="82" t="s"/>
      <x:c r="Y166" s="82" t="s"/>
      <x:c r="Z166" s="82" t="s"/>
      <x:c r="AA166" s="82" t="s"/>
      <x:c r="AB166" s="82" t="s"/>
      <x:c r="AC166" s="82" t="s"/>
      <x:c r="AD166" s="82" t="s"/>
      <x:c r="AE166" s="82" t="s"/>
      <x:c r="AF166" s="82" t="s"/>
      <x:c r="AG166" s="82" t="s"/>
      <x:c r="AH166" s="82" t="s"/>
      <x:c r="AI166" s="82" t="s"/>
      <x:c r="AJ166" s="82" t="s"/>
      <x:c r="AK166" s="82" t="s"/>
      <x:c r="AL166" s="82" t="s"/>
      <x:c r="AM166" s="82" t="s"/>
      <x:c r="AN166" s="82" t="s"/>
      <x:c r="AO166" s="82" t="s"/>
      <x:c r="AP166" s="82" t="s"/>
      <x:c r="AQ166" s="82" t="s"/>
      <x:c r="AR166" s="82" t="s"/>
      <x:c r="AS166" s="82" t="s"/>
      <x:c r="AT166" s="82" t="s"/>
      <x:c r="AU166" s="82" t="s"/>
      <x:c r="AV166" s="82" t="s"/>
      <x:c r="AW166" s="82" t="s"/>
      <x:c r="AX166" s="82" t="s"/>
      <x:c r="AY166" s="82" t="s"/>
      <x:c r="AZ166" s="82" t="s"/>
      <x:c r="BA166" s="82" t="s"/>
      <x:c r="BB166" s="82" t="s"/>
      <x:c r="BC166" s="82" t="s"/>
      <x:c r="BD166" s="82" t="s"/>
      <x:c r="BE166" s="82" t="s"/>
      <x:c r="BF166" s="82" t="s"/>
      <x:c r="BG166" s="82" t="s"/>
      <x:c r="BH166" s="82" t="s"/>
      <x:c r="BI166" s="82" t="s"/>
      <x:c r="BJ166" s="82" t="s"/>
      <x:c r="BK166" s="82" t="s"/>
      <x:c r="BL166" s="82" t="s"/>
      <x:c r="BM166" s="82" t="s"/>
      <x:c r="BN166" s="82" t="s"/>
      <x:c r="BO166" s="82" t="s"/>
      <x:c r="BP166" s="82" t="s"/>
      <x:c r="BQ166" s="82" t="s"/>
      <x:c r="BR166" s="82" t="s"/>
    </x:row>
    <x:row r="167" spans="1:70" x14ac:dyDescent="0.25">
      <x:c r="A167" s="82" t="s">
        <x:v>106</x:v>
      </x:c>
      <x:c r="B167" s="82" t="s">
        <x:v>107</x:v>
      </x:c>
      <x:c r="C167" s="82" t="s">
        <x:v>20</x:v>
      </x:c>
      <x:c r="D167" s="85">
        <x:v>42107</x:v>
      </x:c>
      <x:c r="E167" s="82" t="n">
        <x:v>29734</x:v>
      </x:c>
      <x:c r="F167" s="102" t="n">
        <x:v>0.520028920160989</x:v>
      </x:c>
      <x:c r="G167" s="102" t="n">
        <x:v>0.506585623620318</x:v>
      </x:c>
      <x:c r="H167" s="82" t="s"/>
      <x:c r="I167" s="82" t="s"/>
      <x:c r="J167" s="82" t="s"/>
      <x:c r="K167" s="82" t="s"/>
      <x:c r="L167" s="82" t="s"/>
      <x:c r="M167" s="82" t="s"/>
      <x:c r="N167" s="82" t="s"/>
      <x:c r="O167" s="82" t="s"/>
      <x:c r="P167" s="82" t="s"/>
      <x:c r="Q167" s="82" t="s"/>
      <x:c r="R167" s="82" t="s"/>
      <x:c r="S167" s="82" t="s"/>
      <x:c r="T167" s="82" t="s"/>
      <x:c r="U167" s="82" t="s"/>
      <x:c r="V167" s="82" t="s"/>
      <x:c r="W167" s="82" t="s"/>
      <x:c r="X167" s="82" t="s"/>
      <x:c r="Y167" s="82" t="s"/>
      <x:c r="Z167" s="82" t="s"/>
      <x:c r="AA167" s="82" t="s"/>
      <x:c r="AB167" s="82" t="s"/>
      <x:c r="AC167" s="82" t="s"/>
      <x:c r="AD167" s="82" t="s"/>
      <x:c r="AE167" s="82" t="s"/>
      <x:c r="AF167" s="82" t="s"/>
      <x:c r="AG167" s="82" t="s"/>
      <x:c r="AH167" s="82" t="s"/>
      <x:c r="AI167" s="82" t="s"/>
      <x:c r="AJ167" s="82" t="s"/>
      <x:c r="AK167" s="82" t="s"/>
      <x:c r="AL167" s="82" t="s"/>
      <x:c r="AM167" s="82" t="s"/>
      <x:c r="AN167" s="82" t="s"/>
      <x:c r="AO167" s="82" t="s"/>
      <x:c r="AP167" s="82" t="s"/>
      <x:c r="AQ167" s="82" t="s"/>
      <x:c r="AR167" s="82" t="s"/>
      <x:c r="AS167" s="82" t="s"/>
      <x:c r="AT167" s="82" t="s"/>
      <x:c r="AU167" s="82" t="s"/>
      <x:c r="AV167" s="82" t="s"/>
      <x:c r="AW167" s="82" t="s"/>
      <x:c r="AX167" s="82" t="s"/>
      <x:c r="AY167" s="82" t="s"/>
      <x:c r="AZ167" s="82" t="s"/>
      <x:c r="BA167" s="82" t="s"/>
      <x:c r="BB167" s="82" t="s"/>
      <x:c r="BC167" s="82" t="s"/>
      <x:c r="BD167" s="82" t="s"/>
      <x:c r="BE167" s="82" t="s"/>
      <x:c r="BF167" s="82" t="s"/>
      <x:c r="BG167" s="82" t="s"/>
      <x:c r="BH167" s="82" t="s"/>
      <x:c r="BI167" s="82" t="s"/>
      <x:c r="BJ167" s="82" t="s"/>
      <x:c r="BK167" s="82" t="s"/>
      <x:c r="BL167" s="82" t="s"/>
      <x:c r="BM167" s="82" t="s"/>
      <x:c r="BN167" s="82" t="s"/>
      <x:c r="BO167" s="82" t="s"/>
      <x:c r="BP167" s="82" t="s"/>
      <x:c r="BQ167" s="82" t="s"/>
      <x:c r="BR167" s="82" t="s"/>
    </x:row>
    <x:row r="168" spans="1:70" x14ac:dyDescent="0.25">
      <x:c r="A168" s="82" t="s">
        <x:v>106</x:v>
      </x:c>
      <x:c r="B168" s="82" t="s">
        <x:v>107</x:v>
      </x:c>
      <x:c r="C168" s="82" t="s">
        <x:v>21</x:v>
      </x:c>
      <x:c r="D168" s="85">
        <x:v>42107</x:v>
      </x:c>
      <x:c r="E168" s="82" t="n">
        <x:v>29734</x:v>
      </x:c>
      <x:c r="F168" s="102" t="n">
        <x:v>160.584153005465</x:v>
      </x:c>
      <x:c r="G168" s="102" t="n">
        <x:v>184.081443298969</x:v>
      </x:c>
      <x:c r="H168" s="82" t="s"/>
      <x:c r="I168" s="82" t="s"/>
      <x:c r="J168" s="82" t="s"/>
      <x:c r="K168" s="82" t="s"/>
      <x:c r="L168" s="82" t="s"/>
      <x:c r="M168" s="82" t="s"/>
      <x:c r="N168" s="82" t="s"/>
      <x:c r="O168" s="82" t="s"/>
      <x:c r="P168" s="82" t="s"/>
      <x:c r="Q168" s="82" t="s"/>
      <x:c r="R168" s="82" t="s"/>
      <x:c r="S168" s="82" t="s"/>
      <x:c r="T168" s="82" t="s"/>
      <x:c r="U168" s="82" t="s"/>
      <x:c r="V168" s="82" t="s"/>
      <x:c r="W168" s="82" t="s"/>
      <x:c r="X168" s="82" t="s"/>
      <x:c r="Y168" s="82" t="s"/>
      <x:c r="Z168" s="82" t="s"/>
      <x:c r="AA168" s="82" t="s"/>
      <x:c r="AB168" s="82" t="s"/>
      <x:c r="AC168" s="82" t="s"/>
      <x:c r="AD168" s="82" t="s"/>
      <x:c r="AE168" s="82" t="s"/>
      <x:c r="AF168" s="82" t="s"/>
      <x:c r="AG168" s="82" t="s"/>
      <x:c r="AH168" s="82" t="s"/>
      <x:c r="AI168" s="82" t="s"/>
      <x:c r="AJ168" s="82" t="s"/>
      <x:c r="AK168" s="82" t="s"/>
      <x:c r="AL168" s="82" t="s"/>
      <x:c r="AM168" s="82" t="s"/>
      <x:c r="AN168" s="82" t="s"/>
      <x:c r="AO168" s="82" t="s"/>
      <x:c r="AP168" s="82" t="s"/>
      <x:c r="AQ168" s="82" t="s"/>
      <x:c r="AR168" s="82" t="s"/>
      <x:c r="AS168" s="82" t="s"/>
      <x:c r="AT168" s="82" t="s"/>
      <x:c r="AU168" s="82" t="s"/>
      <x:c r="AV168" s="82" t="s"/>
      <x:c r="AW168" s="82" t="s"/>
      <x:c r="AX168" s="82" t="s"/>
      <x:c r="AY168" s="82" t="s"/>
      <x:c r="AZ168" s="82" t="s"/>
      <x:c r="BA168" s="82" t="s"/>
      <x:c r="BB168" s="82" t="s"/>
      <x:c r="BC168" s="82" t="s"/>
      <x:c r="BD168" s="82" t="s"/>
      <x:c r="BE168" s="82" t="s"/>
      <x:c r="BF168" s="82" t="s"/>
      <x:c r="BG168" s="82" t="s"/>
      <x:c r="BH168" s="82" t="s"/>
      <x:c r="BI168" s="82" t="s"/>
      <x:c r="BJ168" s="82" t="s"/>
      <x:c r="BK168" s="82" t="s"/>
      <x:c r="BL168" s="82" t="s"/>
      <x:c r="BM168" s="82" t="s"/>
      <x:c r="BN168" s="82" t="s"/>
      <x:c r="BO168" s="82" t="s"/>
      <x:c r="BP168" s="82" t="s"/>
      <x:c r="BQ168" s="82" t="s"/>
      <x:c r="BR168" s="82" t="s"/>
    </x:row>
    <x:row r="169" spans="1:70" x14ac:dyDescent="0.25">
      <x:c r="A169" s="82" t="s">
        <x:v>106</x:v>
      </x:c>
      <x:c r="B169" s="82" t="s">
        <x:v>107</x:v>
      </x:c>
      <x:c r="C169" s="82" t="s">
        <x:v>22</x:v>
      </x:c>
      <x:c r="D169" s="85">
        <x:v>42107</x:v>
      </x:c>
      <x:c r="E169" s="82" t="n">
        <x:v>29734</x:v>
      </x:c>
      <x:c r="F169" s="102" t="n">
        <x:v>0.468798032786885</x:v>
      </x:c>
      <x:c r="G169" s="102" t="n">
        <x:v>0.444477835051547</x:v>
      </x:c>
      <x:c r="H169" s="82" t="s"/>
      <x:c r="I169" s="82" t="s"/>
      <x:c r="J169" s="82" t="s"/>
      <x:c r="K169" s="82" t="s"/>
      <x:c r="L169" s="82" t="s"/>
      <x:c r="M169" s="82" t="s"/>
      <x:c r="N169" s="82" t="s"/>
      <x:c r="O169" s="82" t="s"/>
      <x:c r="P169" s="82" t="s"/>
      <x:c r="Q169" s="82" t="s"/>
      <x:c r="R169" s="82" t="s"/>
      <x:c r="S169" s="82" t="s"/>
      <x:c r="T169" s="82" t="s"/>
      <x:c r="U169" s="82" t="s"/>
      <x:c r="V169" s="82" t="s"/>
      <x:c r="W169" s="82" t="s"/>
      <x:c r="X169" s="82" t="s"/>
      <x:c r="Y169" s="82" t="s"/>
      <x:c r="Z169" s="82" t="s"/>
      <x:c r="AA169" s="82" t="s"/>
      <x:c r="AB169" s="82" t="s"/>
      <x:c r="AC169" s="82" t="s"/>
      <x:c r="AD169" s="82" t="s"/>
      <x:c r="AE169" s="82" t="s"/>
      <x:c r="AF169" s="82" t="s"/>
      <x:c r="AG169" s="82" t="s"/>
      <x:c r="AH169" s="82" t="s"/>
      <x:c r="AI169" s="82" t="s"/>
      <x:c r="AJ169" s="82" t="s"/>
      <x:c r="AK169" s="82" t="s"/>
      <x:c r="AL169" s="82" t="s"/>
      <x:c r="AM169" s="82" t="s"/>
      <x:c r="AN169" s="82" t="s"/>
      <x:c r="AO169" s="82" t="s"/>
      <x:c r="AP169" s="82" t="s"/>
      <x:c r="AQ169" s="82" t="s"/>
      <x:c r="AR169" s="82" t="s"/>
      <x:c r="AS169" s="82" t="s"/>
      <x:c r="AT169" s="82" t="s"/>
      <x:c r="AU169" s="82" t="s"/>
      <x:c r="AV169" s="82" t="s"/>
      <x:c r="AW169" s="82" t="s"/>
      <x:c r="AX169" s="82" t="s"/>
      <x:c r="AY169" s="82" t="s"/>
      <x:c r="AZ169" s="82" t="s"/>
      <x:c r="BA169" s="82" t="s"/>
      <x:c r="BB169" s="82" t="s"/>
      <x:c r="BC169" s="82" t="s"/>
      <x:c r="BD169" s="82" t="s"/>
      <x:c r="BE169" s="82" t="s"/>
      <x:c r="BF169" s="82" t="s"/>
      <x:c r="BG169" s="82" t="s"/>
      <x:c r="BH169" s="82" t="s"/>
      <x:c r="BI169" s="82" t="s"/>
      <x:c r="BJ169" s="82" t="s"/>
      <x:c r="BK169" s="82" t="s"/>
      <x:c r="BL169" s="82" t="s"/>
      <x:c r="BM169" s="82" t="s"/>
      <x:c r="BN169" s="82" t="s"/>
      <x:c r="BO169" s="82" t="s"/>
      <x:c r="BP169" s="82" t="s"/>
      <x:c r="BQ169" s="82" t="s"/>
      <x:c r="BR169" s="82" t="s"/>
    </x:row>
    <x:row r="170" spans="1:70" x14ac:dyDescent="0.25">
      <x:c r="A170" s="82" t="s">
        <x:v>106</x:v>
      </x:c>
      <x:c r="B170" s="82" t="s">
        <x:v>107</x:v>
      </x:c>
      <x:c r="C170" s="82" t="s">
        <x:v>23</x:v>
      </x:c>
      <x:c r="D170" s="85">
        <x:v>42107</x:v>
      </x:c>
      <x:c r="E170" s="82" t="n">
        <x:v>29734</x:v>
      </x:c>
      <x:c r="F170" s="102" t="n">
        <x:v>765.76</x:v>
      </x:c>
      <x:c r="G170" s="102" t="n">
        <x:v>777.3</x:v>
      </x:c>
      <x:c r="H170" s="82" t="s"/>
      <x:c r="I170" s="82" t="s"/>
      <x:c r="J170" s="82" t="s"/>
      <x:c r="K170" s="82" t="s"/>
      <x:c r="L170" s="82" t="s"/>
      <x:c r="M170" s="82" t="s"/>
      <x:c r="N170" s="82" t="s"/>
      <x:c r="O170" s="82" t="s"/>
      <x:c r="P170" s="82" t="s"/>
      <x:c r="Q170" s="82" t="s"/>
      <x:c r="R170" s="82" t="s"/>
      <x:c r="S170" s="82" t="s"/>
      <x:c r="T170" s="82" t="s"/>
      <x:c r="U170" s="82" t="s"/>
      <x:c r="V170" s="82" t="s"/>
      <x:c r="W170" s="82" t="s"/>
      <x:c r="X170" s="82" t="s"/>
      <x:c r="Y170" s="82" t="s"/>
      <x:c r="Z170" s="82" t="s"/>
      <x:c r="AA170" s="82" t="s"/>
      <x:c r="AB170" s="82" t="s"/>
      <x:c r="AC170" s="82" t="s"/>
      <x:c r="AD170" s="82" t="s"/>
      <x:c r="AE170" s="82" t="s"/>
      <x:c r="AF170" s="82" t="s"/>
      <x:c r="AG170" s="82" t="s"/>
      <x:c r="AH170" s="82" t="s"/>
      <x:c r="AI170" s="82" t="s"/>
      <x:c r="AJ170" s="82" t="s"/>
      <x:c r="AK170" s="82" t="s"/>
      <x:c r="AL170" s="82" t="s"/>
      <x:c r="AM170" s="82" t="s"/>
      <x:c r="AN170" s="82" t="s"/>
      <x:c r="AO170" s="82" t="s"/>
      <x:c r="AP170" s="82" t="s"/>
      <x:c r="AQ170" s="82" t="s"/>
      <x:c r="AR170" s="82" t="s"/>
      <x:c r="AS170" s="82" t="s"/>
      <x:c r="AT170" s="82" t="s"/>
      <x:c r="AU170" s="82" t="s"/>
      <x:c r="AV170" s="82" t="s"/>
      <x:c r="AW170" s="82" t="s"/>
      <x:c r="AX170" s="82" t="s"/>
      <x:c r="AY170" s="82" t="s"/>
      <x:c r="AZ170" s="82" t="s"/>
      <x:c r="BA170" s="82" t="s"/>
      <x:c r="BB170" s="82" t="s"/>
      <x:c r="BC170" s="82" t="s"/>
      <x:c r="BD170" s="82" t="s"/>
      <x:c r="BE170" s="82" t="s"/>
      <x:c r="BF170" s="82" t="s"/>
      <x:c r="BG170" s="82" t="s"/>
      <x:c r="BH170" s="82" t="s"/>
      <x:c r="BI170" s="82" t="s"/>
      <x:c r="BJ170" s="82" t="s"/>
      <x:c r="BK170" s="82" t="s"/>
      <x:c r="BL170" s="82" t="s"/>
      <x:c r="BM170" s="82" t="s"/>
      <x:c r="BN170" s="82" t="s"/>
      <x:c r="BO170" s="82" t="s"/>
      <x:c r="BP170" s="82" t="s"/>
      <x:c r="BQ170" s="82" t="s"/>
      <x:c r="BR170" s="82" t="s"/>
    </x:row>
    <x:row r="171" spans="1:70" x14ac:dyDescent="0.25">
      <x:c r="A171" s="82" t="s">
        <x:v>106</x:v>
      </x:c>
      <x:c r="B171" s="82" t="s">
        <x:v>107</x:v>
      </x:c>
      <x:c r="C171" s="82" t="s">
        <x:v>24</x:v>
      </x:c>
      <x:c r="D171" s="85">
        <x:v>42107</x:v>
      </x:c>
      <x:c r="E171" s="82" t="n">
        <x:v>29734</x:v>
      </x:c>
      <x:c r="F171" s="102" t="n">
        <x:v>87.122</x:v>
      </x:c>
      <x:c r="G171" s="102" t="n">
        <x:v>88.858</x:v>
      </x:c>
      <x:c r="H171" s="82" t="s"/>
      <x:c r="I171" s="82" t="s"/>
      <x:c r="J171" s="82" t="s"/>
      <x:c r="K171" s="82" t="s"/>
      <x:c r="L171" s="82" t="s"/>
      <x:c r="M171" s="82" t="s"/>
      <x:c r="N171" s="82" t="s"/>
      <x:c r="O171" s="82" t="s"/>
      <x:c r="P171" s="82" t="s"/>
      <x:c r="Q171" s="82" t="s"/>
      <x:c r="R171" s="82" t="s"/>
      <x:c r="S171" s="82" t="s"/>
      <x:c r="T171" s="82" t="s"/>
      <x:c r="U171" s="82" t="s"/>
      <x:c r="V171" s="82" t="s"/>
      <x:c r="W171" s="82" t="s"/>
      <x:c r="X171" s="82" t="s"/>
      <x:c r="Y171" s="82" t="s"/>
      <x:c r="Z171" s="82" t="s"/>
      <x:c r="AA171" s="82" t="s"/>
      <x:c r="AB171" s="82" t="s"/>
      <x:c r="AC171" s="82" t="s"/>
      <x:c r="AD171" s="82" t="s"/>
      <x:c r="AE171" s="82" t="s"/>
      <x:c r="AF171" s="82" t="s"/>
      <x:c r="AG171" s="82" t="s"/>
      <x:c r="AH171" s="82" t="s"/>
      <x:c r="AI171" s="82" t="s"/>
      <x:c r="AJ171" s="82" t="s"/>
      <x:c r="AK171" s="82" t="s"/>
      <x:c r="AL171" s="82" t="s"/>
      <x:c r="AM171" s="82" t="s"/>
      <x:c r="AN171" s="82" t="s"/>
      <x:c r="AO171" s="82" t="s"/>
      <x:c r="AP171" s="82" t="s"/>
      <x:c r="AQ171" s="82" t="s"/>
      <x:c r="AR171" s="82" t="s"/>
      <x:c r="AS171" s="82" t="s"/>
      <x:c r="AT171" s="82" t="s"/>
      <x:c r="AU171" s="82" t="s"/>
      <x:c r="AV171" s="82" t="s"/>
      <x:c r="AW171" s="82" t="s"/>
      <x:c r="AX171" s="82" t="s"/>
      <x:c r="AY171" s="82" t="s"/>
      <x:c r="AZ171" s="82" t="s"/>
      <x:c r="BA171" s="82" t="s"/>
      <x:c r="BB171" s="82" t="s"/>
      <x:c r="BC171" s="82" t="s"/>
      <x:c r="BD171" s="82" t="s"/>
      <x:c r="BE171" s="82" t="s"/>
      <x:c r="BF171" s="82" t="s"/>
      <x:c r="BG171" s="82" t="s"/>
      <x:c r="BH171" s="82" t="s"/>
      <x:c r="BI171" s="82" t="s"/>
      <x:c r="BJ171" s="82" t="s"/>
      <x:c r="BK171" s="82" t="s"/>
      <x:c r="BL171" s="82" t="s"/>
      <x:c r="BM171" s="82" t="s"/>
      <x:c r="BN171" s="82" t="s"/>
      <x:c r="BO171" s="82" t="s"/>
      <x:c r="BP171" s="82" t="s"/>
      <x:c r="BQ171" s="82" t="s"/>
      <x:c r="BR171" s="82" t="s"/>
    </x:row>
    <x:row r="172" spans="1:70" x14ac:dyDescent="0.25">
      <x:c r="A172" s="82" t="s">
        <x:v>106</x:v>
      </x:c>
      <x:c r="B172" s="82" t="s">
        <x:v>107</x:v>
      </x:c>
      <x:c r="C172" s="82" t="s">
        <x:v>117</x:v>
      </x:c>
      <x:c r="D172" s="85">
        <x:v>42107</x:v>
      </x:c>
      <x:c r="E172" s="82" t="n">
        <x:v>29734</x:v>
      </x:c>
      <x:c r="F172" s="82" t="n">
        <x:v>1</x:v>
      </x:c>
      <x:c r="G172" s="82" t="n">
        <x:v>1</x:v>
      </x:c>
      <x:c r="H172" s="82" t="s"/>
      <x:c r="I172" s="82" t="s"/>
      <x:c r="J172" s="82" t="s"/>
      <x:c r="K172" s="82" t="s"/>
      <x:c r="L172" s="82" t="s"/>
      <x:c r="M172" s="82" t="s"/>
      <x:c r="N172" s="82" t="s"/>
      <x:c r="O172" s="82" t="s"/>
      <x:c r="P172" s="82" t="s"/>
      <x:c r="Q172" s="82" t="s"/>
      <x:c r="R172" s="82" t="s"/>
      <x:c r="S172" s="82" t="s"/>
      <x:c r="T172" s="82" t="s"/>
      <x:c r="U172" s="82" t="s"/>
      <x:c r="V172" s="82" t="s"/>
      <x:c r="W172" s="82" t="s"/>
      <x:c r="X172" s="82" t="s"/>
      <x:c r="Y172" s="82" t="s"/>
      <x:c r="Z172" s="82" t="s"/>
      <x:c r="AA172" s="82" t="s"/>
      <x:c r="AB172" s="82" t="s"/>
      <x:c r="AC172" s="82" t="s"/>
      <x:c r="AD172" s="82" t="s"/>
      <x:c r="AE172" s="82" t="s"/>
      <x:c r="AF172" s="82" t="s"/>
      <x:c r="AG172" s="82" t="s"/>
      <x:c r="AH172" s="82" t="s"/>
      <x:c r="AI172" s="82" t="s"/>
      <x:c r="AJ172" s="82" t="s"/>
      <x:c r="AK172" s="82" t="s"/>
      <x:c r="AL172" s="82" t="s"/>
      <x:c r="AM172" s="82" t="s"/>
      <x:c r="AN172" s="82" t="s"/>
      <x:c r="AO172" s="82" t="s"/>
      <x:c r="AP172" s="82" t="s"/>
      <x:c r="AQ172" s="82" t="s"/>
      <x:c r="AR172" s="82" t="s"/>
      <x:c r="AS172" s="82" t="s"/>
      <x:c r="AT172" s="82" t="s"/>
      <x:c r="AU172" s="82" t="s"/>
      <x:c r="AV172" s="82" t="s"/>
      <x:c r="AW172" s="82" t="s"/>
      <x:c r="AX172" s="82" t="s"/>
      <x:c r="AY172" s="82" t="s"/>
      <x:c r="AZ172" s="82" t="s"/>
      <x:c r="BA172" s="82" t="s"/>
      <x:c r="BB172" s="82" t="s"/>
      <x:c r="BC172" s="82" t="s"/>
      <x:c r="BD172" s="82" t="s"/>
      <x:c r="BE172" s="82" t="s"/>
      <x:c r="BF172" s="82" t="s"/>
      <x:c r="BG172" s="82" t="s"/>
      <x:c r="BH172" s="82" t="s"/>
      <x:c r="BI172" s="82" t="s"/>
      <x:c r="BJ172" s="82" t="s"/>
      <x:c r="BK172" s="82" t="s"/>
      <x:c r="BL172" s="82" t="s"/>
      <x:c r="BM172" s="82" t="s"/>
      <x:c r="BN172" s="82" t="s"/>
      <x:c r="BO172" s="82" t="s"/>
      <x:c r="BP172" s="82" t="s"/>
      <x:c r="BQ172" s="82" t="s"/>
      <x:c r="BR172" s="82" t="s"/>
    </x:row>
    <x:row r="173" spans="1:70" x14ac:dyDescent="0.25">
      <x:c r="A173" s="82" t="s">
        <x:v>106</x:v>
      </x:c>
      <x:c r="B173" s="82" t="s">
        <x:v>107</x:v>
      </x:c>
      <x:c r="C173" s="82" t="s">
        <x:v>118</x:v>
      </x:c>
      <x:c r="D173" s="85">
        <x:v>42107</x:v>
      </x:c>
      <x:c r="E173" s="82" t="n">
        <x:v>29734</x:v>
      </x:c>
      <x:c r="F173" s="90" t="n">
        <x:v>110.4</x:v>
      </x:c>
      <x:c r="G173" s="90" t="n">
        <x:v>111.5</x:v>
      </x:c>
      <x:c r="H173" s="82" t="s"/>
      <x:c r="I173" s="82" t="s"/>
      <x:c r="J173" s="82" t="s"/>
      <x:c r="K173" s="82" t="s"/>
      <x:c r="L173" s="82" t="s"/>
      <x:c r="M173" s="82" t="s"/>
      <x:c r="N173" s="82" t="s"/>
      <x:c r="O173" s="82" t="s"/>
      <x:c r="P173" s="82" t="s"/>
      <x:c r="Q173" s="82" t="s"/>
      <x:c r="R173" s="82" t="s"/>
      <x:c r="S173" s="82" t="s"/>
      <x:c r="T173" s="82" t="s"/>
      <x:c r="U173" s="82" t="s"/>
      <x:c r="V173" s="82" t="s"/>
      <x:c r="W173" s="82" t="s"/>
      <x:c r="X173" s="82" t="s"/>
      <x:c r="Y173" s="82" t="s"/>
      <x:c r="Z173" s="82" t="s"/>
      <x:c r="AA173" s="82" t="s"/>
      <x:c r="AB173" s="82" t="s"/>
      <x:c r="AC173" s="82" t="s"/>
      <x:c r="AD173" s="82" t="s"/>
      <x:c r="AE173" s="82" t="s"/>
      <x:c r="AF173" s="82" t="s"/>
      <x:c r="AG173" s="82" t="s"/>
      <x:c r="AH173" s="82" t="s"/>
      <x:c r="AI173" s="82" t="s"/>
      <x:c r="AJ173" s="82" t="s"/>
      <x:c r="AK173" s="82" t="s"/>
      <x:c r="AL173" s="82" t="s"/>
      <x:c r="AM173" s="82" t="s"/>
      <x:c r="AN173" s="82" t="s"/>
      <x:c r="AO173" s="82" t="s"/>
      <x:c r="AP173" s="82" t="s"/>
      <x:c r="AQ173" s="82" t="s"/>
      <x:c r="AR173" s="82" t="s"/>
      <x:c r="AS173" s="82" t="s"/>
      <x:c r="AT173" s="82" t="s"/>
      <x:c r="AU173" s="82" t="s"/>
      <x:c r="AV173" s="82" t="s"/>
      <x:c r="AW173" s="82" t="s"/>
      <x:c r="AX173" s="82" t="s"/>
      <x:c r="AY173" s="82" t="s"/>
      <x:c r="AZ173" s="82" t="s"/>
      <x:c r="BA173" s="82" t="s"/>
      <x:c r="BB173" s="82" t="s"/>
      <x:c r="BC173" s="82" t="s"/>
      <x:c r="BD173" s="82" t="s"/>
      <x:c r="BE173" s="82" t="s"/>
      <x:c r="BF173" s="82" t="s"/>
      <x:c r="BG173" s="82" t="s"/>
      <x:c r="BH173" s="82" t="s"/>
      <x:c r="BI173" s="82" t="s"/>
      <x:c r="BJ173" s="82" t="s"/>
      <x:c r="BK173" s="82" t="s"/>
      <x:c r="BL173" s="82" t="s"/>
      <x:c r="BM173" s="82" t="s"/>
      <x:c r="BN173" s="82" t="s"/>
      <x:c r="BO173" s="82" t="s"/>
      <x:c r="BP173" s="82" t="s"/>
      <x:c r="BQ173" s="82" t="s"/>
      <x:c r="BR173" s="82" t="s"/>
    </x:row>
    <x:row r="174" spans="1:70" x14ac:dyDescent="0.25">
      <x:c r="A174" s="82" t="s">
        <x:v>106</x:v>
      </x:c>
      <x:c r="B174" s="82" t="s">
        <x:v>107</x:v>
      </x:c>
      <x:c r="C174" s="82" t="s">
        <x:v>119</x:v>
      </x:c>
      <x:c r="D174" s="85">
        <x:v>42107</x:v>
      </x:c>
      <x:c r="E174" s="82" t="n">
        <x:v>29734</x:v>
      </x:c>
      <x:c r="F174" s="90" t="n">
        <x:v>106.9</x:v>
      </x:c>
      <x:c r="G174" s="90" t="n">
        <x:v>108.5</x:v>
      </x:c>
      <x:c r="H174" s="82" t="s"/>
      <x:c r="I174" s="82" t="s"/>
      <x:c r="J174" s="82" t="s"/>
      <x:c r="K174" s="82" t="s"/>
      <x:c r="L174" s="82" t="s"/>
      <x:c r="M174" s="82" t="s"/>
      <x:c r="N174" s="82" t="s"/>
      <x:c r="O174" s="82" t="s"/>
      <x:c r="P174" s="82" t="s"/>
      <x:c r="Q174" s="82" t="s"/>
      <x:c r="R174" s="82" t="s"/>
      <x:c r="S174" s="82" t="s"/>
      <x:c r="T174" s="82" t="s"/>
      <x:c r="U174" s="82" t="s"/>
      <x:c r="V174" s="82" t="s"/>
      <x:c r="W174" s="82" t="s"/>
      <x:c r="X174" s="82" t="s"/>
      <x:c r="Y174" s="82" t="s"/>
      <x:c r="Z174" s="82" t="s"/>
      <x:c r="AA174" s="82" t="s"/>
      <x:c r="AB174" s="82" t="s"/>
      <x:c r="AC174" s="82" t="s"/>
      <x:c r="AD174" s="82" t="s"/>
      <x:c r="AE174" s="82" t="s"/>
      <x:c r="AF174" s="82" t="s"/>
      <x:c r="AG174" s="82" t="s"/>
      <x:c r="AH174" s="82" t="s"/>
      <x:c r="AI174" s="82" t="s"/>
      <x:c r="AJ174" s="82" t="s"/>
      <x:c r="AK174" s="82" t="s"/>
      <x:c r="AL174" s="82" t="s"/>
      <x:c r="AM174" s="82" t="s"/>
      <x:c r="AN174" s="82" t="s"/>
      <x:c r="AO174" s="82" t="s"/>
      <x:c r="AP174" s="82" t="s"/>
      <x:c r="AQ174" s="82" t="s"/>
      <x:c r="AR174" s="82" t="s"/>
      <x:c r="AS174" s="82" t="s"/>
      <x:c r="AT174" s="82" t="s"/>
      <x:c r="AU174" s="82" t="s"/>
      <x:c r="AV174" s="82" t="s"/>
      <x:c r="AW174" s="82" t="s"/>
      <x:c r="AX174" s="82" t="s"/>
      <x:c r="AY174" s="82" t="s"/>
      <x:c r="AZ174" s="82" t="s"/>
      <x:c r="BA174" s="82" t="s"/>
      <x:c r="BB174" s="82" t="s"/>
      <x:c r="BC174" s="82" t="s"/>
      <x:c r="BD174" s="82" t="s"/>
      <x:c r="BE174" s="82" t="s"/>
      <x:c r="BF174" s="82" t="s"/>
      <x:c r="BG174" s="82" t="s"/>
      <x:c r="BH174" s="82" t="s"/>
      <x:c r="BI174" s="82" t="s"/>
      <x:c r="BJ174" s="82" t="s"/>
      <x:c r="BK174" s="82" t="s"/>
      <x:c r="BL174" s="82" t="s"/>
      <x:c r="BM174" s="82" t="s"/>
      <x:c r="BN174" s="82" t="s"/>
      <x:c r="BO174" s="82" t="s"/>
      <x:c r="BP174" s="82" t="s"/>
      <x:c r="BQ174" s="82" t="s"/>
      <x:c r="BR174" s="82" t="s"/>
    </x:row>
    <x:row r="175" spans="1:70" x14ac:dyDescent="0.25">
      <x:c r="A175" s="82" t="s">
        <x:v>106</x:v>
      </x:c>
      <x:c r="B175" s="82" t="s">
        <x:v>107</x:v>
      </x:c>
      <x:c r="C175" s="82" t="s">
        <x:v>120</x:v>
      </x:c>
      <x:c r="D175" s="85">
        <x:v>42107</x:v>
      </x:c>
      <x:c r="E175" s="82" t="n">
        <x:v>29734</x:v>
      </x:c>
      <x:c r="F175" s="90" t="n">
        <x:v>-3.5</x:v>
      </x:c>
      <x:c r="G175" s="90" t="n">
        <x:v>-3</x:v>
      </x:c>
      <x:c r="H175" s="82" t="s"/>
      <x:c r="I175" s="82" t="s"/>
      <x:c r="J175" s="82" t="s"/>
      <x:c r="K175" s="82" t="s"/>
      <x:c r="L175" s="82" t="s"/>
      <x:c r="M175" s="82" t="s"/>
      <x:c r="N175" s="82" t="s"/>
      <x:c r="O175" s="82" t="s"/>
      <x:c r="P175" s="82" t="s"/>
      <x:c r="Q175" s="82" t="s"/>
      <x:c r="R175" s="82" t="s"/>
      <x:c r="S175" s="82" t="s"/>
      <x:c r="T175" s="82" t="s"/>
      <x:c r="U175" s="82" t="s"/>
      <x:c r="V175" s="82" t="s"/>
      <x:c r="W175" s="82" t="s"/>
      <x:c r="X175" s="82" t="s"/>
      <x:c r="Y175" s="82" t="s"/>
      <x:c r="Z175" s="82" t="s"/>
      <x:c r="AA175" s="82" t="s"/>
      <x:c r="AB175" s="82" t="s"/>
      <x:c r="AC175" s="82" t="s"/>
      <x:c r="AD175" s="82" t="s"/>
      <x:c r="AE175" s="82" t="s"/>
      <x:c r="AF175" s="82" t="s"/>
      <x:c r="AG175" s="82" t="s"/>
      <x:c r="AH175" s="82" t="s"/>
      <x:c r="AI175" s="82" t="s"/>
      <x:c r="AJ175" s="82" t="s"/>
      <x:c r="AK175" s="82" t="s"/>
      <x:c r="AL175" s="82" t="s"/>
      <x:c r="AM175" s="82" t="s"/>
      <x:c r="AN175" s="82" t="s"/>
      <x:c r="AO175" s="82" t="s"/>
      <x:c r="AP175" s="82" t="s"/>
      <x:c r="AQ175" s="82" t="s"/>
      <x:c r="AR175" s="82" t="s"/>
      <x:c r="AS175" s="82" t="s"/>
      <x:c r="AT175" s="82" t="s"/>
      <x:c r="AU175" s="82" t="s"/>
      <x:c r="AV175" s="82" t="s"/>
      <x:c r="AW175" s="82" t="s"/>
      <x:c r="AX175" s="82" t="s"/>
      <x:c r="AY175" s="82" t="s"/>
      <x:c r="AZ175" s="82" t="s"/>
      <x:c r="BA175" s="82" t="s"/>
      <x:c r="BB175" s="82" t="s"/>
      <x:c r="BC175" s="82" t="s"/>
      <x:c r="BD175" s="82" t="s"/>
      <x:c r="BE175" s="82" t="s"/>
      <x:c r="BF175" s="82" t="s"/>
      <x:c r="BG175" s="82" t="s"/>
      <x:c r="BH175" s="82" t="s"/>
      <x:c r="BI175" s="82" t="s"/>
      <x:c r="BJ175" s="82" t="s"/>
      <x:c r="BK175" s="82" t="s"/>
      <x:c r="BL175" s="82" t="s"/>
      <x:c r="BM175" s="82" t="s"/>
      <x:c r="BN175" s="82" t="s"/>
      <x:c r="BO175" s="82" t="s"/>
      <x:c r="BP175" s="82" t="s"/>
      <x:c r="BQ175" s="82" t="s"/>
      <x:c r="BR175" s="82" t="s"/>
    </x:row>
    <x:row r="176" spans="1:70" customFormat="1" ht="15.75" customHeight="1" thickBot="1" x14ac:dyDescent="0.3">
      <x:c r="A176" s="106" t="s">
        <x:v>106</x:v>
      </x:c>
      <x:c r="B176" s="106" t="s">
        <x:v>107</x:v>
      </x:c>
      <x:c r="C176" s="106" t="s">
        <x:v>121</x:v>
      </x:c>
      <x:c r="D176" s="105">
        <x:v>42107</x:v>
      </x:c>
      <x:c r="E176" s="106" t="n">
        <x:v>29734</x:v>
      </x:c>
      <x:c r="F176" s="126" t="n">
        <x:v>111.7</x:v>
      </x:c>
      <x:c r="G176" s="126" t="n">
        <x:v>112.9</x:v>
      </x:c>
      <x:c r="H176" s="106" t="s"/>
      <x:c r="I176" s="106" t="s"/>
      <x:c r="J176" s="82" t="s"/>
      <x:c r="K176" s="82" t="s"/>
      <x:c r="L176" s="82" t="s"/>
      <x:c r="M176" s="82" t="s"/>
      <x:c r="N176" s="82" t="s"/>
      <x:c r="O176" s="82" t="s"/>
      <x:c r="P176" s="82" t="s"/>
      <x:c r="Q176" s="82" t="s"/>
      <x:c r="R176" s="82" t="s"/>
      <x:c r="S176" s="82" t="s"/>
      <x:c r="T176" s="82" t="s"/>
      <x:c r="U176" s="82" t="s"/>
      <x:c r="V176" s="82" t="s"/>
      <x:c r="W176" s="82" t="s"/>
      <x:c r="X176" s="82" t="s"/>
      <x:c r="Y176" s="82" t="s"/>
      <x:c r="Z176" s="82" t="s"/>
      <x:c r="AA176" s="82" t="s"/>
      <x:c r="AB176" s="82" t="s"/>
      <x:c r="AC176" s="82" t="s"/>
      <x:c r="AD176" s="82" t="s"/>
      <x:c r="AE176" s="82" t="s"/>
      <x:c r="AF176" s="82" t="s"/>
      <x:c r="AG176" s="82" t="s"/>
      <x:c r="AH176" s="82" t="s"/>
      <x:c r="AI176" s="82" t="s"/>
      <x:c r="AJ176" s="82" t="s"/>
      <x:c r="AK176" s="82" t="s"/>
      <x:c r="AL176" s="82" t="s"/>
      <x:c r="AM176" s="82" t="s"/>
      <x:c r="AN176" s="82" t="s"/>
      <x:c r="AO176" s="82" t="s"/>
      <x:c r="AP176" s="82" t="s"/>
      <x:c r="AQ176" s="82" t="s"/>
      <x:c r="AR176" s="82" t="s"/>
      <x:c r="AS176" s="82" t="s"/>
      <x:c r="AT176" s="82" t="s"/>
      <x:c r="AU176" s="82" t="s"/>
      <x:c r="AV176" s="82" t="s"/>
      <x:c r="AW176" s="82" t="s"/>
      <x:c r="AX176" s="82" t="s"/>
      <x:c r="AY176" s="82" t="s"/>
      <x:c r="AZ176" s="82" t="s"/>
      <x:c r="BA176" s="82" t="s"/>
      <x:c r="BB176" s="82" t="s"/>
      <x:c r="BC176" s="82" t="s"/>
      <x:c r="BD176" s="82" t="s"/>
      <x:c r="BE176" s="82" t="s"/>
      <x:c r="BF176" s="82" t="s"/>
      <x:c r="BG176" s="82" t="s"/>
      <x:c r="BH176" s="82" t="s"/>
      <x:c r="BI176" s="82" t="s"/>
      <x:c r="BJ176" s="82" t="s"/>
      <x:c r="BK176" s="82" t="s"/>
      <x:c r="BL176" s="82" t="s"/>
      <x:c r="BM176" s="82" t="s"/>
      <x:c r="BN176" s="82" t="s"/>
      <x:c r="BO176" s="82" t="s"/>
      <x:c r="BP176" s="82" t="s"/>
      <x:c r="BQ176" s="82" t="s"/>
      <x:c r="BR176" s="82" t="s"/>
    </x:row>
    <x:row r="177" spans="1:70" x14ac:dyDescent="0.25">
      <x:c r="A177" s="82" t="s">
        <x:v>106</x:v>
      </x:c>
      <x:c r="B177" s="82" t="s">
        <x:v>107</x:v>
      </x:c>
      <x:c r="C177" s="82" t="s">
        <x:v>108</x:v>
      </x:c>
      <x:c r="D177" s="85">
        <x:v>42107</x:v>
      </x:c>
      <x:c r="E177" s="82" t="n">
        <x:v>29744</x:v>
      </x:c>
      <x:c r="F177" s="86" t="n">
        <x:v>0.217490627954269</x:v>
      </x:c>
      <x:c r="G177" s="86" t="n">
        <x:v>0.221554576094782</x:v>
      </x:c>
      <x:c r="H177" s="86" t="n">
        <x:v>0.248466044519302</x:v>
      </x:c>
      <x:c r="I177" s="86" t="n">
        <x:v>0.318801058888735</x:v>
      </x:c>
      <x:c r="J177" s="82" t="s"/>
      <x:c r="K177" s="82" t="s"/>
      <x:c r="L177" s="82" t="s"/>
      <x:c r="M177" s="82" t="s"/>
      <x:c r="N177" s="82" t="s"/>
      <x:c r="O177" s="82" t="s"/>
      <x:c r="P177" s="82" t="s"/>
      <x:c r="Q177" s="82" t="s"/>
      <x:c r="R177" s="82" t="s"/>
      <x:c r="S177" s="82" t="s"/>
      <x:c r="T177" s="82" t="s"/>
      <x:c r="U177" s="82" t="s"/>
      <x:c r="V177" s="82" t="s"/>
      <x:c r="W177" s="82" t="s"/>
      <x:c r="X177" s="82" t="s"/>
      <x:c r="Y177" s="82" t="s"/>
      <x:c r="Z177" s="82" t="s"/>
      <x:c r="AA177" s="82" t="s"/>
      <x:c r="AB177" s="82" t="s"/>
      <x:c r="AC177" s="82" t="s"/>
      <x:c r="AD177" s="82" t="s"/>
      <x:c r="AE177" s="82" t="s"/>
      <x:c r="AF177" s="82" t="s"/>
      <x:c r="AG177" s="82" t="s"/>
      <x:c r="AH177" s="82" t="s"/>
      <x:c r="AI177" s="82" t="s"/>
      <x:c r="AJ177" s="82" t="s"/>
      <x:c r="AK177" s="82" t="s"/>
      <x:c r="AL177" s="82" t="s"/>
      <x:c r="AM177" s="82" t="s"/>
      <x:c r="AN177" s="82" t="s"/>
      <x:c r="AO177" s="82" t="s"/>
      <x:c r="AP177" s="82" t="s"/>
      <x:c r="AQ177" s="82" t="s"/>
      <x:c r="AR177" s="82" t="s"/>
      <x:c r="AS177" s="82" t="s"/>
      <x:c r="AT177" s="82" t="s"/>
      <x:c r="AU177" s="82" t="s"/>
      <x:c r="AV177" s="82" t="s"/>
      <x:c r="AW177" s="82" t="s"/>
      <x:c r="AX177" s="82" t="s"/>
      <x:c r="AY177" s="82" t="s"/>
      <x:c r="AZ177" s="82" t="s"/>
      <x:c r="BA177" s="82" t="s"/>
      <x:c r="BB177" s="82" t="s"/>
      <x:c r="BC177" s="82" t="s"/>
      <x:c r="BD177" s="82" t="s"/>
      <x:c r="BE177" s="82" t="s"/>
      <x:c r="BF177" s="82" t="s"/>
      <x:c r="BG177" s="82" t="s"/>
      <x:c r="BH177" s="82" t="s"/>
      <x:c r="BI177" s="82" t="s"/>
      <x:c r="BJ177" s="82" t="s"/>
      <x:c r="BK177" s="82" t="s"/>
      <x:c r="BL177" s="82" t="s"/>
      <x:c r="BM177" s="82" t="s"/>
      <x:c r="BN177" s="82" t="s"/>
      <x:c r="BO177" s="82" t="s"/>
      <x:c r="BP177" s="82" t="s"/>
      <x:c r="BQ177" s="82" t="s"/>
      <x:c r="BR177" s="82" t="s"/>
    </x:row>
    <x:row r="178" spans="1:70" x14ac:dyDescent="0.25">
      <x:c r="A178" s="82" t="s">
        <x:v>106</x:v>
      </x:c>
      <x:c r="B178" s="82" t="s">
        <x:v>107</x:v>
      </x:c>
      <x:c r="C178" s="82" t="s">
        <x:v>109</x:v>
      </x:c>
      <x:c r="D178" s="85">
        <x:v>42107</x:v>
      </x:c>
      <x:c r="E178" s="82" t="n">
        <x:v>29744</x:v>
      </x:c>
      <x:c r="F178" s="86" t="n">
        <x:v>2.86401651328954</x:v>
      </x:c>
      <x:c r="G178" s="86" t="n">
        <x:v>2.80850854434801</x:v>
      </x:c>
      <x:c r="H178" s="86" t="n">
        <x:v>3.05443670925961</x:v>
      </x:c>
      <x:c r="I178" s="86" t="n">
        <x:v>3.44317525334405</x:v>
      </x:c>
      <x:c r="J178" s="82" t="s"/>
      <x:c r="K178" s="82" t="s"/>
      <x:c r="L178" s="82" t="s"/>
      <x:c r="M178" s="82" t="s"/>
      <x:c r="N178" s="82" t="s"/>
      <x:c r="O178" s="82" t="s"/>
      <x:c r="P178" s="82" t="s"/>
      <x:c r="Q178" s="82" t="s"/>
      <x:c r="R178" s="82" t="s"/>
      <x:c r="S178" s="82" t="s"/>
      <x:c r="T178" s="82" t="s"/>
      <x:c r="U178" s="82" t="s"/>
      <x:c r="V178" s="82" t="s"/>
      <x:c r="W178" s="82" t="s"/>
      <x:c r="X178" s="82" t="s"/>
      <x:c r="Y178" s="82" t="s"/>
      <x:c r="Z178" s="82" t="s"/>
      <x:c r="AA178" s="82" t="s"/>
      <x:c r="AB178" s="82" t="s"/>
      <x:c r="AC178" s="82" t="s"/>
      <x:c r="AD178" s="82" t="s"/>
      <x:c r="AE178" s="82" t="s"/>
      <x:c r="AF178" s="82" t="s"/>
      <x:c r="AG178" s="82" t="s"/>
      <x:c r="AH178" s="82" t="s"/>
      <x:c r="AI178" s="82" t="s"/>
      <x:c r="AJ178" s="82" t="s"/>
      <x:c r="AK178" s="82" t="s"/>
      <x:c r="AL178" s="82" t="s"/>
      <x:c r="AM178" s="82" t="s"/>
      <x:c r="AN178" s="82" t="s"/>
      <x:c r="AO178" s="82" t="s"/>
      <x:c r="AP178" s="82" t="s"/>
      <x:c r="AQ178" s="82" t="s"/>
      <x:c r="AR178" s="82" t="s"/>
      <x:c r="AS178" s="82" t="s"/>
      <x:c r="AT178" s="82" t="s"/>
      <x:c r="AU178" s="82" t="s"/>
      <x:c r="AV178" s="82" t="s"/>
      <x:c r="AW178" s="82" t="s"/>
      <x:c r="AX178" s="82" t="s"/>
      <x:c r="AY178" s="82" t="s"/>
      <x:c r="AZ178" s="82" t="s"/>
      <x:c r="BA178" s="82" t="s"/>
      <x:c r="BB178" s="82" t="s"/>
      <x:c r="BC178" s="82" t="s"/>
      <x:c r="BD178" s="82" t="s"/>
      <x:c r="BE178" s="82" t="s"/>
      <x:c r="BF178" s="82" t="s"/>
      <x:c r="BG178" s="82" t="s"/>
      <x:c r="BH178" s="82" t="s"/>
      <x:c r="BI178" s="82" t="s"/>
      <x:c r="BJ178" s="82" t="s"/>
      <x:c r="BK178" s="82" t="s"/>
      <x:c r="BL178" s="82" t="s"/>
      <x:c r="BM178" s="82" t="s"/>
      <x:c r="BN178" s="82" t="s"/>
      <x:c r="BO178" s="82" t="s"/>
      <x:c r="BP178" s="82" t="s"/>
      <x:c r="BQ178" s="82" t="s"/>
      <x:c r="BR178" s="82" t="s"/>
    </x:row>
    <x:row r="179" spans="1:70" x14ac:dyDescent="0.25">
      <x:c r="A179" s="82" t="s">
        <x:v>106</x:v>
      </x:c>
      <x:c r="B179" s="82" t="s">
        <x:v>107</x:v>
      </x:c>
      <x:c r="C179" s="82" t="s">
        <x:v>110</x:v>
      </x:c>
      <x:c r="D179" s="85">
        <x:v>42107</x:v>
      </x:c>
      <x:c r="E179" s="82" t="n">
        <x:v>29744</x:v>
      </x:c>
      <x:c r="F179" s="86" t="n">
        <x:v>0.39261076001171</x:v>
      </x:c>
      <x:c r="G179" s="127" t="n">
        <x:v>0.39999680786782</x:v>
      </x:c>
      <x:c r="H179" s="86" t="n">
        <x:v>0.346309810131331</x:v>
      </x:c>
      <x:c r="I179" s="86" t="n">
        <x:v>0.335966277481701</x:v>
      </x:c>
      <x:c r="J179" s="82" t="s"/>
      <x:c r="K179" s="82" t="s"/>
      <x:c r="L179" s="82" t="s"/>
      <x:c r="M179" s="82" t="s"/>
      <x:c r="N179" s="82" t="s"/>
      <x:c r="O179" s="82" t="s"/>
      <x:c r="P179" s="82" t="s"/>
      <x:c r="Q179" s="82" t="s"/>
      <x:c r="R179" s="82" t="s"/>
      <x:c r="S179" s="82" t="s"/>
      <x:c r="T179" s="82" t="s"/>
      <x:c r="U179" s="82" t="s"/>
      <x:c r="V179" s="82" t="s"/>
      <x:c r="W179" s="82" t="s"/>
      <x:c r="X179" s="82" t="s"/>
      <x:c r="Y179" s="82" t="s"/>
      <x:c r="Z179" s="82" t="s"/>
      <x:c r="AA179" s="82" t="s"/>
      <x:c r="AB179" s="82" t="s"/>
      <x:c r="AC179" s="82" t="s"/>
      <x:c r="AD179" s="82" t="s"/>
      <x:c r="AE179" s="82" t="s"/>
      <x:c r="AF179" s="82" t="s"/>
      <x:c r="AG179" s="82" t="s"/>
      <x:c r="AH179" s="82" t="s"/>
      <x:c r="AI179" s="82" t="s"/>
      <x:c r="AJ179" s="82" t="s"/>
      <x:c r="AK179" s="82" t="s"/>
      <x:c r="AL179" s="82" t="s"/>
      <x:c r="AM179" s="82" t="s"/>
      <x:c r="AN179" s="82" t="s"/>
      <x:c r="AO179" s="82" t="s"/>
      <x:c r="AP179" s="82" t="s"/>
      <x:c r="AQ179" s="82" t="s"/>
      <x:c r="AR179" s="82" t="s"/>
      <x:c r="AS179" s="82" t="s"/>
      <x:c r="AT179" s="82" t="s"/>
      <x:c r="AU179" s="82" t="s"/>
      <x:c r="AV179" s="82" t="s"/>
      <x:c r="AW179" s="82" t="s"/>
      <x:c r="AX179" s="82" t="s"/>
      <x:c r="AY179" s="82" t="s"/>
      <x:c r="AZ179" s="82" t="s"/>
      <x:c r="BA179" s="82" t="s"/>
      <x:c r="BB179" s="82" t="s"/>
      <x:c r="BC179" s="82" t="s"/>
      <x:c r="BD179" s="82" t="s"/>
      <x:c r="BE179" s="82" t="s"/>
      <x:c r="BF179" s="82" t="s"/>
      <x:c r="BG179" s="82" t="s"/>
      <x:c r="BH179" s="82" t="s"/>
      <x:c r="BI179" s="82" t="s"/>
      <x:c r="BJ179" s="82" t="s"/>
      <x:c r="BK179" s="82" t="s"/>
      <x:c r="BL179" s="82" t="s"/>
      <x:c r="BM179" s="82" t="s"/>
      <x:c r="BN179" s="82" t="s"/>
      <x:c r="BO179" s="82" t="s"/>
      <x:c r="BP179" s="82" t="s"/>
      <x:c r="BQ179" s="82" t="s"/>
      <x:c r="BR179" s="82" t="s"/>
    </x:row>
    <x:row r="180" spans="1:70" x14ac:dyDescent="0.25">
      <x:c r="A180" s="82" t="s">
        <x:v>106</x:v>
      </x:c>
      <x:c r="B180" s="82" t="s">
        <x:v>107</x:v>
      </x:c>
      <x:c r="C180" s="82" t="s">
        <x:v>111</x:v>
      </x:c>
      <x:c r="D180" s="85">
        <x:v>42107</x:v>
      </x:c>
      <x:c r="E180" s="82" t="n">
        <x:v>29744</x:v>
      </x:c>
      <x:c r="F180" s="86" t="n">
        <x:v>3.95144988214299</x:v>
      </x:c>
      <x:c r="G180" s="127" t="n">
        <x:v>4.40193026105263</x:v>
      </x:c>
      <x:c r="H180" s="86" t="n">
        <x:v>4.89799392804882</x:v>
      </x:c>
      <x:c r="I180" s="86" t="n">
        <x:v>4.35073534617573</x:v>
      </x:c>
      <x:c r="J180" s="82" t="s"/>
      <x:c r="K180" s="82" t="s"/>
      <x:c r="L180" s="82" t="s"/>
      <x:c r="M180" s="82" t="s"/>
      <x:c r="N180" s="82" t="s"/>
      <x:c r="O180" s="82" t="s"/>
      <x:c r="P180" s="82" t="s"/>
      <x:c r="Q180" s="82" t="s"/>
      <x:c r="R180" s="82" t="s"/>
      <x:c r="S180" s="82" t="s"/>
      <x:c r="T180" s="82" t="s"/>
      <x:c r="U180" s="82" t="s"/>
      <x:c r="V180" s="82" t="s"/>
      <x:c r="W180" s="82" t="s"/>
      <x:c r="X180" s="82" t="s"/>
      <x:c r="Y180" s="82" t="s"/>
      <x:c r="Z180" s="82" t="s"/>
      <x:c r="AA180" s="82" t="s"/>
      <x:c r="AB180" s="82" t="s"/>
      <x:c r="AC180" s="82" t="s"/>
      <x:c r="AD180" s="82" t="s"/>
      <x:c r="AE180" s="82" t="s"/>
      <x:c r="AF180" s="82" t="s"/>
      <x:c r="AG180" s="82" t="s"/>
      <x:c r="AH180" s="82" t="s"/>
      <x:c r="AI180" s="82" t="s"/>
      <x:c r="AJ180" s="82" t="s"/>
      <x:c r="AK180" s="82" t="s"/>
      <x:c r="AL180" s="82" t="s"/>
      <x:c r="AM180" s="82" t="s"/>
      <x:c r="AN180" s="82" t="s"/>
      <x:c r="AO180" s="82" t="s"/>
      <x:c r="AP180" s="82" t="s"/>
      <x:c r="AQ180" s="82" t="s"/>
      <x:c r="AR180" s="82" t="s"/>
      <x:c r="AS180" s="82" t="s"/>
      <x:c r="AT180" s="82" t="s"/>
      <x:c r="AU180" s="82" t="s"/>
      <x:c r="AV180" s="82" t="s"/>
      <x:c r="AW180" s="82" t="s"/>
      <x:c r="AX180" s="82" t="s"/>
      <x:c r="AY180" s="82" t="s"/>
      <x:c r="AZ180" s="82" t="s"/>
      <x:c r="BA180" s="82" t="s"/>
      <x:c r="BB180" s="82" t="s"/>
      <x:c r="BC180" s="82" t="s"/>
      <x:c r="BD180" s="82" t="s"/>
      <x:c r="BE180" s="82" t="s"/>
      <x:c r="BF180" s="82" t="s"/>
      <x:c r="BG180" s="82" t="s"/>
      <x:c r="BH180" s="82" t="s"/>
      <x:c r="BI180" s="82" t="s"/>
      <x:c r="BJ180" s="82" t="s"/>
      <x:c r="BK180" s="82" t="s"/>
      <x:c r="BL180" s="82" t="s"/>
      <x:c r="BM180" s="82" t="s"/>
      <x:c r="BN180" s="82" t="s"/>
      <x:c r="BO180" s="82" t="s"/>
      <x:c r="BP180" s="82" t="s"/>
      <x:c r="BQ180" s="82" t="s"/>
      <x:c r="BR180" s="82" t="s"/>
    </x:row>
    <x:row r="181" spans="1:70" x14ac:dyDescent="0.25">
      <x:c r="A181" s="82" t="s">
        <x:v>106</x:v>
      </x:c>
      <x:c r="B181" s="82" t="s">
        <x:v>107</x:v>
      </x:c>
      <x:c r="C181" s="82" t="s">
        <x:v>112</x:v>
      </x:c>
      <x:c r="D181" s="85">
        <x:v>42107</x:v>
      </x:c>
      <x:c r="E181" s="82" t="n">
        <x:v>29744</x:v>
      </x:c>
      <x:c r="F181" s="82" t="n">
        <x:v>11.8374859392669</x:v>
      </x:c>
      <x:c r="G181" s="82" t="n">
        <x:v>13.1870045489693</x:v>
      </x:c>
      <x:c r="H181" s="82" t="n">
        <x:v>14.6730784859273</x:v>
      </x:c>
      <x:c r="I181" s="82" t="n">
        <x:v>13.0336382902307</x:v>
      </x:c>
      <x:c r="J181" s="82" t="s"/>
      <x:c r="K181" s="82" t="s"/>
      <x:c r="L181" s="82" t="s"/>
      <x:c r="M181" s="82" t="s"/>
      <x:c r="N181" s="82" t="s"/>
      <x:c r="O181" s="82" t="s"/>
      <x:c r="P181" s="82" t="s"/>
      <x:c r="Q181" s="82" t="s"/>
      <x:c r="R181" s="82" t="s"/>
      <x:c r="S181" s="82" t="s"/>
      <x:c r="T181" s="82" t="s"/>
      <x:c r="U181" s="82" t="s"/>
      <x:c r="V181" s="82" t="s"/>
      <x:c r="W181" s="82" t="s"/>
      <x:c r="X181" s="82" t="s"/>
      <x:c r="Y181" s="82" t="s"/>
      <x:c r="Z181" s="82" t="s"/>
      <x:c r="AA181" s="82" t="s"/>
      <x:c r="AB181" s="82" t="s"/>
      <x:c r="AC181" s="82" t="s"/>
      <x:c r="AD181" s="82" t="s"/>
      <x:c r="AE181" s="82" t="s"/>
      <x:c r="AF181" s="82" t="s"/>
      <x:c r="AG181" s="82" t="s"/>
      <x:c r="AH181" s="82" t="s"/>
      <x:c r="AI181" s="82" t="s"/>
      <x:c r="AJ181" s="82" t="s"/>
      <x:c r="AK181" s="82" t="s"/>
      <x:c r="AL181" s="82" t="s"/>
      <x:c r="AM181" s="82" t="s"/>
      <x:c r="AN181" s="82" t="s"/>
      <x:c r="AO181" s="82" t="s"/>
      <x:c r="AP181" s="82" t="s"/>
      <x:c r="AQ181" s="82" t="s"/>
      <x:c r="AR181" s="82" t="s"/>
      <x:c r="AS181" s="82" t="s"/>
      <x:c r="AT181" s="82" t="s"/>
      <x:c r="AU181" s="82" t="s"/>
      <x:c r="AV181" s="82" t="s"/>
      <x:c r="AW181" s="82" t="s"/>
      <x:c r="AX181" s="82" t="s"/>
      <x:c r="AY181" s="82" t="s"/>
      <x:c r="AZ181" s="82" t="s"/>
      <x:c r="BA181" s="82" t="s"/>
      <x:c r="BB181" s="82" t="s"/>
      <x:c r="BC181" s="82" t="s"/>
      <x:c r="BD181" s="82" t="s"/>
      <x:c r="BE181" s="82" t="s"/>
      <x:c r="BF181" s="82" t="s"/>
      <x:c r="BG181" s="82" t="s"/>
      <x:c r="BH181" s="82" t="s"/>
      <x:c r="BI181" s="82" t="s"/>
      <x:c r="BJ181" s="82" t="s"/>
      <x:c r="BK181" s="82" t="s"/>
      <x:c r="BL181" s="82" t="s"/>
      <x:c r="BM181" s="82" t="s"/>
      <x:c r="BN181" s="82" t="s"/>
      <x:c r="BO181" s="82" t="s"/>
      <x:c r="BP181" s="82" t="s"/>
      <x:c r="BQ181" s="82" t="s"/>
      <x:c r="BR181" s="82" t="s"/>
    </x:row>
    <x:row r="182" spans="1:70" x14ac:dyDescent="0.25">
      <x:c r="A182" s="82" t="s">
        <x:v>106</x:v>
      </x:c>
      <x:c r="B182" s="82" t="s">
        <x:v>107</x:v>
      </x:c>
      <x:c r="C182" s="82" t="s">
        <x:v>113</x:v>
      </x:c>
      <x:c r="D182" s="85">
        <x:v>42107</x:v>
      </x:c>
      <x:c r="E182" s="82" t="n">
        <x:v>29744</x:v>
      </x:c>
      <x:c r="F182" s="88" t="n">
        <x:v>-7.8</x:v>
      </x:c>
      <x:c r="G182" s="88" t="n">
        <x:v>-7.329</x:v>
      </x:c>
      <x:c r="H182" s="82" t="s"/>
      <x:c r="I182" s="82" t="s"/>
      <x:c r="J182" s="82" t="s"/>
      <x:c r="K182" s="82" t="s"/>
      <x:c r="L182" s="82" t="s"/>
      <x:c r="M182" s="82" t="s"/>
      <x:c r="N182" s="82" t="s"/>
      <x:c r="O182" s="82" t="s"/>
      <x:c r="P182" s="82" t="s"/>
      <x:c r="Q182" s="82" t="s"/>
      <x:c r="R182" s="82" t="s"/>
      <x:c r="S182" s="82" t="s"/>
      <x:c r="T182" s="82" t="s"/>
      <x:c r="U182" s="82" t="s"/>
      <x:c r="V182" s="82" t="s"/>
      <x:c r="W182" s="82" t="s"/>
      <x:c r="X182" s="82" t="s"/>
      <x:c r="Y182" s="82" t="s"/>
      <x:c r="Z182" s="82" t="s"/>
      <x:c r="AA182" s="82" t="s"/>
      <x:c r="AB182" s="82" t="s"/>
      <x:c r="AC182" s="82" t="s"/>
      <x:c r="AD182" s="82" t="s"/>
      <x:c r="AE182" s="82" t="s"/>
      <x:c r="AF182" s="82" t="s"/>
      <x:c r="AG182" s="82" t="s"/>
      <x:c r="AH182" s="82" t="s"/>
      <x:c r="AI182" s="82" t="s"/>
      <x:c r="AJ182" s="82" t="s"/>
      <x:c r="AK182" s="82" t="s"/>
      <x:c r="AL182" s="82" t="s"/>
      <x:c r="AM182" s="82" t="s"/>
      <x:c r="AN182" s="82" t="s"/>
      <x:c r="AO182" s="82" t="s"/>
      <x:c r="AP182" s="82" t="s"/>
      <x:c r="AQ182" s="82" t="s"/>
      <x:c r="AR182" s="82" t="s"/>
      <x:c r="AS182" s="82" t="s"/>
      <x:c r="AT182" s="82" t="s"/>
      <x:c r="AU182" s="82" t="s"/>
      <x:c r="AV182" s="82" t="s"/>
      <x:c r="AW182" s="82" t="s"/>
      <x:c r="AX182" s="82" t="s"/>
      <x:c r="AY182" s="82" t="s"/>
      <x:c r="AZ182" s="82" t="s"/>
      <x:c r="BA182" s="82" t="s"/>
      <x:c r="BB182" s="82" t="s"/>
      <x:c r="BC182" s="82" t="s"/>
      <x:c r="BD182" s="82" t="s"/>
      <x:c r="BE182" s="82" t="s"/>
      <x:c r="BF182" s="82" t="s"/>
      <x:c r="BG182" s="82" t="s"/>
      <x:c r="BH182" s="82" t="s"/>
      <x:c r="BI182" s="82" t="s"/>
      <x:c r="BJ182" s="82" t="s"/>
      <x:c r="BK182" s="82" t="s"/>
      <x:c r="BL182" s="82" t="s"/>
      <x:c r="BM182" s="82" t="s"/>
      <x:c r="BN182" s="82" t="s"/>
      <x:c r="BO182" s="82" t="s"/>
      <x:c r="BP182" s="82" t="s"/>
      <x:c r="BQ182" s="82" t="s"/>
      <x:c r="BR182" s="82" t="s"/>
    </x:row>
    <x:row r="183" spans="1:70" x14ac:dyDescent="0.25">
      <x:c r="A183" s="82" t="s">
        <x:v>106</x:v>
      </x:c>
      <x:c r="B183" s="82" t="s">
        <x:v>107</x:v>
      </x:c>
      <x:c r="C183" s="82" t="s">
        <x:v>114</x:v>
      </x:c>
      <x:c r="D183" s="85">
        <x:v>42107</x:v>
      </x:c>
      <x:c r="E183" s="82" t="n">
        <x:v>29744</x:v>
      </x:c>
      <x:c r="F183" s="88" t="n">
        <x:v>1.016</x:v>
      </x:c>
      <x:c r="G183" s="88" t="n">
        <x:v>0.952</x:v>
      </x:c>
      <x:c r="H183" s="82" t="s"/>
      <x:c r="I183" s="82" t="s"/>
      <x:c r="J183" s="82" t="s"/>
      <x:c r="K183" s="82" t="s"/>
      <x:c r="L183" s="82" t="s"/>
      <x:c r="M183" s="82" t="s"/>
      <x:c r="N183" s="82" t="s"/>
      <x:c r="O183" s="82" t="s"/>
      <x:c r="P183" s="82" t="s"/>
      <x:c r="Q183" s="82" t="s"/>
      <x:c r="R183" s="82" t="s"/>
      <x:c r="S183" s="82" t="s"/>
      <x:c r="T183" s="82" t="s"/>
      <x:c r="U183" s="82" t="s"/>
      <x:c r="V183" s="82" t="s"/>
      <x:c r="W183" s="82" t="s"/>
      <x:c r="X183" s="82" t="s"/>
      <x:c r="Y183" s="82" t="s"/>
      <x:c r="Z183" s="82" t="s"/>
      <x:c r="AA183" s="82" t="s"/>
      <x:c r="AB183" s="82" t="s"/>
      <x:c r="AC183" s="82" t="s"/>
      <x:c r="AD183" s="82" t="s"/>
      <x:c r="AE183" s="82" t="s"/>
      <x:c r="AF183" s="82" t="s"/>
      <x:c r="AG183" s="82" t="s"/>
      <x:c r="AH183" s="82" t="s"/>
      <x:c r="AI183" s="82" t="s"/>
      <x:c r="AJ183" s="82" t="s"/>
      <x:c r="AK183" s="82" t="s"/>
      <x:c r="AL183" s="82" t="s"/>
      <x:c r="AM183" s="82" t="s"/>
      <x:c r="AN183" s="82" t="s"/>
      <x:c r="AO183" s="82" t="s"/>
      <x:c r="AP183" s="82" t="s"/>
      <x:c r="AQ183" s="82" t="s"/>
      <x:c r="AR183" s="82" t="s"/>
      <x:c r="AS183" s="82" t="s"/>
      <x:c r="AT183" s="82" t="s"/>
      <x:c r="AU183" s="82" t="s"/>
      <x:c r="AV183" s="82" t="s"/>
      <x:c r="AW183" s="82" t="s"/>
      <x:c r="AX183" s="82" t="s"/>
      <x:c r="AY183" s="82" t="s"/>
      <x:c r="AZ183" s="82" t="s"/>
      <x:c r="BA183" s="82" t="s"/>
      <x:c r="BB183" s="82" t="s"/>
      <x:c r="BC183" s="82" t="s"/>
      <x:c r="BD183" s="82" t="s"/>
      <x:c r="BE183" s="82" t="s"/>
      <x:c r="BF183" s="82" t="s"/>
      <x:c r="BG183" s="82" t="s"/>
      <x:c r="BH183" s="82" t="s"/>
      <x:c r="BI183" s="82" t="s"/>
      <x:c r="BJ183" s="82" t="s"/>
      <x:c r="BK183" s="82" t="s"/>
      <x:c r="BL183" s="82" t="s"/>
      <x:c r="BM183" s="82" t="s"/>
      <x:c r="BN183" s="82" t="s"/>
      <x:c r="BO183" s="82" t="s"/>
      <x:c r="BP183" s="82" t="s"/>
      <x:c r="BQ183" s="82" t="s"/>
      <x:c r="BR183" s="82" t="s"/>
    </x:row>
    <x:row r="184" spans="1:70" x14ac:dyDescent="0.25">
      <x:c r="A184" s="82" t="s">
        <x:v>106</x:v>
      </x:c>
      <x:c r="B184" s="82" t="s">
        <x:v>107</x:v>
      </x:c>
      <x:c r="C184" s="82" t="s">
        <x:v>115</x:v>
      </x:c>
      <x:c r="D184" s="85">
        <x:v>42107</x:v>
      </x:c>
      <x:c r="E184" s="82" t="n">
        <x:v>29744</x:v>
      </x:c>
      <x:c r="F184" s="101" t="n">
        <x:v>-8.416</x:v>
      </x:c>
      <x:c r="G184" s="101" t="n">
        <x:v>-6.756</x:v>
      </x:c>
      <x:c r="H184" s="82" t="s"/>
      <x:c r="I184" s="82" t="s"/>
      <x:c r="J184" s="82" t="s"/>
      <x:c r="K184" s="82" t="s"/>
      <x:c r="L184" s="82" t="s"/>
      <x:c r="M184" s="82" t="s"/>
      <x:c r="N184" s="82" t="s"/>
      <x:c r="O184" s="82" t="s"/>
      <x:c r="P184" s="82" t="s"/>
      <x:c r="Q184" s="82" t="s"/>
      <x:c r="R184" s="82" t="s"/>
      <x:c r="S184" s="82" t="s"/>
      <x:c r="T184" s="82" t="s"/>
      <x:c r="U184" s="82" t="s"/>
      <x:c r="V184" s="82" t="s"/>
      <x:c r="W184" s="82" t="s"/>
      <x:c r="X184" s="82" t="s"/>
      <x:c r="Y184" s="82" t="s"/>
      <x:c r="Z184" s="82" t="s"/>
      <x:c r="AA184" s="82" t="s"/>
      <x:c r="AB184" s="82" t="s"/>
      <x:c r="AC184" s="82" t="s"/>
      <x:c r="AD184" s="82" t="s"/>
      <x:c r="AE184" s="82" t="s"/>
      <x:c r="AF184" s="82" t="s"/>
      <x:c r="AG184" s="82" t="s"/>
      <x:c r="AH184" s="82" t="s"/>
      <x:c r="AI184" s="82" t="s"/>
      <x:c r="AJ184" s="82" t="s"/>
      <x:c r="AK184" s="82" t="s"/>
      <x:c r="AL184" s="82" t="s"/>
      <x:c r="AM184" s="82" t="s"/>
      <x:c r="AN184" s="82" t="s"/>
      <x:c r="AO184" s="82" t="s"/>
      <x:c r="AP184" s="82" t="s"/>
      <x:c r="AQ184" s="82" t="s"/>
      <x:c r="AR184" s="82" t="s"/>
      <x:c r="AS184" s="82" t="s"/>
      <x:c r="AT184" s="82" t="s"/>
      <x:c r="AU184" s="82" t="s"/>
      <x:c r="AV184" s="82" t="s"/>
      <x:c r="AW184" s="82" t="s"/>
      <x:c r="AX184" s="82" t="s"/>
      <x:c r="AY184" s="82" t="s"/>
      <x:c r="AZ184" s="82" t="s"/>
      <x:c r="BA184" s="82" t="s"/>
      <x:c r="BB184" s="82" t="s"/>
      <x:c r="BC184" s="82" t="s"/>
      <x:c r="BD184" s="82" t="s"/>
      <x:c r="BE184" s="82" t="s"/>
      <x:c r="BF184" s="82" t="s"/>
      <x:c r="BG184" s="82" t="s"/>
      <x:c r="BH184" s="82" t="s"/>
      <x:c r="BI184" s="82" t="s"/>
      <x:c r="BJ184" s="82" t="s"/>
      <x:c r="BK184" s="82" t="s"/>
      <x:c r="BL184" s="82" t="s"/>
      <x:c r="BM184" s="82" t="s"/>
      <x:c r="BN184" s="82" t="s"/>
      <x:c r="BO184" s="82" t="s"/>
      <x:c r="BP184" s="82" t="s"/>
      <x:c r="BQ184" s="82" t="s"/>
      <x:c r="BR184" s="82" t="s"/>
    </x:row>
    <x:row r="185" spans="1:70" x14ac:dyDescent="0.25">
      <x:c r="A185" s="82" t="s">
        <x:v>106</x:v>
      </x:c>
      <x:c r="B185" s="82" t="s">
        <x:v>107</x:v>
      </x:c>
      <x:c r="C185" s="82" t="s">
        <x:v>116</x:v>
      </x:c>
      <x:c r="D185" s="85">
        <x:v>42107</x:v>
      </x:c>
      <x:c r="E185" s="82" t="n">
        <x:v>29744</x:v>
      </x:c>
      <x:c r="F185" s="101" t="n">
        <x:v>0.756</x:v>
      </x:c>
      <x:c r="G185" s="101" t="n">
        <x:v>0.624</x:v>
      </x:c>
      <x:c r="H185" s="82" t="s"/>
      <x:c r="I185" s="82" t="s"/>
      <x:c r="J185" s="82" t="s"/>
      <x:c r="K185" s="82" t="s"/>
      <x:c r="L185" s="82" t="s"/>
      <x:c r="M185" s="82" t="s"/>
      <x:c r="N185" s="82" t="s"/>
      <x:c r="O185" s="82" t="s"/>
      <x:c r="P185" s="82" t="s"/>
      <x:c r="Q185" s="82" t="s"/>
      <x:c r="R185" s="82" t="s"/>
      <x:c r="S185" s="82" t="s"/>
      <x:c r="T185" s="82" t="s"/>
      <x:c r="U185" s="82" t="s"/>
      <x:c r="V185" s="82" t="s"/>
      <x:c r="W185" s="82" t="s"/>
      <x:c r="X185" s="82" t="s"/>
      <x:c r="Y185" s="82" t="s"/>
      <x:c r="Z185" s="82" t="s"/>
      <x:c r="AA185" s="82" t="s"/>
      <x:c r="AB185" s="82" t="s"/>
      <x:c r="AC185" s="82" t="s"/>
      <x:c r="AD185" s="82" t="s"/>
      <x:c r="AE185" s="82" t="s"/>
      <x:c r="AF185" s="82" t="s"/>
      <x:c r="AG185" s="82" t="s"/>
      <x:c r="AH185" s="82" t="s"/>
      <x:c r="AI185" s="82" t="s"/>
      <x:c r="AJ185" s="82" t="s"/>
      <x:c r="AK185" s="82" t="s"/>
      <x:c r="AL185" s="82" t="s"/>
      <x:c r="AM185" s="82" t="s"/>
      <x:c r="AN185" s="82" t="s"/>
      <x:c r="AO185" s="82" t="s"/>
      <x:c r="AP185" s="82" t="s"/>
      <x:c r="AQ185" s="82" t="s"/>
      <x:c r="AR185" s="82" t="s"/>
      <x:c r="AS185" s="82" t="s"/>
      <x:c r="AT185" s="82" t="s"/>
      <x:c r="AU185" s="82" t="s"/>
      <x:c r="AV185" s="82" t="s"/>
      <x:c r="AW185" s="82" t="s"/>
      <x:c r="AX185" s="82" t="s"/>
      <x:c r="AY185" s="82" t="s"/>
      <x:c r="AZ185" s="82" t="s"/>
      <x:c r="BA185" s="82" t="s"/>
      <x:c r="BB185" s="82" t="s"/>
      <x:c r="BC185" s="82" t="s"/>
      <x:c r="BD185" s="82" t="s"/>
      <x:c r="BE185" s="82" t="s"/>
      <x:c r="BF185" s="82" t="s"/>
      <x:c r="BG185" s="82" t="s"/>
      <x:c r="BH185" s="82" t="s"/>
      <x:c r="BI185" s="82" t="s"/>
      <x:c r="BJ185" s="82" t="s"/>
      <x:c r="BK185" s="82" t="s"/>
      <x:c r="BL185" s="82" t="s"/>
      <x:c r="BM185" s="82" t="s"/>
      <x:c r="BN185" s="82" t="s"/>
      <x:c r="BO185" s="82" t="s"/>
      <x:c r="BP185" s="82" t="s"/>
      <x:c r="BQ185" s="82" t="s"/>
      <x:c r="BR185" s="82" t="s"/>
    </x:row>
    <x:row r="186" spans="1:70" x14ac:dyDescent="0.25">
      <x:c r="A186" s="82" t="s">
        <x:v>106</x:v>
      </x:c>
      <x:c r="B186" s="82" t="s">
        <x:v>107</x:v>
      </x:c>
      <x:c r="C186" s="82" t="s">
        <x:v>17</x:v>
      </x:c>
      <x:c r="D186" s="85">
        <x:v>42107</x:v>
      </x:c>
      <x:c r="E186" s="82" t="n">
        <x:v>29744</x:v>
      </x:c>
      <x:c r="F186" s="102" t="n">
        <x:v>38.9633206009997</x:v>
      </x:c>
      <x:c r="G186" s="102" t="n">
        <x:v>30.3625021682114</x:v>
      </x:c>
      <x:c r="H186" s="82" t="s"/>
      <x:c r="I186" s="82" t="s"/>
      <x:c r="J186" s="82" t="s"/>
      <x:c r="K186" s="82" t="s"/>
      <x:c r="L186" s="82" t="s"/>
      <x:c r="M186" s="82" t="s"/>
      <x:c r="N186" s="82" t="s"/>
      <x:c r="O186" s="82" t="s"/>
      <x:c r="P186" s="82" t="s"/>
      <x:c r="Q186" s="82" t="s"/>
      <x:c r="R186" s="82" t="s"/>
      <x:c r="S186" s="82" t="s"/>
      <x:c r="T186" s="82" t="s"/>
      <x:c r="U186" s="82" t="s"/>
      <x:c r="V186" s="82" t="s"/>
      <x:c r="W186" s="82" t="s"/>
      <x:c r="X186" s="82" t="s"/>
      <x:c r="Y186" s="82" t="s"/>
      <x:c r="Z186" s="82" t="s"/>
      <x:c r="AA186" s="82" t="s"/>
      <x:c r="AB186" s="82" t="s"/>
      <x:c r="AC186" s="82" t="s"/>
      <x:c r="AD186" s="82" t="s"/>
      <x:c r="AE186" s="82" t="s"/>
      <x:c r="AF186" s="82" t="s"/>
      <x:c r="AG186" s="82" t="s"/>
      <x:c r="AH186" s="82" t="s"/>
      <x:c r="AI186" s="82" t="s"/>
      <x:c r="AJ186" s="82" t="s"/>
      <x:c r="AK186" s="82" t="s"/>
      <x:c r="AL186" s="82" t="s"/>
      <x:c r="AM186" s="82" t="s"/>
      <x:c r="AN186" s="82" t="s"/>
      <x:c r="AO186" s="82" t="s"/>
      <x:c r="AP186" s="82" t="s"/>
      <x:c r="AQ186" s="82" t="s"/>
      <x:c r="AR186" s="82" t="s"/>
      <x:c r="AS186" s="82" t="s"/>
      <x:c r="AT186" s="82" t="s"/>
      <x:c r="AU186" s="82" t="s"/>
      <x:c r="AV186" s="82" t="s"/>
      <x:c r="AW186" s="82" t="s"/>
      <x:c r="AX186" s="82" t="s"/>
      <x:c r="AY186" s="82" t="s"/>
      <x:c r="AZ186" s="82" t="s"/>
      <x:c r="BA186" s="82" t="s"/>
      <x:c r="BB186" s="82" t="s"/>
      <x:c r="BC186" s="82" t="s"/>
      <x:c r="BD186" s="82" t="s"/>
      <x:c r="BE186" s="82" t="s"/>
      <x:c r="BF186" s="82" t="s"/>
      <x:c r="BG186" s="82" t="s"/>
      <x:c r="BH186" s="82" t="s"/>
      <x:c r="BI186" s="82" t="s"/>
      <x:c r="BJ186" s="82" t="s"/>
      <x:c r="BK186" s="82" t="s"/>
      <x:c r="BL186" s="82" t="s"/>
      <x:c r="BM186" s="82" t="s"/>
      <x:c r="BN186" s="82" t="s"/>
      <x:c r="BO186" s="82" t="s"/>
      <x:c r="BP186" s="82" t="s"/>
      <x:c r="BQ186" s="82" t="s"/>
      <x:c r="BR186" s="82" t="s"/>
    </x:row>
    <x:row r="187" spans="1:70" x14ac:dyDescent="0.25">
      <x:c r="A187" s="82" t="s">
        <x:v>106</x:v>
      </x:c>
      <x:c r="B187" s="82" t="s">
        <x:v>107</x:v>
      </x:c>
      <x:c r="C187" s="82" t="s">
        <x:v>18</x:v>
      </x:c>
      <x:c r="D187" s="85">
        <x:v>42107</x:v>
      </x:c>
      <x:c r="E187" s="82" t="n">
        <x:v>29744</x:v>
      </x:c>
      <x:c r="F187" s="102" t="n">
        <x:v>0.0599947018745917</x:v>
      </x:c>
      <x:c r="G187" s="102" t="n">
        <x:v>0.0510933229858356</x:v>
      </x:c>
      <x:c r="H187" s="82" t="s"/>
      <x:c r="I187" s="82" t="s"/>
      <x:c r="J187" s="82" t="s"/>
      <x:c r="K187" s="82" t="s"/>
      <x:c r="L187" s="82" t="s"/>
      <x:c r="M187" s="82" t="s"/>
      <x:c r="N187" s="82" t="s"/>
      <x:c r="O187" s="82" t="s"/>
      <x:c r="P187" s="82" t="s"/>
      <x:c r="Q187" s="82" t="s"/>
      <x:c r="R187" s="82" t="s"/>
      <x:c r="S187" s="82" t="s"/>
      <x:c r="T187" s="82" t="s"/>
      <x:c r="U187" s="82" t="s"/>
      <x:c r="V187" s="82" t="s"/>
      <x:c r="W187" s="82" t="s"/>
      <x:c r="X187" s="82" t="s"/>
      <x:c r="Y187" s="82" t="s"/>
      <x:c r="Z187" s="82" t="s"/>
      <x:c r="AA187" s="82" t="s"/>
      <x:c r="AB187" s="82" t="s"/>
      <x:c r="AC187" s="82" t="s"/>
      <x:c r="AD187" s="82" t="s"/>
      <x:c r="AE187" s="82" t="s"/>
      <x:c r="AF187" s="82" t="s"/>
      <x:c r="AG187" s="82" t="s"/>
      <x:c r="AH187" s="82" t="s"/>
      <x:c r="AI187" s="82" t="s"/>
      <x:c r="AJ187" s="82" t="s"/>
      <x:c r="AK187" s="82" t="s"/>
      <x:c r="AL187" s="82" t="s"/>
      <x:c r="AM187" s="82" t="s"/>
      <x:c r="AN187" s="82" t="s"/>
      <x:c r="AO187" s="82" t="s"/>
      <x:c r="AP187" s="82" t="s"/>
      <x:c r="AQ187" s="82" t="s"/>
      <x:c r="AR187" s="82" t="s"/>
      <x:c r="AS187" s="82" t="s"/>
      <x:c r="AT187" s="82" t="s"/>
      <x:c r="AU187" s="82" t="s"/>
      <x:c r="AV187" s="82" t="s"/>
      <x:c r="AW187" s="82" t="s"/>
      <x:c r="AX187" s="82" t="s"/>
      <x:c r="AY187" s="82" t="s"/>
      <x:c r="AZ187" s="82" t="s"/>
      <x:c r="BA187" s="82" t="s"/>
      <x:c r="BB187" s="82" t="s"/>
      <x:c r="BC187" s="82" t="s"/>
      <x:c r="BD187" s="82" t="s"/>
      <x:c r="BE187" s="82" t="s"/>
      <x:c r="BF187" s="82" t="s"/>
      <x:c r="BG187" s="82" t="s"/>
      <x:c r="BH187" s="82" t="s"/>
      <x:c r="BI187" s="82" t="s"/>
      <x:c r="BJ187" s="82" t="s"/>
      <x:c r="BK187" s="82" t="s"/>
      <x:c r="BL187" s="82" t="s"/>
      <x:c r="BM187" s="82" t="s"/>
      <x:c r="BN187" s="82" t="s"/>
      <x:c r="BO187" s="82" t="s"/>
      <x:c r="BP187" s="82" t="s"/>
      <x:c r="BQ187" s="82" t="s"/>
      <x:c r="BR187" s="82" t="s"/>
    </x:row>
    <x:row r="188" spans="1:70" x14ac:dyDescent="0.25">
      <x:c r="A188" s="82" t="s">
        <x:v>106</x:v>
      </x:c>
      <x:c r="B188" s="82" t="s">
        <x:v>107</x:v>
      </x:c>
      <x:c r="C188" s="82" t="s">
        <x:v>19</x:v>
      </x:c>
      <x:c r="D188" s="85">
        <x:v>42107</x:v>
      </x:c>
      <x:c r="E188" s="82" t="n">
        <x:v>29744</x:v>
      </x:c>
      <x:c r="F188" s="102" t="n">
        <x:v>129.460378666912</x:v>
      </x:c>
      <x:c r="G188" s="102" t="n">
        <x:v>87.3996882126276</x:v>
      </x:c>
      <x:c r="H188" s="82" t="s"/>
      <x:c r="I188" s="82" t="s"/>
      <x:c r="J188" s="82" t="s"/>
      <x:c r="K188" s="82" t="s"/>
      <x:c r="L188" s="82" t="s"/>
      <x:c r="M188" s="82" t="s"/>
      <x:c r="N188" s="82" t="s"/>
      <x:c r="O188" s="82" t="s"/>
      <x:c r="P188" s="82" t="s"/>
      <x:c r="Q188" s="82" t="s"/>
      <x:c r="R188" s="82" t="s"/>
      <x:c r="S188" s="82" t="s"/>
      <x:c r="T188" s="82" t="s"/>
      <x:c r="U188" s="82" t="s"/>
      <x:c r="V188" s="82" t="s"/>
      <x:c r="W188" s="82" t="s"/>
      <x:c r="X188" s="82" t="s"/>
      <x:c r="Y188" s="82" t="s"/>
      <x:c r="Z188" s="82" t="s"/>
      <x:c r="AA188" s="82" t="s"/>
      <x:c r="AB188" s="82" t="s"/>
      <x:c r="AC188" s="82" t="s"/>
      <x:c r="AD188" s="82" t="s"/>
      <x:c r="AE188" s="82" t="s"/>
      <x:c r="AF188" s="82" t="s"/>
      <x:c r="AG188" s="82" t="s"/>
      <x:c r="AH188" s="82" t="s"/>
      <x:c r="AI188" s="82" t="s"/>
      <x:c r="AJ188" s="82" t="s"/>
      <x:c r="AK188" s="82" t="s"/>
      <x:c r="AL188" s="82" t="s"/>
      <x:c r="AM188" s="82" t="s"/>
      <x:c r="AN188" s="82" t="s"/>
      <x:c r="AO188" s="82" t="s"/>
      <x:c r="AP188" s="82" t="s"/>
      <x:c r="AQ188" s="82" t="s"/>
      <x:c r="AR188" s="82" t="s"/>
      <x:c r="AS188" s="82" t="s"/>
      <x:c r="AT188" s="82" t="s"/>
      <x:c r="AU188" s="82" t="s"/>
      <x:c r="AV188" s="82" t="s"/>
      <x:c r="AW188" s="82" t="s"/>
      <x:c r="AX188" s="82" t="s"/>
      <x:c r="AY188" s="82" t="s"/>
      <x:c r="AZ188" s="82" t="s"/>
      <x:c r="BA188" s="82" t="s"/>
      <x:c r="BB188" s="82" t="s"/>
      <x:c r="BC188" s="82" t="s"/>
      <x:c r="BD188" s="82" t="s"/>
      <x:c r="BE188" s="82" t="s"/>
      <x:c r="BF188" s="82" t="s"/>
      <x:c r="BG188" s="82" t="s"/>
      <x:c r="BH188" s="82" t="s"/>
      <x:c r="BI188" s="82" t="s"/>
      <x:c r="BJ188" s="82" t="s"/>
      <x:c r="BK188" s="82" t="s"/>
      <x:c r="BL188" s="82" t="s"/>
      <x:c r="BM188" s="82" t="s"/>
      <x:c r="BN188" s="82" t="s"/>
      <x:c r="BO188" s="82" t="s"/>
      <x:c r="BP188" s="82" t="s"/>
      <x:c r="BQ188" s="82" t="s"/>
      <x:c r="BR188" s="82" t="s"/>
    </x:row>
    <x:row r="189" spans="1:70" x14ac:dyDescent="0.25">
      <x:c r="A189" s="82" t="s">
        <x:v>106</x:v>
      </x:c>
      <x:c r="B189" s="82" t="s">
        <x:v>107</x:v>
      </x:c>
      <x:c r="C189" s="82" t="s">
        <x:v>20</x:v>
      </x:c>
      <x:c r="D189" s="85">
        <x:v>42107</x:v>
      </x:c>
      <x:c r="E189" s="82" t="n">
        <x:v>29744</x:v>
      </x:c>
      <x:c r="F189" s="102" t="n">
        <x:v>0.515454545606457</x:v>
      </x:c>
      <x:c r="G189" s="102" t="n">
        <x:v>0.327798871889704</x:v>
      </x:c>
      <x:c r="H189" s="82" t="s"/>
      <x:c r="I189" s="82" t="s"/>
      <x:c r="J189" s="82" t="s"/>
      <x:c r="K189" s="82" t="s"/>
      <x:c r="L189" s="82" t="s"/>
      <x:c r="M189" s="82" t="s"/>
      <x:c r="N189" s="82" t="s"/>
      <x:c r="O189" s="82" t="s"/>
      <x:c r="P189" s="82" t="s"/>
      <x:c r="Q189" s="82" t="s"/>
      <x:c r="R189" s="82" t="s"/>
      <x:c r="S189" s="82" t="s"/>
      <x:c r="T189" s="82" t="s"/>
      <x:c r="U189" s="82" t="s"/>
      <x:c r="V189" s="82" t="s"/>
      <x:c r="W189" s="82" t="s"/>
      <x:c r="X189" s="82" t="s"/>
      <x:c r="Y189" s="82" t="s"/>
      <x:c r="Z189" s="82" t="s"/>
      <x:c r="AA189" s="82" t="s"/>
      <x:c r="AB189" s="82" t="s"/>
      <x:c r="AC189" s="82" t="s"/>
      <x:c r="AD189" s="82" t="s"/>
      <x:c r="AE189" s="82" t="s"/>
      <x:c r="AF189" s="82" t="s"/>
      <x:c r="AG189" s="82" t="s"/>
      <x:c r="AH189" s="82" t="s"/>
      <x:c r="AI189" s="82" t="s"/>
      <x:c r="AJ189" s="82" t="s"/>
      <x:c r="AK189" s="82" t="s"/>
      <x:c r="AL189" s="82" t="s"/>
      <x:c r="AM189" s="82" t="s"/>
      <x:c r="AN189" s="82" t="s"/>
      <x:c r="AO189" s="82" t="s"/>
      <x:c r="AP189" s="82" t="s"/>
      <x:c r="AQ189" s="82" t="s"/>
      <x:c r="AR189" s="82" t="s"/>
      <x:c r="AS189" s="82" t="s"/>
      <x:c r="AT189" s="82" t="s"/>
      <x:c r="AU189" s="82" t="s"/>
      <x:c r="AV189" s="82" t="s"/>
      <x:c r="AW189" s="82" t="s"/>
      <x:c r="AX189" s="82" t="s"/>
      <x:c r="AY189" s="82" t="s"/>
      <x:c r="AZ189" s="82" t="s"/>
      <x:c r="BA189" s="82" t="s"/>
      <x:c r="BB189" s="82" t="s"/>
      <x:c r="BC189" s="82" t="s"/>
      <x:c r="BD189" s="82" t="s"/>
      <x:c r="BE189" s="82" t="s"/>
      <x:c r="BF189" s="82" t="s"/>
      <x:c r="BG189" s="82" t="s"/>
      <x:c r="BH189" s="82" t="s"/>
      <x:c r="BI189" s="82" t="s"/>
      <x:c r="BJ189" s="82" t="s"/>
      <x:c r="BK189" s="82" t="s"/>
      <x:c r="BL189" s="82" t="s"/>
      <x:c r="BM189" s="82" t="s"/>
      <x:c r="BN189" s="82" t="s"/>
      <x:c r="BO189" s="82" t="s"/>
      <x:c r="BP189" s="82" t="s"/>
      <x:c r="BQ189" s="82" t="s"/>
      <x:c r="BR189" s="82" t="s"/>
    </x:row>
    <x:row r="190" spans="1:70" x14ac:dyDescent="0.25">
      <x:c r="A190" s="82" t="s">
        <x:v>106</x:v>
      </x:c>
      <x:c r="B190" s="82" t="s">
        <x:v>107</x:v>
      </x:c>
      <x:c r="C190" s="82" t="s">
        <x:v>21</x:v>
      </x:c>
      <x:c r="D190" s="85">
        <x:v>42107</x:v>
      </x:c>
      <x:c r="E190" s="82" t="n">
        <x:v>29744</x:v>
      </x:c>
      <x:c r="F190" s="102" t="n">
        <x:v>134.644720496894</x:v>
      </x:c>
      <x:c r="G190" s="102" t="n">
        <x:v>88.4658227848102</x:v>
      </x:c>
      <x:c r="H190" s="82" t="s"/>
      <x:c r="I190" s="82" t="s"/>
      <x:c r="J190" s="82" t="s"/>
      <x:c r="K190" s="82" t="s"/>
      <x:c r="L190" s="82" t="s"/>
      <x:c r="M190" s="82" t="s"/>
      <x:c r="N190" s="82" t="s"/>
      <x:c r="O190" s="82" t="s"/>
      <x:c r="P190" s="82" t="s"/>
      <x:c r="Q190" s="82" t="s"/>
      <x:c r="R190" s="82" t="s"/>
      <x:c r="S190" s="82" t="s"/>
      <x:c r="T190" s="82" t="s"/>
      <x:c r="U190" s="82" t="s"/>
      <x:c r="V190" s="82" t="s"/>
      <x:c r="W190" s="82" t="s"/>
      <x:c r="X190" s="82" t="s"/>
      <x:c r="Y190" s="82" t="s"/>
      <x:c r="Z190" s="82" t="s"/>
      <x:c r="AA190" s="82" t="s"/>
      <x:c r="AB190" s="82" t="s"/>
      <x:c r="AC190" s="82" t="s"/>
      <x:c r="AD190" s="82" t="s"/>
      <x:c r="AE190" s="82" t="s"/>
      <x:c r="AF190" s="82" t="s"/>
      <x:c r="AG190" s="82" t="s"/>
      <x:c r="AH190" s="82" t="s"/>
      <x:c r="AI190" s="82" t="s"/>
      <x:c r="AJ190" s="82" t="s"/>
      <x:c r="AK190" s="82" t="s"/>
      <x:c r="AL190" s="82" t="s"/>
      <x:c r="AM190" s="82" t="s"/>
      <x:c r="AN190" s="82" t="s"/>
      <x:c r="AO190" s="82" t="s"/>
      <x:c r="AP190" s="82" t="s"/>
      <x:c r="AQ190" s="82" t="s"/>
      <x:c r="AR190" s="82" t="s"/>
      <x:c r="AS190" s="82" t="s"/>
      <x:c r="AT190" s="82" t="s"/>
      <x:c r="AU190" s="82" t="s"/>
      <x:c r="AV190" s="82" t="s"/>
      <x:c r="AW190" s="82" t="s"/>
      <x:c r="AX190" s="82" t="s"/>
      <x:c r="AY190" s="82" t="s"/>
      <x:c r="AZ190" s="82" t="s"/>
      <x:c r="BA190" s="82" t="s"/>
      <x:c r="BB190" s="82" t="s"/>
      <x:c r="BC190" s="82" t="s"/>
      <x:c r="BD190" s="82" t="s"/>
      <x:c r="BE190" s="82" t="s"/>
      <x:c r="BF190" s="82" t="s"/>
      <x:c r="BG190" s="82" t="s"/>
      <x:c r="BH190" s="82" t="s"/>
      <x:c r="BI190" s="82" t="s"/>
      <x:c r="BJ190" s="82" t="s"/>
      <x:c r="BK190" s="82" t="s"/>
      <x:c r="BL190" s="82" t="s"/>
      <x:c r="BM190" s="82" t="s"/>
      <x:c r="BN190" s="82" t="s"/>
      <x:c r="BO190" s="82" t="s"/>
      <x:c r="BP190" s="82" t="s"/>
      <x:c r="BQ190" s="82" t="s"/>
      <x:c r="BR190" s="82" t="s"/>
    </x:row>
    <x:row r="191" spans="1:70" x14ac:dyDescent="0.25">
      <x:c r="A191" s="82" t="s">
        <x:v>106</x:v>
      </x:c>
      <x:c r="B191" s="82" t="s">
        <x:v>107</x:v>
      </x:c>
      <x:c r="C191" s="82" t="s">
        <x:v>22</x:v>
      </x:c>
      <x:c r="D191" s="85">
        <x:v>42107</x:v>
      </x:c>
      <x:c r="E191" s="82" t="n">
        <x:v>29744</x:v>
      </x:c>
      <x:c r="F191" s="102" t="n">
        <x:v>0.641949875776398</x:v>
      </x:c>
      <x:c r="G191" s="102" t="n">
        <x:v>0.821201202531645</x:v>
      </x:c>
      <x:c r="H191" s="82" t="s"/>
      <x:c r="I191" s="82" t="s"/>
      <x:c r="J191" s="82" t="s"/>
      <x:c r="K191" s="82" t="s"/>
      <x:c r="L191" s="82" t="s"/>
      <x:c r="M191" s="82" t="s"/>
      <x:c r="N191" s="82" t="s"/>
      <x:c r="O191" s="82" t="s"/>
      <x:c r="P191" s="82" t="s"/>
      <x:c r="Q191" s="82" t="s"/>
      <x:c r="R191" s="82" t="s"/>
      <x:c r="S191" s="82" t="s"/>
      <x:c r="T191" s="82" t="s"/>
      <x:c r="U191" s="82" t="s"/>
      <x:c r="V191" s="82" t="s"/>
      <x:c r="W191" s="82" t="s"/>
      <x:c r="X191" s="82" t="s"/>
      <x:c r="Y191" s="82" t="s"/>
      <x:c r="Z191" s="82" t="s"/>
      <x:c r="AA191" s="82" t="s"/>
      <x:c r="AB191" s="82" t="s"/>
      <x:c r="AC191" s="82" t="s"/>
      <x:c r="AD191" s="82" t="s"/>
      <x:c r="AE191" s="82" t="s"/>
      <x:c r="AF191" s="82" t="s"/>
      <x:c r="AG191" s="82" t="s"/>
      <x:c r="AH191" s="82" t="s"/>
      <x:c r="AI191" s="82" t="s"/>
      <x:c r="AJ191" s="82" t="s"/>
      <x:c r="AK191" s="82" t="s"/>
      <x:c r="AL191" s="82" t="s"/>
      <x:c r="AM191" s="82" t="s"/>
      <x:c r="AN191" s="82" t="s"/>
      <x:c r="AO191" s="82" t="s"/>
      <x:c r="AP191" s="82" t="s"/>
      <x:c r="AQ191" s="82" t="s"/>
      <x:c r="AR191" s="82" t="s"/>
      <x:c r="AS191" s="82" t="s"/>
      <x:c r="AT191" s="82" t="s"/>
      <x:c r="AU191" s="82" t="s"/>
      <x:c r="AV191" s="82" t="s"/>
      <x:c r="AW191" s="82" t="s"/>
      <x:c r="AX191" s="82" t="s"/>
      <x:c r="AY191" s="82" t="s"/>
      <x:c r="AZ191" s="82" t="s"/>
      <x:c r="BA191" s="82" t="s"/>
      <x:c r="BB191" s="82" t="s"/>
      <x:c r="BC191" s="82" t="s"/>
      <x:c r="BD191" s="82" t="s"/>
      <x:c r="BE191" s="82" t="s"/>
      <x:c r="BF191" s="82" t="s"/>
      <x:c r="BG191" s="82" t="s"/>
      <x:c r="BH191" s="82" t="s"/>
      <x:c r="BI191" s="82" t="s"/>
      <x:c r="BJ191" s="82" t="s"/>
      <x:c r="BK191" s="82" t="s"/>
      <x:c r="BL191" s="82" t="s"/>
      <x:c r="BM191" s="82" t="s"/>
      <x:c r="BN191" s="82" t="s"/>
      <x:c r="BO191" s="82" t="s"/>
      <x:c r="BP191" s="82" t="s"/>
      <x:c r="BQ191" s="82" t="s"/>
      <x:c r="BR191" s="82" t="s"/>
    </x:row>
    <x:row r="192" spans="1:70" x14ac:dyDescent="0.25">
      <x:c r="A192" s="82" t="s">
        <x:v>106</x:v>
      </x:c>
      <x:c r="B192" s="82" t="s">
        <x:v>107</x:v>
      </x:c>
      <x:c r="C192" s="82" t="s">
        <x:v>23</x:v>
      </x:c>
      <x:c r="D192" s="85">
        <x:v>42107</x:v>
      </x:c>
      <x:c r="E192" s="82" t="n">
        <x:v>29744</x:v>
      </x:c>
      <x:c r="F192" s="102" t="n">
        <x:v>820.8</x:v>
      </x:c>
      <x:c r="G192" s="102" t="n">
        <x:v>762.66</x:v>
      </x:c>
      <x:c r="H192" s="82" t="s"/>
      <x:c r="I192" s="82" t="s"/>
      <x:c r="J192" s="82" t="s"/>
      <x:c r="K192" s="82" t="s"/>
      <x:c r="L192" s="82" t="s"/>
      <x:c r="M192" s="82" t="s"/>
      <x:c r="N192" s="82" t="s"/>
      <x:c r="O192" s="82" t="s"/>
      <x:c r="P192" s="82" t="s"/>
      <x:c r="Q192" s="82" t="s"/>
      <x:c r="R192" s="82" t="s"/>
      <x:c r="S192" s="82" t="s"/>
      <x:c r="T192" s="82" t="s"/>
      <x:c r="U192" s="82" t="s"/>
      <x:c r="V192" s="82" t="s"/>
      <x:c r="W192" s="82" t="s"/>
      <x:c r="X192" s="82" t="s"/>
      <x:c r="Y192" s="82" t="s"/>
      <x:c r="Z192" s="82" t="s"/>
      <x:c r="AA192" s="82" t="s"/>
      <x:c r="AB192" s="82" t="s"/>
      <x:c r="AC192" s="82" t="s"/>
      <x:c r="AD192" s="82" t="s"/>
      <x:c r="AE192" s="82" t="s"/>
      <x:c r="AF192" s="82" t="s"/>
      <x:c r="AG192" s="82" t="s"/>
      <x:c r="AH192" s="82" t="s"/>
      <x:c r="AI192" s="82" t="s"/>
      <x:c r="AJ192" s="82" t="s"/>
      <x:c r="AK192" s="82" t="s"/>
      <x:c r="AL192" s="82" t="s"/>
      <x:c r="AM192" s="82" t="s"/>
      <x:c r="AN192" s="82" t="s"/>
      <x:c r="AO192" s="82" t="s"/>
      <x:c r="AP192" s="82" t="s"/>
      <x:c r="AQ192" s="82" t="s"/>
      <x:c r="AR192" s="82" t="s"/>
      <x:c r="AS192" s="82" t="s"/>
      <x:c r="AT192" s="82" t="s"/>
      <x:c r="AU192" s="82" t="s"/>
      <x:c r="AV192" s="82" t="s"/>
      <x:c r="AW192" s="82" t="s"/>
      <x:c r="AX192" s="82" t="s"/>
      <x:c r="AY192" s="82" t="s"/>
      <x:c r="AZ192" s="82" t="s"/>
      <x:c r="BA192" s="82" t="s"/>
      <x:c r="BB192" s="82" t="s"/>
      <x:c r="BC192" s="82" t="s"/>
      <x:c r="BD192" s="82" t="s"/>
      <x:c r="BE192" s="82" t="s"/>
      <x:c r="BF192" s="82" t="s"/>
      <x:c r="BG192" s="82" t="s"/>
      <x:c r="BH192" s="82" t="s"/>
      <x:c r="BI192" s="82" t="s"/>
      <x:c r="BJ192" s="82" t="s"/>
      <x:c r="BK192" s="82" t="s"/>
      <x:c r="BL192" s="82" t="s"/>
      <x:c r="BM192" s="82" t="s"/>
      <x:c r="BN192" s="82" t="s"/>
      <x:c r="BO192" s="82" t="s"/>
      <x:c r="BP192" s="82" t="s"/>
      <x:c r="BQ192" s="82" t="s"/>
      <x:c r="BR192" s="82" t="s"/>
    </x:row>
    <x:row r="193" spans="1:70" x14ac:dyDescent="0.25">
      <x:c r="A193" s="82" t="s">
        <x:v>106</x:v>
      </x:c>
      <x:c r="B193" s="82" t="s">
        <x:v>107</x:v>
      </x:c>
      <x:c r="C193" s="82" t="s">
        <x:v>24</x:v>
      </x:c>
      <x:c r="D193" s="85">
        <x:v>42107</x:v>
      </x:c>
      <x:c r="E193" s="82" t="n">
        <x:v>29744</x:v>
      </x:c>
      <x:c r="F193" s="102" t="n">
        <x:v>100.454</x:v>
      </x:c>
      <x:c r="G193" s="102" t="n">
        <x:v>107.52</x:v>
      </x:c>
      <x:c r="H193" s="82" t="s"/>
      <x:c r="I193" s="82" t="s"/>
      <x:c r="J193" s="82" t="s"/>
      <x:c r="K193" s="82" t="s"/>
      <x:c r="L193" s="82" t="s"/>
      <x:c r="M193" s="82" t="s"/>
      <x:c r="N193" s="82" t="s"/>
      <x:c r="O193" s="82" t="s"/>
      <x:c r="P193" s="82" t="s"/>
      <x:c r="Q193" s="82" t="s"/>
      <x:c r="R193" s="82" t="s"/>
      <x:c r="S193" s="82" t="s"/>
      <x:c r="T193" s="82" t="s"/>
      <x:c r="U193" s="82" t="s"/>
      <x:c r="V193" s="82" t="s"/>
      <x:c r="W193" s="82" t="s"/>
      <x:c r="X193" s="82" t="s"/>
      <x:c r="Y193" s="82" t="s"/>
      <x:c r="Z193" s="82" t="s"/>
      <x:c r="AA193" s="82" t="s"/>
      <x:c r="AB193" s="82" t="s"/>
      <x:c r="AC193" s="82" t="s"/>
      <x:c r="AD193" s="82" t="s"/>
      <x:c r="AE193" s="82" t="s"/>
      <x:c r="AF193" s="82" t="s"/>
      <x:c r="AG193" s="82" t="s"/>
      <x:c r="AH193" s="82" t="s"/>
      <x:c r="AI193" s="82" t="s"/>
      <x:c r="AJ193" s="82" t="s"/>
      <x:c r="AK193" s="82" t="s"/>
      <x:c r="AL193" s="82" t="s"/>
      <x:c r="AM193" s="82" t="s"/>
      <x:c r="AN193" s="82" t="s"/>
      <x:c r="AO193" s="82" t="s"/>
      <x:c r="AP193" s="82" t="s"/>
      <x:c r="AQ193" s="82" t="s"/>
      <x:c r="AR193" s="82" t="s"/>
      <x:c r="AS193" s="82" t="s"/>
      <x:c r="AT193" s="82" t="s"/>
      <x:c r="AU193" s="82" t="s"/>
      <x:c r="AV193" s="82" t="s"/>
      <x:c r="AW193" s="82" t="s"/>
      <x:c r="AX193" s="82" t="s"/>
      <x:c r="AY193" s="82" t="s"/>
      <x:c r="AZ193" s="82" t="s"/>
      <x:c r="BA193" s="82" t="s"/>
      <x:c r="BB193" s="82" t="s"/>
      <x:c r="BC193" s="82" t="s"/>
      <x:c r="BD193" s="82" t="s"/>
      <x:c r="BE193" s="82" t="s"/>
      <x:c r="BF193" s="82" t="s"/>
      <x:c r="BG193" s="82" t="s"/>
      <x:c r="BH193" s="82" t="s"/>
      <x:c r="BI193" s="82" t="s"/>
      <x:c r="BJ193" s="82" t="s"/>
      <x:c r="BK193" s="82" t="s"/>
      <x:c r="BL193" s="82" t="s"/>
      <x:c r="BM193" s="82" t="s"/>
      <x:c r="BN193" s="82" t="s"/>
      <x:c r="BO193" s="82" t="s"/>
      <x:c r="BP193" s="82" t="s"/>
      <x:c r="BQ193" s="82" t="s"/>
      <x:c r="BR193" s="82" t="s"/>
    </x:row>
    <x:row r="194" spans="1:70" x14ac:dyDescent="0.25">
      <x:c r="A194" s="82" t="s">
        <x:v>106</x:v>
      </x:c>
      <x:c r="B194" s="82" t="s">
        <x:v>107</x:v>
      </x:c>
      <x:c r="C194" s="82" t="s">
        <x:v>117</x:v>
      </x:c>
      <x:c r="D194" s="85">
        <x:v>42107</x:v>
      </x:c>
      <x:c r="E194" s="82" t="n">
        <x:v>29744</x:v>
      </x:c>
      <x:c r="F194" s="82" t="n">
        <x:v>1</x:v>
      </x:c>
      <x:c r="G194" s="82" t="n">
        <x:v>1</x:v>
      </x:c>
      <x:c r="H194" s="82" t="s"/>
      <x:c r="I194" s="82" t="s"/>
      <x:c r="J194" s="82" t="s"/>
      <x:c r="K194" s="82" t="s"/>
      <x:c r="L194" s="82" t="s"/>
      <x:c r="M194" s="82" t="s"/>
      <x:c r="N194" s="82" t="s"/>
      <x:c r="O194" s="82" t="s"/>
      <x:c r="P194" s="82" t="s"/>
      <x:c r="Q194" s="82" t="s"/>
      <x:c r="R194" s="82" t="s"/>
      <x:c r="S194" s="82" t="s"/>
      <x:c r="T194" s="82" t="s"/>
      <x:c r="U194" s="82" t="s"/>
      <x:c r="V194" s="82" t="s"/>
      <x:c r="W194" s="82" t="s"/>
      <x:c r="X194" s="82" t="s"/>
      <x:c r="Y194" s="82" t="s"/>
      <x:c r="Z194" s="82" t="s"/>
      <x:c r="AA194" s="82" t="s"/>
      <x:c r="AB194" s="82" t="s"/>
      <x:c r="AC194" s="82" t="s"/>
      <x:c r="AD194" s="82" t="s"/>
      <x:c r="AE194" s="82" t="s"/>
      <x:c r="AF194" s="82" t="s"/>
      <x:c r="AG194" s="82" t="s"/>
      <x:c r="AH194" s="82" t="s"/>
      <x:c r="AI194" s="82" t="s"/>
      <x:c r="AJ194" s="82" t="s"/>
      <x:c r="AK194" s="82" t="s"/>
      <x:c r="AL194" s="82" t="s"/>
      <x:c r="AM194" s="82" t="s"/>
      <x:c r="AN194" s="82" t="s"/>
      <x:c r="AO194" s="82" t="s"/>
      <x:c r="AP194" s="82" t="s"/>
      <x:c r="AQ194" s="82" t="s"/>
      <x:c r="AR194" s="82" t="s"/>
      <x:c r="AS194" s="82" t="s"/>
      <x:c r="AT194" s="82" t="s"/>
      <x:c r="AU194" s="82" t="s"/>
      <x:c r="AV194" s="82" t="s"/>
      <x:c r="AW194" s="82" t="s"/>
      <x:c r="AX194" s="82" t="s"/>
      <x:c r="AY194" s="82" t="s"/>
      <x:c r="AZ194" s="82" t="s"/>
      <x:c r="BA194" s="82" t="s"/>
      <x:c r="BB194" s="82" t="s"/>
      <x:c r="BC194" s="82" t="s"/>
      <x:c r="BD194" s="82" t="s"/>
      <x:c r="BE194" s="82" t="s"/>
      <x:c r="BF194" s="82" t="s"/>
      <x:c r="BG194" s="82" t="s"/>
      <x:c r="BH194" s="82" t="s"/>
      <x:c r="BI194" s="82" t="s"/>
      <x:c r="BJ194" s="82" t="s"/>
      <x:c r="BK194" s="82" t="s"/>
      <x:c r="BL194" s="82" t="s"/>
      <x:c r="BM194" s="82" t="s"/>
      <x:c r="BN194" s="82" t="s"/>
      <x:c r="BO194" s="82" t="s"/>
      <x:c r="BP194" s="82" t="s"/>
      <x:c r="BQ194" s="82" t="s"/>
      <x:c r="BR194" s="82" t="s"/>
    </x:row>
    <x:row r="195" spans="1:70" x14ac:dyDescent="0.25">
      <x:c r="A195" s="82" t="s">
        <x:v>106</x:v>
      </x:c>
      <x:c r="B195" s="82" t="s">
        <x:v>107</x:v>
      </x:c>
      <x:c r="C195" s="82" t="s">
        <x:v>118</x:v>
      </x:c>
      <x:c r="D195" s="85">
        <x:v>42107</x:v>
      </x:c>
      <x:c r="E195" s="82" t="n">
        <x:v>29744</x:v>
      </x:c>
      <x:c r="F195" s="90" t="n">
        <x:v>114.2</x:v>
      </x:c>
      <x:c r="G195" s="90" t="n">
        <x:v>109.1</x:v>
      </x:c>
      <x:c r="H195" s="82" t="s"/>
      <x:c r="I195" s="82" t="s"/>
      <x:c r="J195" s="82" t="s"/>
      <x:c r="K195" s="82" t="s"/>
      <x:c r="L195" s="82" t="s"/>
      <x:c r="M195" s="82" t="s"/>
      <x:c r="N195" s="82" t="s"/>
      <x:c r="O195" s="82" t="s"/>
      <x:c r="P195" s="82" t="s"/>
      <x:c r="Q195" s="82" t="s"/>
      <x:c r="R195" s="82" t="s"/>
      <x:c r="S195" s="82" t="s"/>
      <x:c r="T195" s="82" t="s"/>
      <x:c r="U195" s="82" t="s"/>
      <x:c r="V195" s="82" t="s"/>
      <x:c r="W195" s="82" t="s"/>
      <x:c r="X195" s="82" t="s"/>
      <x:c r="Y195" s="82" t="s"/>
      <x:c r="Z195" s="82" t="s"/>
      <x:c r="AA195" s="82" t="s"/>
      <x:c r="AB195" s="82" t="s"/>
      <x:c r="AC195" s="82" t="s"/>
      <x:c r="AD195" s="82" t="s"/>
      <x:c r="AE195" s="82" t="s"/>
      <x:c r="AF195" s="82" t="s"/>
      <x:c r="AG195" s="82" t="s"/>
      <x:c r="AH195" s="82" t="s"/>
      <x:c r="AI195" s="82" t="s"/>
      <x:c r="AJ195" s="82" t="s"/>
      <x:c r="AK195" s="82" t="s"/>
      <x:c r="AL195" s="82" t="s"/>
      <x:c r="AM195" s="82" t="s"/>
      <x:c r="AN195" s="82" t="s"/>
      <x:c r="AO195" s="82" t="s"/>
      <x:c r="AP195" s="82" t="s"/>
      <x:c r="AQ195" s="82" t="s"/>
      <x:c r="AR195" s="82" t="s"/>
      <x:c r="AS195" s="82" t="s"/>
      <x:c r="AT195" s="82" t="s"/>
      <x:c r="AU195" s="82" t="s"/>
      <x:c r="AV195" s="82" t="s"/>
      <x:c r="AW195" s="82" t="s"/>
      <x:c r="AX195" s="82" t="s"/>
      <x:c r="AY195" s="82" t="s"/>
      <x:c r="AZ195" s="82" t="s"/>
      <x:c r="BA195" s="82" t="s"/>
      <x:c r="BB195" s="82" t="s"/>
      <x:c r="BC195" s="82" t="s"/>
      <x:c r="BD195" s="82" t="s"/>
      <x:c r="BE195" s="82" t="s"/>
      <x:c r="BF195" s="82" t="s"/>
      <x:c r="BG195" s="82" t="s"/>
      <x:c r="BH195" s="82" t="s"/>
      <x:c r="BI195" s="82" t="s"/>
      <x:c r="BJ195" s="82" t="s"/>
      <x:c r="BK195" s="82" t="s"/>
      <x:c r="BL195" s="82" t="s"/>
      <x:c r="BM195" s="82" t="s"/>
      <x:c r="BN195" s="82" t="s"/>
      <x:c r="BO195" s="82" t="s"/>
      <x:c r="BP195" s="82" t="s"/>
      <x:c r="BQ195" s="82" t="s"/>
      <x:c r="BR195" s="82" t="s"/>
    </x:row>
    <x:row r="196" spans="1:70" x14ac:dyDescent="0.25">
      <x:c r="A196" s="82" t="s">
        <x:v>106</x:v>
      </x:c>
      <x:c r="B196" s="82" t="s">
        <x:v>107</x:v>
      </x:c>
      <x:c r="C196" s="82" t="s">
        <x:v>119</x:v>
      </x:c>
      <x:c r="D196" s="85">
        <x:v>42107</x:v>
      </x:c>
      <x:c r="E196" s="82" t="n">
        <x:v>29744</x:v>
      </x:c>
      <x:c r="F196" s="90" t="n">
        <x:v>112.6</x:v>
      </x:c>
      <x:c r="G196" s="90" t="n">
        <x:v>108.7</x:v>
      </x:c>
      <x:c r="H196" s="82" t="s"/>
      <x:c r="I196" s="82" t="s"/>
      <x:c r="J196" s="82" t="s"/>
      <x:c r="K196" s="82" t="s"/>
      <x:c r="L196" s="82" t="s"/>
      <x:c r="M196" s="82" t="s"/>
      <x:c r="N196" s="82" t="s"/>
      <x:c r="O196" s="82" t="s"/>
      <x:c r="P196" s="82" t="s"/>
      <x:c r="Q196" s="82" t="s"/>
      <x:c r="R196" s="82" t="s"/>
      <x:c r="S196" s="82" t="s"/>
      <x:c r="T196" s="82" t="s"/>
      <x:c r="U196" s="82" t="s"/>
      <x:c r="V196" s="82" t="s"/>
      <x:c r="W196" s="82" t="s"/>
      <x:c r="X196" s="82" t="s"/>
      <x:c r="Y196" s="82" t="s"/>
      <x:c r="Z196" s="82" t="s"/>
      <x:c r="AA196" s="82" t="s"/>
      <x:c r="AB196" s="82" t="s"/>
      <x:c r="AC196" s="82" t="s"/>
      <x:c r="AD196" s="82" t="s"/>
      <x:c r="AE196" s="82" t="s"/>
      <x:c r="AF196" s="82" t="s"/>
      <x:c r="AG196" s="82" t="s"/>
      <x:c r="AH196" s="82" t="s"/>
      <x:c r="AI196" s="82" t="s"/>
      <x:c r="AJ196" s="82" t="s"/>
      <x:c r="AK196" s="82" t="s"/>
      <x:c r="AL196" s="82" t="s"/>
      <x:c r="AM196" s="82" t="s"/>
      <x:c r="AN196" s="82" t="s"/>
      <x:c r="AO196" s="82" t="s"/>
      <x:c r="AP196" s="82" t="s"/>
      <x:c r="AQ196" s="82" t="s"/>
      <x:c r="AR196" s="82" t="s"/>
      <x:c r="AS196" s="82" t="s"/>
      <x:c r="AT196" s="82" t="s"/>
      <x:c r="AU196" s="82" t="s"/>
      <x:c r="AV196" s="82" t="s"/>
      <x:c r="AW196" s="82" t="s"/>
      <x:c r="AX196" s="82" t="s"/>
      <x:c r="AY196" s="82" t="s"/>
      <x:c r="AZ196" s="82" t="s"/>
      <x:c r="BA196" s="82" t="s"/>
      <x:c r="BB196" s="82" t="s"/>
      <x:c r="BC196" s="82" t="s"/>
      <x:c r="BD196" s="82" t="s"/>
      <x:c r="BE196" s="82" t="s"/>
      <x:c r="BF196" s="82" t="s"/>
      <x:c r="BG196" s="82" t="s"/>
      <x:c r="BH196" s="82" t="s"/>
      <x:c r="BI196" s="82" t="s"/>
      <x:c r="BJ196" s="82" t="s"/>
      <x:c r="BK196" s="82" t="s"/>
      <x:c r="BL196" s="82" t="s"/>
      <x:c r="BM196" s="82" t="s"/>
      <x:c r="BN196" s="82" t="s"/>
      <x:c r="BO196" s="82" t="s"/>
      <x:c r="BP196" s="82" t="s"/>
      <x:c r="BQ196" s="82" t="s"/>
      <x:c r="BR196" s="82" t="s"/>
    </x:row>
    <x:row r="197" spans="1:70" x14ac:dyDescent="0.25">
      <x:c r="A197" s="82" t="s">
        <x:v>106</x:v>
      </x:c>
      <x:c r="B197" s="82" t="s">
        <x:v>107</x:v>
      </x:c>
      <x:c r="C197" s="82" t="s">
        <x:v>120</x:v>
      </x:c>
      <x:c r="D197" s="85">
        <x:v>42107</x:v>
      </x:c>
      <x:c r="E197" s="82" t="n">
        <x:v>29744</x:v>
      </x:c>
      <x:c r="F197" s="90" t="n">
        <x:v>-1.60000000000001</x:v>
      </x:c>
      <x:c r="G197" s="90" t="n">
        <x:v>-0.399999999999991</x:v>
      </x:c>
      <x:c r="H197" s="82" t="s"/>
      <x:c r="I197" s="82" t="s"/>
      <x:c r="J197" s="82" t="s"/>
      <x:c r="K197" s="82" t="s"/>
      <x:c r="L197" s="82" t="s"/>
      <x:c r="M197" s="82" t="s"/>
      <x:c r="N197" s="82" t="s"/>
      <x:c r="O197" s="82" t="s"/>
      <x:c r="P197" s="82" t="s"/>
      <x:c r="Q197" s="82" t="s"/>
      <x:c r="R197" s="82" t="s"/>
      <x:c r="S197" s="82" t="s"/>
      <x:c r="T197" s="82" t="s"/>
      <x:c r="U197" s="82" t="s"/>
      <x:c r="V197" s="82" t="s"/>
      <x:c r="W197" s="82" t="s"/>
      <x:c r="X197" s="82" t="s"/>
      <x:c r="Y197" s="82" t="s"/>
      <x:c r="Z197" s="82" t="s"/>
      <x:c r="AA197" s="82" t="s"/>
      <x:c r="AB197" s="82" t="s"/>
      <x:c r="AC197" s="82" t="s"/>
      <x:c r="AD197" s="82" t="s"/>
      <x:c r="AE197" s="82" t="s"/>
      <x:c r="AF197" s="82" t="s"/>
      <x:c r="AG197" s="82" t="s"/>
      <x:c r="AH197" s="82" t="s"/>
      <x:c r="AI197" s="82" t="s"/>
      <x:c r="AJ197" s="82" t="s"/>
      <x:c r="AK197" s="82" t="s"/>
      <x:c r="AL197" s="82" t="s"/>
      <x:c r="AM197" s="82" t="s"/>
      <x:c r="AN197" s="82" t="s"/>
      <x:c r="AO197" s="82" t="s"/>
      <x:c r="AP197" s="82" t="s"/>
      <x:c r="AQ197" s="82" t="s"/>
      <x:c r="AR197" s="82" t="s"/>
      <x:c r="AS197" s="82" t="s"/>
      <x:c r="AT197" s="82" t="s"/>
      <x:c r="AU197" s="82" t="s"/>
      <x:c r="AV197" s="82" t="s"/>
      <x:c r="AW197" s="82" t="s"/>
      <x:c r="AX197" s="82" t="s"/>
      <x:c r="AY197" s="82" t="s"/>
      <x:c r="AZ197" s="82" t="s"/>
      <x:c r="BA197" s="82" t="s"/>
      <x:c r="BB197" s="82" t="s"/>
      <x:c r="BC197" s="82" t="s"/>
      <x:c r="BD197" s="82" t="s"/>
      <x:c r="BE197" s="82" t="s"/>
      <x:c r="BF197" s="82" t="s"/>
      <x:c r="BG197" s="82" t="s"/>
      <x:c r="BH197" s="82" t="s"/>
      <x:c r="BI197" s="82" t="s"/>
      <x:c r="BJ197" s="82" t="s"/>
      <x:c r="BK197" s="82" t="s"/>
      <x:c r="BL197" s="82" t="s"/>
      <x:c r="BM197" s="82" t="s"/>
      <x:c r="BN197" s="82" t="s"/>
      <x:c r="BO197" s="82" t="s"/>
      <x:c r="BP197" s="82" t="s"/>
      <x:c r="BQ197" s="82" t="s"/>
      <x:c r="BR197" s="82" t="s"/>
    </x:row>
    <x:row r="198" spans="1:70" customFormat="1" ht="15.75" customHeight="1" thickBot="1" x14ac:dyDescent="0.3">
      <x:c r="A198" s="106" t="s">
        <x:v>106</x:v>
      </x:c>
      <x:c r="B198" s="106" t="s">
        <x:v>107</x:v>
      </x:c>
      <x:c r="C198" s="106" t="s">
        <x:v>121</x:v>
      </x:c>
      <x:c r="D198" s="105">
        <x:v>42107</x:v>
      </x:c>
      <x:c r="E198" s="106" t="n">
        <x:v>29744</x:v>
      </x:c>
      <x:c r="F198" s="126" t="n">
        <x:v>115.2</x:v>
      </x:c>
      <x:c r="G198" s="126" t="n">
        <x:v>109.9</x:v>
      </x:c>
      <x:c r="H198" s="106" t="s"/>
      <x:c r="I198" s="106" t="s"/>
      <x:c r="J198" s="82" t="s"/>
      <x:c r="K198" s="82" t="s"/>
      <x:c r="L198" s="82" t="s"/>
      <x:c r="M198" s="82" t="s"/>
      <x:c r="N198" s="82" t="s"/>
      <x:c r="O198" s="82" t="s"/>
      <x:c r="P198" s="82" t="s"/>
      <x:c r="Q198" s="82" t="s"/>
      <x:c r="R198" s="82" t="s"/>
      <x:c r="S198" s="82" t="s"/>
      <x:c r="T198" s="82" t="s"/>
      <x:c r="U198" s="82" t="s"/>
      <x:c r="V198" s="82" t="s"/>
      <x:c r="W198" s="82" t="s"/>
      <x:c r="X198" s="82" t="s"/>
      <x:c r="Y198" s="82" t="s"/>
      <x:c r="Z198" s="82" t="s"/>
      <x:c r="AA198" s="82" t="s"/>
      <x:c r="AB198" s="82" t="s"/>
      <x:c r="AC198" s="82" t="s"/>
      <x:c r="AD198" s="82" t="s"/>
      <x:c r="AE198" s="82" t="s"/>
      <x:c r="AF198" s="82" t="s"/>
      <x:c r="AG198" s="82" t="s"/>
      <x:c r="AH198" s="82" t="s"/>
      <x:c r="AI198" s="82" t="s"/>
      <x:c r="AJ198" s="82" t="s"/>
      <x:c r="AK198" s="82" t="s"/>
      <x:c r="AL198" s="82" t="s"/>
      <x:c r="AM198" s="82" t="s"/>
      <x:c r="AN198" s="82" t="s"/>
      <x:c r="AO198" s="82" t="s"/>
      <x:c r="AP198" s="82" t="s"/>
      <x:c r="AQ198" s="82" t="s"/>
      <x:c r="AR198" s="82" t="s"/>
      <x:c r="AS198" s="82" t="s"/>
      <x:c r="AT198" s="82" t="s"/>
      <x:c r="AU198" s="82" t="s"/>
      <x:c r="AV198" s="82" t="s"/>
      <x:c r="AW198" s="82" t="s"/>
      <x:c r="AX198" s="82" t="s"/>
      <x:c r="AY198" s="82" t="s"/>
      <x:c r="AZ198" s="82" t="s"/>
      <x:c r="BA198" s="82" t="s"/>
      <x:c r="BB198" s="82" t="s"/>
      <x:c r="BC198" s="82" t="s"/>
      <x:c r="BD198" s="82" t="s"/>
      <x:c r="BE198" s="82" t="s"/>
      <x:c r="BF198" s="82" t="s"/>
      <x:c r="BG198" s="82" t="s"/>
      <x:c r="BH198" s="82" t="s"/>
      <x:c r="BI198" s="82" t="s"/>
      <x:c r="BJ198" s="82" t="s"/>
      <x:c r="BK198" s="82" t="s"/>
      <x:c r="BL198" s="82" t="s"/>
      <x:c r="BM198" s="82" t="s"/>
      <x:c r="BN198" s="82" t="s"/>
      <x:c r="BO198" s="82" t="s"/>
      <x:c r="BP198" s="82" t="s"/>
      <x:c r="BQ198" s="82" t="s"/>
      <x:c r="BR198" s="82" t="s"/>
    </x:row>
    <x:row r="199" spans="1:70" x14ac:dyDescent="0.25">
      <x:c r="A199" s="82" t="s">
        <x:v>106</x:v>
      </x:c>
      <x:c r="B199" s="82" t="s">
        <x:v>107</x:v>
      </x:c>
      <x:c r="C199" s="82" t="s">
        <x:v>108</x:v>
      </x:c>
      <x:c r="D199" s="85">
        <x:v>42107</x:v>
      </x:c>
      <x:c r="E199" s="82" t="n">
        <x:v>29754</x:v>
      </x:c>
      <x:c r="F199" s="86" t="n">
        <x:v>0.721127079730666</x:v>
      </x:c>
      <x:c r="G199" s="86" t="n">
        <x:v>0.445597559593782</x:v>
      </x:c>
      <x:c r="H199" s="86" t="n">
        <x:v>0.16963031114341</x:v>
      </x:c>
      <x:c r="I199" s="86" t="n">
        <x:v>0.421651548083515</x:v>
      </x:c>
      <x:c r="J199" s="82" t="s"/>
      <x:c r="K199" s="82" t="s"/>
      <x:c r="L199" s="82" t="s"/>
      <x:c r="M199" s="82" t="s"/>
      <x:c r="N199" s="82" t="s"/>
      <x:c r="O199" s="82" t="s"/>
      <x:c r="P199" s="82" t="s"/>
      <x:c r="Q199" s="82" t="s"/>
      <x:c r="R199" s="82" t="s"/>
      <x:c r="S199" s="82" t="s"/>
      <x:c r="T199" s="82" t="s"/>
      <x:c r="U199" s="82" t="s"/>
      <x:c r="V199" s="82" t="s"/>
      <x:c r="W199" s="82" t="s"/>
      <x:c r="X199" s="82" t="s"/>
      <x:c r="Y199" s="82" t="s"/>
      <x:c r="Z199" s="82" t="s"/>
      <x:c r="AA199" s="82" t="s"/>
      <x:c r="AB199" s="82" t="s"/>
      <x:c r="AC199" s="82" t="s"/>
      <x:c r="AD199" s="82" t="s"/>
      <x:c r="AE199" s="82" t="s"/>
      <x:c r="AF199" s="82" t="s"/>
      <x:c r="AG199" s="82" t="s"/>
      <x:c r="AH199" s="82" t="s"/>
      <x:c r="AI199" s="82" t="s"/>
      <x:c r="AJ199" s="82" t="s"/>
      <x:c r="AK199" s="82" t="s"/>
      <x:c r="AL199" s="82" t="s"/>
      <x:c r="AM199" s="82" t="s"/>
      <x:c r="AN199" s="82" t="s"/>
      <x:c r="AO199" s="82" t="s"/>
      <x:c r="AP199" s="82" t="s"/>
      <x:c r="AQ199" s="82" t="s"/>
      <x:c r="AR199" s="82" t="s"/>
      <x:c r="AS199" s="82" t="s"/>
      <x:c r="AT199" s="82" t="s"/>
      <x:c r="AU199" s="82" t="s"/>
      <x:c r="AV199" s="82" t="s"/>
      <x:c r="AW199" s="82" t="s"/>
      <x:c r="AX199" s="82" t="s"/>
      <x:c r="AY199" s="82" t="s"/>
      <x:c r="AZ199" s="82" t="s"/>
      <x:c r="BA199" s="82" t="s"/>
      <x:c r="BB199" s="82" t="s"/>
      <x:c r="BC199" s="82" t="s"/>
      <x:c r="BD199" s="82" t="s"/>
      <x:c r="BE199" s="82" t="s"/>
      <x:c r="BF199" s="82" t="s"/>
      <x:c r="BG199" s="82" t="s"/>
      <x:c r="BH199" s="82" t="s"/>
      <x:c r="BI199" s="82" t="s"/>
      <x:c r="BJ199" s="82" t="s"/>
      <x:c r="BK199" s="82" t="s"/>
      <x:c r="BL199" s="82" t="s"/>
      <x:c r="BM199" s="82" t="s"/>
      <x:c r="BN199" s="82" t="s"/>
      <x:c r="BO199" s="82" t="s"/>
      <x:c r="BP199" s="82" t="s"/>
      <x:c r="BQ199" s="82" t="s"/>
      <x:c r="BR199" s="82" t="s"/>
    </x:row>
    <x:row r="200" spans="1:70" x14ac:dyDescent="0.25">
      <x:c r="A200" s="82" t="s">
        <x:v>106</x:v>
      </x:c>
      <x:c r="B200" s="82" t="s">
        <x:v>107</x:v>
      </x:c>
      <x:c r="C200" s="82" t="s">
        <x:v>109</x:v>
      </x:c>
      <x:c r="D200" s="85">
        <x:v>42107</x:v>
      </x:c>
      <x:c r="E200" s="82" t="n">
        <x:v>29754</x:v>
      </x:c>
      <x:c r="F200" s="86" t="n">
        <x:v>2.74433568716179</x:v>
      </x:c>
      <x:c r="G200" s="86" t="n">
        <x:v>3.41571709911074</x:v>
      </x:c>
      <x:c r="H200" s="86" t="n">
        <x:v>2.96498601318109</x:v>
      </x:c>
      <x:c r="I200" s="86" t="n">
        <x:v>3.93626818969726</x:v>
      </x:c>
      <x:c r="J200" s="82" t="s"/>
      <x:c r="K200" s="82" t="s"/>
      <x:c r="L200" s="82" t="s"/>
      <x:c r="M200" s="82" t="s"/>
      <x:c r="N200" s="82" t="s"/>
      <x:c r="O200" s="82" t="s"/>
      <x:c r="P200" s="82" t="s"/>
      <x:c r="Q200" s="82" t="s"/>
      <x:c r="R200" s="82" t="s"/>
      <x:c r="S200" s="82" t="s"/>
      <x:c r="T200" s="82" t="s"/>
      <x:c r="U200" s="82" t="s"/>
      <x:c r="V200" s="82" t="s"/>
      <x:c r="W200" s="82" t="s"/>
      <x:c r="X200" s="82" t="s"/>
      <x:c r="Y200" s="82" t="s"/>
      <x:c r="Z200" s="82" t="s"/>
      <x:c r="AA200" s="82" t="s"/>
      <x:c r="AB200" s="82" t="s"/>
      <x:c r="AC200" s="82" t="s"/>
      <x:c r="AD200" s="82" t="s"/>
      <x:c r="AE200" s="82" t="s"/>
      <x:c r="AF200" s="82" t="s"/>
      <x:c r="AG200" s="82" t="s"/>
      <x:c r="AH200" s="82" t="s"/>
      <x:c r="AI200" s="82" t="s"/>
      <x:c r="AJ200" s="82" t="s"/>
      <x:c r="AK200" s="82" t="s"/>
      <x:c r="AL200" s="82" t="s"/>
      <x:c r="AM200" s="82" t="s"/>
      <x:c r="AN200" s="82" t="s"/>
      <x:c r="AO200" s="82" t="s"/>
      <x:c r="AP200" s="82" t="s"/>
      <x:c r="AQ200" s="82" t="s"/>
      <x:c r="AR200" s="82" t="s"/>
      <x:c r="AS200" s="82" t="s"/>
      <x:c r="AT200" s="82" t="s"/>
      <x:c r="AU200" s="82" t="s"/>
      <x:c r="AV200" s="82" t="s"/>
      <x:c r="AW200" s="82" t="s"/>
      <x:c r="AX200" s="82" t="s"/>
      <x:c r="AY200" s="82" t="s"/>
      <x:c r="AZ200" s="82" t="s"/>
      <x:c r="BA200" s="82" t="s"/>
      <x:c r="BB200" s="82" t="s"/>
      <x:c r="BC200" s="82" t="s"/>
      <x:c r="BD200" s="82" t="s"/>
      <x:c r="BE200" s="82" t="s"/>
      <x:c r="BF200" s="82" t="s"/>
      <x:c r="BG200" s="82" t="s"/>
      <x:c r="BH200" s="82" t="s"/>
      <x:c r="BI200" s="82" t="s"/>
      <x:c r="BJ200" s="82" t="s"/>
      <x:c r="BK200" s="82" t="s"/>
      <x:c r="BL200" s="82" t="s"/>
      <x:c r="BM200" s="82" t="s"/>
      <x:c r="BN200" s="82" t="s"/>
      <x:c r="BO200" s="82" t="s"/>
      <x:c r="BP200" s="82" t="s"/>
      <x:c r="BQ200" s="82" t="s"/>
      <x:c r="BR200" s="82" t="s"/>
    </x:row>
    <x:row r="201" spans="1:70" x14ac:dyDescent="0.25">
      <x:c r="A201" s="82" t="s">
        <x:v>106</x:v>
      </x:c>
      <x:c r="B201" s="82" t="s">
        <x:v>107</x:v>
      </x:c>
      <x:c r="C201" s="82" t="s">
        <x:v>110</x:v>
      </x:c>
      <x:c r="D201" s="85">
        <x:v>42107</x:v>
      </x:c>
      <x:c r="E201" s="82" t="n">
        <x:v>29754</x:v>
      </x:c>
      <x:c r="F201" s="86" t="n">
        <x:v>0.383716622332327</x:v>
      </x:c>
      <x:c r="G201" s="86" t="n">
        <x:v>0.429817246740009</x:v>
      </x:c>
      <x:c r="H201" s="86" t="n">
        <x:v>0.320968916461763</x:v>
      </x:c>
      <x:c r="I201" s="86" t="n">
        <x:v>0.362598277829875</x:v>
      </x:c>
      <x:c r="J201" s="82" t="s"/>
      <x:c r="K201" s="82" t="s"/>
      <x:c r="L201" s="82" t="s"/>
      <x:c r="M201" s="82" t="s"/>
      <x:c r="N201" s="82" t="s"/>
      <x:c r="O201" s="82" t="s"/>
      <x:c r="P201" s="82" t="s"/>
      <x:c r="Q201" s="82" t="s"/>
      <x:c r="R201" s="82" t="s"/>
      <x:c r="S201" s="82" t="s"/>
      <x:c r="T201" s="82" t="s"/>
      <x:c r="U201" s="82" t="s"/>
      <x:c r="V201" s="82" t="s"/>
      <x:c r="W201" s="82" t="s"/>
      <x:c r="X201" s="82" t="s"/>
      <x:c r="Y201" s="82" t="s"/>
      <x:c r="Z201" s="82" t="s"/>
      <x:c r="AA201" s="82" t="s"/>
      <x:c r="AB201" s="82" t="s"/>
      <x:c r="AC201" s="82" t="s"/>
      <x:c r="AD201" s="82" t="s"/>
      <x:c r="AE201" s="82" t="s"/>
      <x:c r="AF201" s="82" t="s"/>
      <x:c r="AG201" s="82" t="s"/>
      <x:c r="AH201" s="82" t="s"/>
      <x:c r="AI201" s="82" t="s"/>
      <x:c r="AJ201" s="82" t="s"/>
      <x:c r="AK201" s="82" t="s"/>
      <x:c r="AL201" s="82" t="s"/>
      <x:c r="AM201" s="82" t="s"/>
      <x:c r="AN201" s="82" t="s"/>
      <x:c r="AO201" s="82" t="s"/>
      <x:c r="AP201" s="82" t="s"/>
      <x:c r="AQ201" s="82" t="s"/>
      <x:c r="AR201" s="82" t="s"/>
      <x:c r="AS201" s="82" t="s"/>
      <x:c r="AT201" s="82" t="s"/>
      <x:c r="AU201" s="82" t="s"/>
      <x:c r="AV201" s="82" t="s"/>
      <x:c r="AW201" s="82" t="s"/>
      <x:c r="AX201" s="82" t="s"/>
      <x:c r="AY201" s="82" t="s"/>
      <x:c r="AZ201" s="82" t="s"/>
      <x:c r="BA201" s="82" t="s"/>
      <x:c r="BB201" s="82" t="s"/>
      <x:c r="BC201" s="82" t="s"/>
      <x:c r="BD201" s="82" t="s"/>
      <x:c r="BE201" s="82" t="s"/>
      <x:c r="BF201" s="82" t="s"/>
      <x:c r="BG201" s="82" t="s"/>
      <x:c r="BH201" s="82" t="s"/>
      <x:c r="BI201" s="82" t="s"/>
      <x:c r="BJ201" s="82" t="s"/>
      <x:c r="BK201" s="82" t="s"/>
      <x:c r="BL201" s="82" t="s"/>
      <x:c r="BM201" s="82" t="s"/>
      <x:c r="BN201" s="82" t="s"/>
      <x:c r="BO201" s="82" t="s"/>
      <x:c r="BP201" s="82" t="s"/>
      <x:c r="BQ201" s="82" t="s"/>
      <x:c r="BR201" s="82" t="s"/>
    </x:row>
    <x:row r="202" spans="1:70" x14ac:dyDescent="0.25">
      <x:c r="A202" s="82" t="s">
        <x:v>106</x:v>
      </x:c>
      <x:c r="B202" s="82" t="s">
        <x:v>107</x:v>
      </x:c>
      <x:c r="C202" s="82" t="s">
        <x:v>111</x:v>
      </x:c>
      <x:c r="D202" s="85">
        <x:v>42107</x:v>
      </x:c>
      <x:c r="E202" s="82" t="n">
        <x:v>29754</x:v>
      </x:c>
      <x:c r="F202" s="86" t="n">
        <x:v>5.51935338011445</x:v>
      </x:c>
      <x:c r="G202" s="86" t="n">
        <x:v>4.05434948970433</x:v>
      </x:c>
      <x:c r="H202" s="86" t="n">
        <x:v>4.2429924879032</x:v>
      </x:c>
      <x:c r="I202" s="86" t="n">
        <x:v>3.67541953022081</x:v>
      </x:c>
      <x:c r="J202" s="82" t="s"/>
      <x:c r="K202" s="82" t="s"/>
      <x:c r="L202" s="82" t="s"/>
      <x:c r="M202" s="82" t="s"/>
      <x:c r="N202" s="82" t="s"/>
      <x:c r="O202" s="82" t="s"/>
      <x:c r="P202" s="82" t="s"/>
      <x:c r="Q202" s="82" t="s"/>
      <x:c r="R202" s="82" t="s"/>
      <x:c r="S202" s="82" t="s"/>
      <x:c r="T202" s="82" t="s"/>
      <x:c r="U202" s="82" t="s"/>
      <x:c r="V202" s="82" t="s"/>
      <x:c r="W202" s="82" t="s"/>
      <x:c r="X202" s="82" t="s"/>
      <x:c r="Y202" s="82" t="s"/>
      <x:c r="Z202" s="82" t="s"/>
      <x:c r="AA202" s="82" t="s"/>
      <x:c r="AB202" s="82" t="s"/>
      <x:c r="AC202" s="82" t="s"/>
      <x:c r="AD202" s="82" t="s"/>
      <x:c r="AE202" s="82" t="s"/>
      <x:c r="AF202" s="82" t="s"/>
      <x:c r="AG202" s="82" t="s"/>
      <x:c r="AH202" s="82" t="s"/>
      <x:c r="AI202" s="82" t="s"/>
      <x:c r="AJ202" s="82" t="s"/>
      <x:c r="AK202" s="82" t="s"/>
      <x:c r="AL202" s="82" t="s"/>
      <x:c r="AM202" s="82" t="s"/>
      <x:c r="AN202" s="82" t="s"/>
      <x:c r="AO202" s="82" t="s"/>
      <x:c r="AP202" s="82" t="s"/>
      <x:c r="AQ202" s="82" t="s"/>
      <x:c r="AR202" s="82" t="s"/>
      <x:c r="AS202" s="82" t="s"/>
      <x:c r="AT202" s="82" t="s"/>
      <x:c r="AU202" s="82" t="s"/>
      <x:c r="AV202" s="82" t="s"/>
      <x:c r="AW202" s="82" t="s"/>
      <x:c r="AX202" s="82" t="s"/>
      <x:c r="AY202" s="82" t="s"/>
      <x:c r="AZ202" s="82" t="s"/>
      <x:c r="BA202" s="82" t="s"/>
      <x:c r="BB202" s="82" t="s"/>
      <x:c r="BC202" s="82" t="s"/>
      <x:c r="BD202" s="82" t="s"/>
      <x:c r="BE202" s="82" t="s"/>
      <x:c r="BF202" s="82" t="s"/>
      <x:c r="BG202" s="82" t="s"/>
      <x:c r="BH202" s="82" t="s"/>
      <x:c r="BI202" s="82" t="s"/>
      <x:c r="BJ202" s="82" t="s"/>
      <x:c r="BK202" s="82" t="s"/>
      <x:c r="BL202" s="82" t="s"/>
      <x:c r="BM202" s="82" t="s"/>
      <x:c r="BN202" s="82" t="s"/>
      <x:c r="BO202" s="82" t="s"/>
      <x:c r="BP202" s="82" t="s"/>
      <x:c r="BQ202" s="82" t="s"/>
      <x:c r="BR202" s="82" t="s"/>
    </x:row>
    <x:row r="203" spans="1:70" x14ac:dyDescent="0.25">
      <x:c r="A203" s="82" t="s">
        <x:v>106</x:v>
      </x:c>
      <x:c r="B203" s="82" t="s">
        <x:v>107</x:v>
      </x:c>
      <x:c r="C203" s="82" t="s">
        <x:v>112</x:v>
      </x:c>
      <x:c r="D203" s="85">
        <x:v>42107</x:v>
      </x:c>
      <x:c r="E203" s="82" t="n">
        <x:v>29754</x:v>
      </x:c>
      <x:c r="F203" s="82" t="n">
        <x:v>16.5345050499581</x:v>
      </x:c>
      <x:c r="G203" s="82" t="n">
        <x:v>12.1457456145744</x:v>
      </x:c>
      <x:c r="H203" s="82" t="n">
        <x:v>12.7108695324588</x:v>
      </x:c>
      <x:c r="I203" s="82" t="n">
        <x:v>11.0105729055331</x:v>
      </x:c>
      <x:c r="J203" s="82" t="s"/>
      <x:c r="K203" s="82" t="s"/>
      <x:c r="L203" s="82" t="s"/>
      <x:c r="M203" s="82" t="s"/>
      <x:c r="N203" s="82" t="s"/>
      <x:c r="O203" s="82" t="s"/>
      <x:c r="P203" s="82" t="s"/>
      <x:c r="Q203" s="82" t="s"/>
      <x:c r="R203" s="82" t="s"/>
      <x:c r="S203" s="82" t="s"/>
      <x:c r="T203" s="82" t="s"/>
      <x:c r="U203" s="82" t="s"/>
      <x:c r="V203" s="82" t="s"/>
      <x:c r="W203" s="82" t="s"/>
      <x:c r="X203" s="82" t="s"/>
      <x:c r="Y203" s="82" t="s"/>
      <x:c r="Z203" s="82" t="s"/>
      <x:c r="AA203" s="82" t="s"/>
      <x:c r="AB203" s="82" t="s"/>
      <x:c r="AC203" s="82" t="s"/>
      <x:c r="AD203" s="82" t="s"/>
      <x:c r="AE203" s="82" t="s"/>
      <x:c r="AF203" s="82" t="s"/>
      <x:c r="AG203" s="82" t="s"/>
      <x:c r="AH203" s="82" t="s"/>
      <x:c r="AI203" s="82" t="s"/>
      <x:c r="AJ203" s="82" t="s"/>
      <x:c r="AK203" s="82" t="s"/>
      <x:c r="AL203" s="82" t="s"/>
      <x:c r="AM203" s="82" t="s"/>
      <x:c r="AN203" s="82" t="s"/>
      <x:c r="AO203" s="82" t="s"/>
      <x:c r="AP203" s="82" t="s"/>
      <x:c r="AQ203" s="82" t="s"/>
      <x:c r="AR203" s="82" t="s"/>
      <x:c r="AS203" s="82" t="s"/>
      <x:c r="AT203" s="82" t="s"/>
      <x:c r="AU203" s="82" t="s"/>
      <x:c r="AV203" s="82" t="s"/>
      <x:c r="AW203" s="82" t="s"/>
      <x:c r="AX203" s="82" t="s"/>
      <x:c r="AY203" s="82" t="s"/>
      <x:c r="AZ203" s="82" t="s"/>
      <x:c r="BA203" s="82" t="s"/>
      <x:c r="BB203" s="82" t="s"/>
      <x:c r="BC203" s="82" t="s"/>
      <x:c r="BD203" s="82" t="s"/>
      <x:c r="BE203" s="82" t="s"/>
      <x:c r="BF203" s="82" t="s"/>
      <x:c r="BG203" s="82" t="s"/>
      <x:c r="BH203" s="82" t="s"/>
      <x:c r="BI203" s="82" t="s"/>
      <x:c r="BJ203" s="82" t="s"/>
      <x:c r="BK203" s="82" t="s"/>
      <x:c r="BL203" s="82" t="s"/>
      <x:c r="BM203" s="82" t="s"/>
      <x:c r="BN203" s="82" t="s"/>
      <x:c r="BO203" s="82" t="s"/>
      <x:c r="BP203" s="82" t="s"/>
      <x:c r="BQ203" s="82" t="s"/>
      <x:c r="BR203" s="82" t="s"/>
    </x:row>
    <x:row r="204" spans="1:70" x14ac:dyDescent="0.25">
      <x:c r="A204" s="82" t="s">
        <x:v>106</x:v>
      </x:c>
      <x:c r="B204" s="82" t="s">
        <x:v>107</x:v>
      </x:c>
      <x:c r="C204" s="82" t="s">
        <x:v>113</x:v>
      </x:c>
      <x:c r="D204" s="85">
        <x:v>42107</x:v>
      </x:c>
      <x:c r="E204" s="82" t="n">
        <x:v>29754</x:v>
      </x:c>
      <x:c r="F204" s="88" t="n">
        <x:v>-8.362</x:v>
      </x:c>
      <x:c r="G204" s="88" t="n">
        <x:v>-7.975</x:v>
      </x:c>
      <x:c r="H204" s="82" t="s"/>
      <x:c r="I204" s="82" t="s"/>
      <x:c r="J204" s="82" t="s"/>
      <x:c r="K204" s="82" t="s"/>
      <x:c r="L204" s="82" t="s"/>
      <x:c r="M204" s="82" t="s"/>
      <x:c r="N204" s="82" t="s"/>
      <x:c r="O204" s="82" t="s"/>
      <x:c r="P204" s="82" t="s"/>
      <x:c r="Q204" s="82" t="s"/>
      <x:c r="R204" s="82" t="s"/>
      <x:c r="S204" s="82" t="s"/>
      <x:c r="T204" s="82" t="s"/>
      <x:c r="U204" s="82" t="s"/>
      <x:c r="V204" s="82" t="s"/>
      <x:c r="W204" s="82" t="s"/>
      <x:c r="X204" s="82" t="s"/>
      <x:c r="Y204" s="82" t="s"/>
      <x:c r="Z204" s="82" t="s"/>
      <x:c r="AA204" s="82" t="s"/>
      <x:c r="AB204" s="82" t="s"/>
      <x:c r="AC204" s="82" t="s"/>
      <x:c r="AD204" s="82" t="s"/>
      <x:c r="AE204" s="82" t="s"/>
      <x:c r="AF204" s="82" t="s"/>
      <x:c r="AG204" s="82" t="s"/>
      <x:c r="AH204" s="82" t="s"/>
      <x:c r="AI204" s="82" t="s"/>
      <x:c r="AJ204" s="82" t="s"/>
      <x:c r="AK204" s="82" t="s"/>
      <x:c r="AL204" s="82" t="s"/>
      <x:c r="AM204" s="82" t="s"/>
      <x:c r="AN204" s="82" t="s"/>
      <x:c r="AO204" s="82" t="s"/>
      <x:c r="AP204" s="82" t="s"/>
      <x:c r="AQ204" s="82" t="s"/>
      <x:c r="AR204" s="82" t="s"/>
      <x:c r="AS204" s="82" t="s"/>
      <x:c r="AT204" s="82" t="s"/>
      <x:c r="AU204" s="82" t="s"/>
      <x:c r="AV204" s="82" t="s"/>
      <x:c r="AW204" s="82" t="s"/>
      <x:c r="AX204" s="82" t="s"/>
      <x:c r="AY204" s="82" t="s"/>
      <x:c r="AZ204" s="82" t="s"/>
      <x:c r="BA204" s="82" t="s"/>
      <x:c r="BB204" s="82" t="s"/>
      <x:c r="BC204" s="82" t="s"/>
      <x:c r="BD204" s="82" t="s"/>
      <x:c r="BE204" s="82" t="s"/>
      <x:c r="BF204" s="82" t="s"/>
      <x:c r="BG204" s="82" t="s"/>
      <x:c r="BH204" s="82" t="s"/>
      <x:c r="BI204" s="82" t="s"/>
      <x:c r="BJ204" s="82" t="s"/>
      <x:c r="BK204" s="82" t="s"/>
      <x:c r="BL204" s="82" t="s"/>
      <x:c r="BM204" s="82" t="s"/>
      <x:c r="BN204" s="82" t="s"/>
      <x:c r="BO204" s="82" t="s"/>
      <x:c r="BP204" s="82" t="s"/>
      <x:c r="BQ204" s="82" t="s"/>
      <x:c r="BR204" s="82" t="s"/>
    </x:row>
    <x:row r="205" spans="1:70" x14ac:dyDescent="0.25">
      <x:c r="A205" s="82" t="s">
        <x:v>106</x:v>
      </x:c>
      <x:c r="B205" s="82" t="s">
        <x:v>107</x:v>
      </x:c>
      <x:c r="C205" s="82" t="s">
        <x:v>114</x:v>
      </x:c>
      <x:c r="D205" s="85">
        <x:v>42107</x:v>
      </x:c>
      <x:c r="E205" s="82" t="n">
        <x:v>29754</x:v>
      </x:c>
      <x:c r="F205" s="88" t="n">
        <x:v>0.736</x:v>
      </x:c>
      <x:c r="G205" s="88" t="n">
        <x:v>0.992</x:v>
      </x:c>
      <x:c r="H205" s="82" t="s"/>
      <x:c r="I205" s="82" t="s"/>
      <x:c r="J205" s="82" t="s"/>
      <x:c r="K205" s="82" t="s"/>
      <x:c r="L205" s="82" t="s"/>
      <x:c r="M205" s="82" t="s"/>
      <x:c r="N205" s="82" t="s"/>
      <x:c r="O205" s="82" t="s"/>
      <x:c r="P205" s="82" t="s"/>
      <x:c r="Q205" s="82" t="s"/>
      <x:c r="R205" s="82" t="s"/>
      <x:c r="S205" s="82" t="s"/>
      <x:c r="T205" s="82" t="s"/>
      <x:c r="U205" s="82" t="s"/>
      <x:c r="V205" s="82" t="s"/>
      <x:c r="W205" s="82" t="s"/>
      <x:c r="X205" s="82" t="s"/>
      <x:c r="Y205" s="82" t="s"/>
      <x:c r="Z205" s="82" t="s"/>
      <x:c r="AA205" s="82" t="s"/>
      <x:c r="AB205" s="82" t="s"/>
      <x:c r="AC205" s="82" t="s"/>
      <x:c r="AD205" s="82" t="s"/>
      <x:c r="AE205" s="82" t="s"/>
      <x:c r="AF205" s="82" t="s"/>
      <x:c r="AG205" s="82" t="s"/>
      <x:c r="AH205" s="82" t="s"/>
      <x:c r="AI205" s="82" t="s"/>
      <x:c r="AJ205" s="82" t="s"/>
      <x:c r="AK205" s="82" t="s"/>
      <x:c r="AL205" s="82" t="s"/>
      <x:c r="AM205" s="82" t="s"/>
      <x:c r="AN205" s="82" t="s"/>
      <x:c r="AO205" s="82" t="s"/>
      <x:c r="AP205" s="82" t="s"/>
      <x:c r="AQ205" s="82" t="s"/>
      <x:c r="AR205" s="82" t="s"/>
      <x:c r="AS205" s="82" t="s"/>
      <x:c r="AT205" s="82" t="s"/>
      <x:c r="AU205" s="82" t="s"/>
      <x:c r="AV205" s="82" t="s"/>
      <x:c r="AW205" s="82" t="s"/>
      <x:c r="AX205" s="82" t="s"/>
      <x:c r="AY205" s="82" t="s"/>
      <x:c r="AZ205" s="82" t="s"/>
      <x:c r="BA205" s="82" t="s"/>
      <x:c r="BB205" s="82" t="s"/>
      <x:c r="BC205" s="82" t="s"/>
      <x:c r="BD205" s="82" t="s"/>
      <x:c r="BE205" s="82" t="s"/>
      <x:c r="BF205" s="82" t="s"/>
      <x:c r="BG205" s="82" t="s"/>
      <x:c r="BH205" s="82" t="s"/>
      <x:c r="BI205" s="82" t="s"/>
      <x:c r="BJ205" s="82" t="s"/>
      <x:c r="BK205" s="82" t="s"/>
      <x:c r="BL205" s="82" t="s"/>
      <x:c r="BM205" s="82" t="s"/>
      <x:c r="BN205" s="82" t="s"/>
      <x:c r="BO205" s="82" t="s"/>
      <x:c r="BP205" s="82" t="s"/>
      <x:c r="BQ205" s="82" t="s"/>
      <x:c r="BR205" s="82" t="s"/>
    </x:row>
    <x:row r="206" spans="1:70" x14ac:dyDescent="0.25">
      <x:c r="A206" s="82" t="s">
        <x:v>106</x:v>
      </x:c>
      <x:c r="B206" s="82" t="s">
        <x:v>107</x:v>
      </x:c>
      <x:c r="C206" s="82" t="s">
        <x:v>115</x:v>
      </x:c>
      <x:c r="D206" s="85">
        <x:v>42107</x:v>
      </x:c>
      <x:c r="E206" s="82" t="n">
        <x:v>29754</x:v>
      </x:c>
      <x:c r="F206" s="101" t="n">
        <x:v>-7.789</x:v>
      </x:c>
      <x:c r="G206" s="101" t="n">
        <x:v>-8.212</x:v>
      </x:c>
      <x:c r="H206" s="82" t="s"/>
      <x:c r="I206" s="82" t="s"/>
      <x:c r="J206" s="82" t="s"/>
      <x:c r="K206" s="82" t="s"/>
      <x:c r="L206" s="82" t="s"/>
      <x:c r="M206" s="82" t="s"/>
      <x:c r="N206" s="82" t="s"/>
      <x:c r="O206" s="82" t="s"/>
      <x:c r="P206" s="82" t="s"/>
      <x:c r="Q206" s="82" t="s"/>
      <x:c r="R206" s="82" t="s"/>
      <x:c r="S206" s="82" t="s"/>
      <x:c r="T206" s="82" t="s"/>
      <x:c r="U206" s="82" t="s"/>
      <x:c r="V206" s="82" t="s"/>
      <x:c r="W206" s="82" t="s"/>
      <x:c r="X206" s="82" t="s"/>
      <x:c r="Y206" s="82" t="s"/>
      <x:c r="Z206" s="82" t="s"/>
      <x:c r="AA206" s="82" t="s"/>
      <x:c r="AB206" s="82" t="s"/>
      <x:c r="AC206" s="82" t="s"/>
      <x:c r="AD206" s="82" t="s"/>
      <x:c r="AE206" s="82" t="s"/>
      <x:c r="AF206" s="82" t="s"/>
      <x:c r="AG206" s="82" t="s"/>
      <x:c r="AH206" s="82" t="s"/>
      <x:c r="AI206" s="82" t="s"/>
      <x:c r="AJ206" s="82" t="s"/>
      <x:c r="AK206" s="82" t="s"/>
      <x:c r="AL206" s="82" t="s"/>
      <x:c r="AM206" s="82" t="s"/>
      <x:c r="AN206" s="82" t="s"/>
      <x:c r="AO206" s="82" t="s"/>
      <x:c r="AP206" s="82" t="s"/>
      <x:c r="AQ206" s="82" t="s"/>
      <x:c r="AR206" s="82" t="s"/>
      <x:c r="AS206" s="82" t="s"/>
      <x:c r="AT206" s="82" t="s"/>
      <x:c r="AU206" s="82" t="s"/>
      <x:c r="AV206" s="82" t="s"/>
      <x:c r="AW206" s="82" t="s"/>
      <x:c r="AX206" s="82" t="s"/>
      <x:c r="AY206" s="82" t="s"/>
      <x:c r="AZ206" s="82" t="s"/>
      <x:c r="BA206" s="82" t="s"/>
      <x:c r="BB206" s="82" t="s"/>
      <x:c r="BC206" s="82" t="s"/>
      <x:c r="BD206" s="82" t="s"/>
      <x:c r="BE206" s="82" t="s"/>
      <x:c r="BF206" s="82" t="s"/>
      <x:c r="BG206" s="82" t="s"/>
      <x:c r="BH206" s="82" t="s"/>
      <x:c r="BI206" s="82" t="s"/>
      <x:c r="BJ206" s="82" t="s"/>
      <x:c r="BK206" s="82" t="s"/>
      <x:c r="BL206" s="82" t="s"/>
      <x:c r="BM206" s="82" t="s"/>
      <x:c r="BN206" s="82" t="s"/>
      <x:c r="BO206" s="82" t="s"/>
      <x:c r="BP206" s="82" t="s"/>
      <x:c r="BQ206" s="82" t="s"/>
      <x:c r="BR206" s="82" t="s"/>
    </x:row>
    <x:row r="207" spans="1:70" x14ac:dyDescent="0.25">
      <x:c r="A207" s="82" t="s">
        <x:v>106</x:v>
      </x:c>
      <x:c r="B207" s="82" t="s">
        <x:v>107</x:v>
      </x:c>
      <x:c r="C207" s="82" t="s">
        <x:v>116</x:v>
      </x:c>
      <x:c r="D207" s="85">
        <x:v>42107</x:v>
      </x:c>
      <x:c r="E207" s="82" t="n">
        <x:v>29754</x:v>
      </x:c>
      <x:c r="F207" s="101" t="n">
        <x:v>0.664</x:v>
      </x:c>
      <x:c r="G207" s="101" t="n">
        <x:v>0.696</x:v>
      </x:c>
      <x:c r="H207" s="82" t="s"/>
      <x:c r="I207" s="82" t="s"/>
      <x:c r="J207" s="82" t="s"/>
      <x:c r="K207" s="82" t="s"/>
      <x:c r="L207" s="82" t="s"/>
      <x:c r="M207" s="82" t="s"/>
      <x:c r="N207" s="82" t="s"/>
      <x:c r="O207" s="82" t="s"/>
      <x:c r="P207" s="82" t="s"/>
      <x:c r="Q207" s="82" t="s"/>
      <x:c r="R207" s="82" t="s"/>
      <x:c r="S207" s="82" t="s"/>
      <x:c r="T207" s="82" t="s"/>
      <x:c r="U207" s="82" t="s"/>
      <x:c r="V207" s="82" t="s"/>
      <x:c r="W207" s="82" t="s"/>
      <x:c r="X207" s="82" t="s"/>
      <x:c r="Y207" s="82" t="s"/>
      <x:c r="Z207" s="82" t="s"/>
      <x:c r="AA207" s="82" t="s"/>
      <x:c r="AB207" s="82" t="s"/>
      <x:c r="AC207" s="82" t="s"/>
      <x:c r="AD207" s="82" t="s"/>
      <x:c r="AE207" s="82" t="s"/>
      <x:c r="AF207" s="82" t="s"/>
      <x:c r="AG207" s="82" t="s"/>
      <x:c r="AH207" s="82" t="s"/>
      <x:c r="AI207" s="82" t="s"/>
      <x:c r="AJ207" s="82" t="s"/>
      <x:c r="AK207" s="82" t="s"/>
      <x:c r="AL207" s="82" t="s"/>
      <x:c r="AM207" s="82" t="s"/>
      <x:c r="AN207" s="82" t="s"/>
      <x:c r="AO207" s="82" t="s"/>
      <x:c r="AP207" s="82" t="s"/>
      <x:c r="AQ207" s="82" t="s"/>
      <x:c r="AR207" s="82" t="s"/>
      <x:c r="AS207" s="82" t="s"/>
      <x:c r="AT207" s="82" t="s"/>
      <x:c r="AU207" s="82" t="s"/>
      <x:c r="AV207" s="82" t="s"/>
      <x:c r="AW207" s="82" t="s"/>
      <x:c r="AX207" s="82" t="s"/>
      <x:c r="AY207" s="82" t="s"/>
      <x:c r="AZ207" s="82" t="s"/>
      <x:c r="BA207" s="82" t="s"/>
      <x:c r="BB207" s="82" t="s"/>
      <x:c r="BC207" s="82" t="s"/>
      <x:c r="BD207" s="82" t="s"/>
      <x:c r="BE207" s="82" t="s"/>
      <x:c r="BF207" s="82" t="s"/>
      <x:c r="BG207" s="82" t="s"/>
      <x:c r="BH207" s="82" t="s"/>
      <x:c r="BI207" s="82" t="s"/>
      <x:c r="BJ207" s="82" t="s"/>
      <x:c r="BK207" s="82" t="s"/>
      <x:c r="BL207" s="82" t="s"/>
      <x:c r="BM207" s="82" t="s"/>
      <x:c r="BN207" s="82" t="s"/>
      <x:c r="BO207" s="82" t="s"/>
      <x:c r="BP207" s="82" t="s"/>
      <x:c r="BQ207" s="82" t="s"/>
      <x:c r="BR207" s="82" t="s"/>
    </x:row>
    <x:row r="208" spans="1:70" x14ac:dyDescent="0.25">
      <x:c r="A208" s="82" t="s">
        <x:v>106</x:v>
      </x:c>
      <x:c r="B208" s="82" t="s">
        <x:v>107</x:v>
      </x:c>
      <x:c r="C208" s="82" t="s">
        <x:v>17</x:v>
      </x:c>
      <x:c r="D208" s="85">
        <x:v>42107</x:v>
      </x:c>
      <x:c r="E208" s="82" t="n">
        <x:v>29754</x:v>
      </x:c>
      <x:c r="F208" s="102" t="n">
        <x:v>47.4388593565907</x:v>
      </x:c>
      <x:c r="G208" s="102" t="n">
        <x:v>44.4663787630925</x:v>
      </x:c>
      <x:c r="H208" s="82" t="s"/>
      <x:c r="I208" s="82" t="s"/>
      <x:c r="J208" s="82" t="s"/>
      <x:c r="K208" s="82" t="s"/>
      <x:c r="L208" s="82" t="s"/>
      <x:c r="M208" s="82" t="s"/>
      <x:c r="N208" s="82" t="s"/>
      <x:c r="O208" s="82" t="s"/>
      <x:c r="P208" s="82" t="s"/>
      <x:c r="Q208" s="82" t="s"/>
      <x:c r="R208" s="82" t="s"/>
      <x:c r="S208" s="82" t="s"/>
      <x:c r="T208" s="82" t="s"/>
      <x:c r="U208" s="82" t="s"/>
      <x:c r="V208" s="82" t="s"/>
      <x:c r="W208" s="82" t="s"/>
      <x:c r="X208" s="82" t="s"/>
      <x:c r="Y208" s="82" t="s"/>
      <x:c r="Z208" s="82" t="s"/>
      <x:c r="AA208" s="82" t="s"/>
      <x:c r="AB208" s="82" t="s"/>
      <x:c r="AC208" s="82" t="s"/>
      <x:c r="AD208" s="82" t="s"/>
      <x:c r="AE208" s="82" t="s"/>
      <x:c r="AF208" s="82" t="s"/>
      <x:c r="AG208" s="82" t="s"/>
      <x:c r="AH208" s="82" t="s"/>
      <x:c r="AI208" s="82" t="s"/>
      <x:c r="AJ208" s="82" t="s"/>
      <x:c r="AK208" s="82" t="s"/>
      <x:c r="AL208" s="82" t="s"/>
      <x:c r="AM208" s="82" t="s"/>
      <x:c r="AN208" s="82" t="s"/>
      <x:c r="AO208" s="82" t="s"/>
      <x:c r="AP208" s="82" t="s"/>
      <x:c r="AQ208" s="82" t="s"/>
      <x:c r="AR208" s="82" t="s"/>
      <x:c r="AS208" s="82" t="s"/>
      <x:c r="AT208" s="82" t="s"/>
      <x:c r="AU208" s="82" t="s"/>
      <x:c r="AV208" s="82" t="s"/>
      <x:c r="AW208" s="82" t="s"/>
      <x:c r="AX208" s="82" t="s"/>
      <x:c r="AY208" s="82" t="s"/>
      <x:c r="AZ208" s="82" t="s"/>
      <x:c r="BA208" s="82" t="s"/>
      <x:c r="BB208" s="82" t="s"/>
      <x:c r="BC208" s="82" t="s"/>
      <x:c r="BD208" s="82" t="s"/>
      <x:c r="BE208" s="82" t="s"/>
      <x:c r="BF208" s="82" t="s"/>
      <x:c r="BG208" s="82" t="s"/>
      <x:c r="BH208" s="82" t="s"/>
      <x:c r="BI208" s="82" t="s"/>
      <x:c r="BJ208" s="82" t="s"/>
      <x:c r="BK208" s="82" t="s"/>
      <x:c r="BL208" s="82" t="s"/>
      <x:c r="BM208" s="82" t="s"/>
      <x:c r="BN208" s="82" t="s"/>
      <x:c r="BO208" s="82" t="s"/>
      <x:c r="BP208" s="82" t="s"/>
      <x:c r="BQ208" s="82" t="s"/>
      <x:c r="BR208" s="82" t="s"/>
    </x:row>
    <x:row r="209" spans="1:70" x14ac:dyDescent="0.25">
      <x:c r="A209" s="82" t="s">
        <x:v>106</x:v>
      </x:c>
      <x:c r="B209" s="82" t="s">
        <x:v>107</x:v>
      </x:c>
      <x:c r="C209" s="82" t="s">
        <x:v>18</x:v>
      </x:c>
      <x:c r="D209" s="85">
        <x:v>42107</x:v>
      </x:c>
      <x:c r="E209" s="82" t="n">
        <x:v>29754</x:v>
      </x:c>
      <x:c r="F209" s="102" t="n">
        <x:v>0.0767219565267452</x:v>
      </x:c>
      <x:c r="G209" s="102" t="n">
        <x:v>0.0700489716540452</x:v>
      </x:c>
      <x:c r="H209" s="82" t="s"/>
      <x:c r="I209" s="82" t="s"/>
      <x:c r="J209" s="82" t="s"/>
      <x:c r="K209" s="82" t="s"/>
      <x:c r="L209" s="82" t="s"/>
      <x:c r="M209" s="82" t="s"/>
      <x:c r="N209" s="82" t="s"/>
      <x:c r="O209" s="82" t="s"/>
      <x:c r="P209" s="82" t="s"/>
      <x:c r="Q209" s="82" t="s"/>
      <x:c r="R209" s="82" t="s"/>
      <x:c r="S209" s="82" t="s"/>
      <x:c r="T209" s="82" t="s"/>
      <x:c r="U209" s="82" t="s"/>
      <x:c r="V209" s="82" t="s"/>
      <x:c r="W209" s="82" t="s"/>
      <x:c r="X209" s="82" t="s"/>
      <x:c r="Y209" s="82" t="s"/>
      <x:c r="Z209" s="82" t="s"/>
      <x:c r="AA209" s="82" t="s"/>
      <x:c r="AB209" s="82" t="s"/>
      <x:c r="AC209" s="82" t="s"/>
      <x:c r="AD209" s="82" t="s"/>
      <x:c r="AE209" s="82" t="s"/>
      <x:c r="AF209" s="82" t="s"/>
      <x:c r="AG209" s="82" t="s"/>
      <x:c r="AH209" s="82" t="s"/>
      <x:c r="AI209" s="82" t="s"/>
      <x:c r="AJ209" s="82" t="s"/>
      <x:c r="AK209" s="82" t="s"/>
      <x:c r="AL209" s="82" t="s"/>
      <x:c r="AM209" s="82" t="s"/>
      <x:c r="AN209" s="82" t="s"/>
      <x:c r="AO209" s="82" t="s"/>
      <x:c r="AP209" s="82" t="s"/>
      <x:c r="AQ209" s="82" t="s"/>
      <x:c r="AR209" s="82" t="s"/>
      <x:c r="AS209" s="82" t="s"/>
      <x:c r="AT209" s="82" t="s"/>
      <x:c r="AU209" s="82" t="s"/>
      <x:c r="AV209" s="82" t="s"/>
      <x:c r="AW209" s="82" t="s"/>
      <x:c r="AX209" s="82" t="s"/>
      <x:c r="AY209" s="82" t="s"/>
      <x:c r="AZ209" s="82" t="s"/>
      <x:c r="BA209" s="82" t="s"/>
      <x:c r="BB209" s="82" t="s"/>
      <x:c r="BC209" s="82" t="s"/>
      <x:c r="BD209" s="82" t="s"/>
      <x:c r="BE209" s="82" t="s"/>
      <x:c r="BF209" s="82" t="s"/>
      <x:c r="BG209" s="82" t="s"/>
      <x:c r="BH209" s="82" t="s"/>
      <x:c r="BI209" s="82" t="s"/>
      <x:c r="BJ209" s="82" t="s"/>
      <x:c r="BK209" s="82" t="s"/>
      <x:c r="BL209" s="82" t="s"/>
      <x:c r="BM209" s="82" t="s"/>
      <x:c r="BN209" s="82" t="s"/>
      <x:c r="BO209" s="82" t="s"/>
      <x:c r="BP209" s="82" t="s"/>
      <x:c r="BQ209" s="82" t="s"/>
      <x:c r="BR209" s="82" t="s"/>
    </x:row>
    <x:row r="210" spans="1:70" x14ac:dyDescent="0.25">
      <x:c r="A210" s="82" t="s">
        <x:v>106</x:v>
      </x:c>
      <x:c r="B210" s="82" t="s">
        <x:v>107</x:v>
      </x:c>
      <x:c r="C210" s="82" t="s">
        <x:v>19</x:v>
      </x:c>
      <x:c r="D210" s="85">
        <x:v>42107</x:v>
      </x:c>
      <x:c r="E210" s="82" t="n">
        <x:v>29754</x:v>
      </x:c>
      <x:c r="F210" s="102" t="n">
        <x:v>142.491415428233</x:v>
      </x:c>
      <x:c r="G210" s="102" t="n">
        <x:v>143.006051198862</x:v>
      </x:c>
      <x:c r="H210" s="82" t="s"/>
      <x:c r="I210" s="82" t="s"/>
      <x:c r="J210" s="82" t="s"/>
      <x:c r="K210" s="82" t="s"/>
      <x:c r="L210" s="82" t="s"/>
      <x:c r="M210" s="82" t="s"/>
      <x:c r="N210" s="82" t="s"/>
      <x:c r="O210" s="82" t="s"/>
      <x:c r="P210" s="82" t="s"/>
      <x:c r="Q210" s="82" t="s"/>
      <x:c r="R210" s="82" t="s"/>
      <x:c r="S210" s="82" t="s"/>
      <x:c r="T210" s="82" t="s"/>
      <x:c r="U210" s="82" t="s"/>
      <x:c r="V210" s="82" t="s"/>
      <x:c r="W210" s="82" t="s"/>
      <x:c r="X210" s="82" t="s"/>
      <x:c r="Y210" s="82" t="s"/>
      <x:c r="Z210" s="82" t="s"/>
      <x:c r="AA210" s="82" t="s"/>
      <x:c r="AB210" s="82" t="s"/>
      <x:c r="AC210" s="82" t="s"/>
      <x:c r="AD210" s="82" t="s"/>
      <x:c r="AE210" s="82" t="s"/>
      <x:c r="AF210" s="82" t="s"/>
      <x:c r="AG210" s="82" t="s"/>
      <x:c r="AH210" s="82" t="s"/>
      <x:c r="AI210" s="82" t="s"/>
      <x:c r="AJ210" s="82" t="s"/>
      <x:c r="AK210" s="82" t="s"/>
      <x:c r="AL210" s="82" t="s"/>
      <x:c r="AM210" s="82" t="s"/>
      <x:c r="AN210" s="82" t="s"/>
      <x:c r="AO210" s="82" t="s"/>
      <x:c r="AP210" s="82" t="s"/>
      <x:c r="AQ210" s="82" t="s"/>
      <x:c r="AR210" s="82" t="s"/>
      <x:c r="AS210" s="82" t="s"/>
      <x:c r="AT210" s="82" t="s"/>
      <x:c r="AU210" s="82" t="s"/>
      <x:c r="AV210" s="82" t="s"/>
      <x:c r="AW210" s="82" t="s"/>
      <x:c r="AX210" s="82" t="s"/>
      <x:c r="AY210" s="82" t="s"/>
      <x:c r="AZ210" s="82" t="s"/>
      <x:c r="BA210" s="82" t="s"/>
      <x:c r="BB210" s="82" t="s"/>
      <x:c r="BC210" s="82" t="s"/>
      <x:c r="BD210" s="82" t="s"/>
      <x:c r="BE210" s="82" t="s"/>
      <x:c r="BF210" s="82" t="s"/>
      <x:c r="BG210" s="82" t="s"/>
      <x:c r="BH210" s="82" t="s"/>
      <x:c r="BI210" s="82" t="s"/>
      <x:c r="BJ210" s="82" t="s"/>
      <x:c r="BK210" s="82" t="s"/>
      <x:c r="BL210" s="82" t="s"/>
      <x:c r="BM210" s="82" t="s"/>
      <x:c r="BN210" s="82" t="s"/>
      <x:c r="BO210" s="82" t="s"/>
      <x:c r="BP210" s="82" t="s"/>
      <x:c r="BQ210" s="82" t="s"/>
      <x:c r="BR210" s="82" t="s"/>
    </x:row>
    <x:row r="211" spans="1:70" x14ac:dyDescent="0.25">
      <x:c r="A211" s="82" t="s">
        <x:v>106</x:v>
      </x:c>
      <x:c r="B211" s="82" t="s">
        <x:v>107</x:v>
      </x:c>
      <x:c r="C211" s="82" t="s">
        <x:v>20</x:v>
      </x:c>
      <x:c r="D211" s="85">
        <x:v>42107</x:v>
      </x:c>
      <x:c r="E211" s="82" t="n">
        <x:v>29754</x:v>
      </x:c>
      <x:c r="F211" s="102" t="n">
        <x:v>0.568989312039362</x:v>
      </x:c>
      <x:c r="G211" s="102" t="n">
        <x:v>0.559800165583918</x:v>
      </x:c>
      <x:c r="H211" s="82" t="s"/>
      <x:c r="I211" s="82" t="s"/>
      <x:c r="J211" s="82" t="s"/>
      <x:c r="K211" s="82" t="s"/>
      <x:c r="L211" s="82" t="s"/>
      <x:c r="M211" s="82" t="s"/>
      <x:c r="N211" s="82" t="s"/>
      <x:c r="O211" s="82" t="s"/>
      <x:c r="P211" s="82" t="s"/>
      <x:c r="Q211" s="82" t="s"/>
      <x:c r="R211" s="82" t="s"/>
      <x:c r="S211" s="82" t="s"/>
      <x:c r="T211" s="82" t="s"/>
      <x:c r="U211" s="82" t="s"/>
      <x:c r="V211" s="82" t="s"/>
      <x:c r="W211" s="82" t="s"/>
      <x:c r="X211" s="82" t="s"/>
      <x:c r="Y211" s="82" t="s"/>
      <x:c r="Z211" s="82" t="s"/>
      <x:c r="AA211" s="82" t="s"/>
      <x:c r="AB211" s="82" t="s"/>
      <x:c r="AC211" s="82" t="s"/>
      <x:c r="AD211" s="82" t="s"/>
      <x:c r="AE211" s="82" t="s"/>
      <x:c r="AF211" s="82" t="s"/>
      <x:c r="AG211" s="82" t="s"/>
      <x:c r="AH211" s="82" t="s"/>
      <x:c r="AI211" s="82" t="s"/>
      <x:c r="AJ211" s="82" t="s"/>
      <x:c r="AK211" s="82" t="s"/>
      <x:c r="AL211" s="82" t="s"/>
      <x:c r="AM211" s="82" t="s"/>
      <x:c r="AN211" s="82" t="s"/>
      <x:c r="AO211" s="82" t="s"/>
      <x:c r="AP211" s="82" t="s"/>
      <x:c r="AQ211" s="82" t="s"/>
      <x:c r="AR211" s="82" t="s"/>
      <x:c r="AS211" s="82" t="s"/>
      <x:c r="AT211" s="82" t="s"/>
      <x:c r="AU211" s="82" t="s"/>
      <x:c r="AV211" s="82" t="s"/>
      <x:c r="AW211" s="82" t="s"/>
      <x:c r="AX211" s="82" t="s"/>
      <x:c r="AY211" s="82" t="s"/>
      <x:c r="AZ211" s="82" t="s"/>
      <x:c r="BA211" s="82" t="s"/>
      <x:c r="BB211" s="82" t="s"/>
      <x:c r="BC211" s="82" t="s"/>
      <x:c r="BD211" s="82" t="s"/>
      <x:c r="BE211" s="82" t="s"/>
      <x:c r="BF211" s="82" t="s"/>
      <x:c r="BG211" s="82" t="s"/>
      <x:c r="BH211" s="82" t="s"/>
      <x:c r="BI211" s="82" t="s"/>
      <x:c r="BJ211" s="82" t="s"/>
      <x:c r="BK211" s="82" t="s"/>
      <x:c r="BL211" s="82" t="s"/>
      <x:c r="BM211" s="82" t="s"/>
      <x:c r="BN211" s="82" t="s"/>
      <x:c r="BO211" s="82" t="s"/>
      <x:c r="BP211" s="82" t="s"/>
      <x:c r="BQ211" s="82" t="s"/>
      <x:c r="BR211" s="82" t="s"/>
    </x:row>
    <x:row r="212" spans="1:70" x14ac:dyDescent="0.25">
      <x:c r="A212" s="82" t="s">
        <x:v>106</x:v>
      </x:c>
      <x:c r="B212" s="82" t="s">
        <x:v>107</x:v>
      </x:c>
      <x:c r="C212" s="82" t="s">
        <x:v>21</x:v>
      </x:c>
      <x:c r="D212" s="85">
        <x:v>42107</x:v>
      </x:c>
      <x:c r="E212" s="82" t="n">
        <x:v>29754</x:v>
      </x:c>
      <x:c r="F212" s="102" t="n">
        <x:v>174.621759259259</x:v>
      </x:c>
      <x:c r="G212" s="102" t="n">
        <x:v>177.4875</x:v>
      </x:c>
      <x:c r="H212" s="82" t="s"/>
      <x:c r="I212" s="82" t="s"/>
      <x:c r="J212" s="82" t="s"/>
      <x:c r="K212" s="82" t="s"/>
      <x:c r="L212" s="82" t="s"/>
      <x:c r="M212" s="82" t="s"/>
      <x:c r="N212" s="82" t="s"/>
      <x:c r="O212" s="82" t="s"/>
      <x:c r="P212" s="82" t="s"/>
      <x:c r="Q212" s="82" t="s"/>
      <x:c r="R212" s="82" t="s"/>
      <x:c r="S212" s="82" t="s"/>
      <x:c r="T212" s="82" t="s"/>
      <x:c r="U212" s="82" t="s"/>
      <x:c r="V212" s="82" t="s"/>
      <x:c r="W212" s="82" t="s"/>
      <x:c r="X212" s="82" t="s"/>
      <x:c r="Y212" s="82" t="s"/>
      <x:c r="Z212" s="82" t="s"/>
      <x:c r="AA212" s="82" t="s"/>
      <x:c r="AB212" s="82" t="s"/>
      <x:c r="AC212" s="82" t="s"/>
      <x:c r="AD212" s="82" t="s"/>
      <x:c r="AE212" s="82" t="s"/>
      <x:c r="AF212" s="82" t="s"/>
      <x:c r="AG212" s="82" t="s"/>
      <x:c r="AH212" s="82" t="s"/>
      <x:c r="AI212" s="82" t="s"/>
      <x:c r="AJ212" s="82" t="s"/>
      <x:c r="AK212" s="82" t="s"/>
      <x:c r="AL212" s="82" t="s"/>
      <x:c r="AM212" s="82" t="s"/>
      <x:c r="AN212" s="82" t="s"/>
      <x:c r="AO212" s="82" t="s"/>
      <x:c r="AP212" s="82" t="s"/>
      <x:c r="AQ212" s="82" t="s"/>
      <x:c r="AR212" s="82" t="s"/>
      <x:c r="AS212" s="82" t="s"/>
      <x:c r="AT212" s="82" t="s"/>
      <x:c r="AU212" s="82" t="s"/>
      <x:c r="AV212" s="82" t="s"/>
      <x:c r="AW212" s="82" t="s"/>
      <x:c r="AX212" s="82" t="s"/>
      <x:c r="AY212" s="82" t="s"/>
      <x:c r="AZ212" s="82" t="s"/>
      <x:c r="BA212" s="82" t="s"/>
      <x:c r="BB212" s="82" t="s"/>
      <x:c r="BC212" s="82" t="s"/>
      <x:c r="BD212" s="82" t="s"/>
      <x:c r="BE212" s="82" t="s"/>
      <x:c r="BF212" s="82" t="s"/>
      <x:c r="BG212" s="82" t="s"/>
      <x:c r="BH212" s="82" t="s"/>
      <x:c r="BI212" s="82" t="s"/>
      <x:c r="BJ212" s="82" t="s"/>
      <x:c r="BK212" s="82" t="s"/>
      <x:c r="BL212" s="82" t="s"/>
      <x:c r="BM212" s="82" t="s"/>
      <x:c r="BN212" s="82" t="s"/>
      <x:c r="BO212" s="82" t="s"/>
      <x:c r="BP212" s="82" t="s"/>
      <x:c r="BQ212" s="82" t="s"/>
      <x:c r="BR212" s="82" t="s"/>
    </x:row>
    <x:row r="213" spans="1:70" x14ac:dyDescent="0.25">
      <x:c r="A213" s="82" t="s">
        <x:v>106</x:v>
      </x:c>
      <x:c r="B213" s="82" t="s">
        <x:v>107</x:v>
      </x:c>
      <x:c r="C213" s="82" t="s">
        <x:v>22</x:v>
      </x:c>
      <x:c r="D213" s="85">
        <x:v>42107</x:v>
      </x:c>
      <x:c r="E213" s="82" t="n">
        <x:v>29754</x:v>
      </x:c>
      <x:c r="F213" s="102" t="n">
        <x:v>0.484904351851851</x:v>
      </x:c>
      <x:c r="G213" s="102" t="n">
        <x:v>0.486064375</x:v>
      </x:c>
      <x:c r="H213" s="82" t="s"/>
      <x:c r="I213" s="82" t="s"/>
      <x:c r="J213" s="82" t="s"/>
      <x:c r="K213" s="82" t="s"/>
      <x:c r="L213" s="82" t="s"/>
      <x:c r="M213" s="82" t="s"/>
      <x:c r="N213" s="82" t="s"/>
      <x:c r="O213" s="82" t="s"/>
      <x:c r="P213" s="82" t="s"/>
      <x:c r="Q213" s="82" t="s"/>
      <x:c r="R213" s="82" t="s"/>
      <x:c r="S213" s="82" t="s"/>
      <x:c r="T213" s="82" t="s"/>
      <x:c r="U213" s="82" t="s"/>
      <x:c r="V213" s="82" t="s"/>
      <x:c r="W213" s="82" t="s"/>
      <x:c r="X213" s="82" t="s"/>
      <x:c r="Y213" s="82" t="s"/>
      <x:c r="Z213" s="82" t="s"/>
      <x:c r="AA213" s="82" t="s"/>
      <x:c r="AB213" s="82" t="s"/>
      <x:c r="AC213" s="82" t="s"/>
      <x:c r="AD213" s="82" t="s"/>
      <x:c r="AE213" s="82" t="s"/>
      <x:c r="AF213" s="82" t="s"/>
      <x:c r="AG213" s="82" t="s"/>
      <x:c r="AH213" s="82" t="s"/>
      <x:c r="AI213" s="82" t="s"/>
      <x:c r="AJ213" s="82" t="s"/>
      <x:c r="AK213" s="82" t="s"/>
      <x:c r="AL213" s="82" t="s"/>
      <x:c r="AM213" s="82" t="s"/>
      <x:c r="AN213" s="82" t="s"/>
      <x:c r="AO213" s="82" t="s"/>
      <x:c r="AP213" s="82" t="s"/>
      <x:c r="AQ213" s="82" t="s"/>
      <x:c r="AR213" s="82" t="s"/>
      <x:c r="AS213" s="82" t="s"/>
      <x:c r="AT213" s="82" t="s"/>
      <x:c r="AU213" s="82" t="s"/>
      <x:c r="AV213" s="82" t="s"/>
      <x:c r="AW213" s="82" t="s"/>
      <x:c r="AX213" s="82" t="s"/>
      <x:c r="AY213" s="82" t="s"/>
      <x:c r="AZ213" s="82" t="s"/>
      <x:c r="BA213" s="82" t="s"/>
      <x:c r="BB213" s="82" t="s"/>
      <x:c r="BC213" s="82" t="s"/>
      <x:c r="BD213" s="82" t="s"/>
      <x:c r="BE213" s="82" t="s"/>
      <x:c r="BF213" s="82" t="s"/>
      <x:c r="BG213" s="82" t="s"/>
      <x:c r="BH213" s="82" t="s"/>
      <x:c r="BI213" s="82" t="s"/>
      <x:c r="BJ213" s="82" t="s"/>
      <x:c r="BK213" s="82" t="s"/>
      <x:c r="BL213" s="82" t="s"/>
      <x:c r="BM213" s="82" t="s"/>
      <x:c r="BN213" s="82" t="s"/>
      <x:c r="BO213" s="82" t="s"/>
      <x:c r="BP213" s="82" t="s"/>
      <x:c r="BQ213" s="82" t="s"/>
      <x:c r="BR213" s="82" t="s"/>
    </x:row>
    <x:row r="214" spans="1:70" x14ac:dyDescent="0.25">
      <x:c r="A214" s="82" t="s">
        <x:v>106</x:v>
      </x:c>
      <x:c r="B214" s="82" t="s">
        <x:v>107</x:v>
      </x:c>
      <x:c r="C214" s="82" t="s">
        <x:v>23</x:v>
      </x:c>
      <x:c r="D214" s="85">
        <x:v>42107</x:v>
      </x:c>
      <x:c r="E214" s="82" t="n">
        <x:v>29754</x:v>
      </x:c>
      <x:c r="F214" s="102" t="n">
        <x:v>753.46</x:v>
      </x:c>
      <x:c r="G214" s="102" t="n">
        <x:v>767.14</x:v>
      </x:c>
      <x:c r="H214" s="82" t="s"/>
      <x:c r="I214" s="82" t="s"/>
      <x:c r="J214" s="82" t="s"/>
      <x:c r="K214" s="82" t="s"/>
      <x:c r="L214" s="82" t="s"/>
      <x:c r="M214" s="82" t="s"/>
      <x:c r="N214" s="82" t="s"/>
      <x:c r="O214" s="82" t="s"/>
      <x:c r="P214" s="82" t="s"/>
      <x:c r="Q214" s="82" t="s"/>
      <x:c r="R214" s="82" t="s"/>
      <x:c r="S214" s="82" t="s"/>
      <x:c r="T214" s="82" t="s"/>
      <x:c r="U214" s="82" t="s"/>
      <x:c r="V214" s="82" t="s"/>
      <x:c r="W214" s="82" t="s"/>
      <x:c r="X214" s="82" t="s"/>
      <x:c r="Y214" s="82" t="s"/>
      <x:c r="Z214" s="82" t="s"/>
      <x:c r="AA214" s="82" t="s"/>
      <x:c r="AB214" s="82" t="s"/>
      <x:c r="AC214" s="82" t="s"/>
      <x:c r="AD214" s="82" t="s"/>
      <x:c r="AE214" s="82" t="s"/>
      <x:c r="AF214" s="82" t="s"/>
      <x:c r="AG214" s="82" t="s"/>
      <x:c r="AH214" s="82" t="s"/>
      <x:c r="AI214" s="82" t="s"/>
      <x:c r="AJ214" s="82" t="s"/>
      <x:c r="AK214" s="82" t="s"/>
      <x:c r="AL214" s="82" t="s"/>
      <x:c r="AM214" s="82" t="s"/>
      <x:c r="AN214" s="82" t="s"/>
      <x:c r="AO214" s="82" t="s"/>
      <x:c r="AP214" s="82" t="s"/>
      <x:c r="AQ214" s="82" t="s"/>
      <x:c r="AR214" s="82" t="s"/>
      <x:c r="AS214" s="82" t="s"/>
      <x:c r="AT214" s="82" t="s"/>
      <x:c r="AU214" s="82" t="s"/>
      <x:c r="AV214" s="82" t="s"/>
      <x:c r="AW214" s="82" t="s"/>
      <x:c r="AX214" s="82" t="s"/>
      <x:c r="AY214" s="82" t="s"/>
      <x:c r="AZ214" s="82" t="s"/>
      <x:c r="BA214" s="82" t="s"/>
      <x:c r="BB214" s="82" t="s"/>
      <x:c r="BC214" s="82" t="s"/>
      <x:c r="BD214" s="82" t="s"/>
      <x:c r="BE214" s="82" t="s"/>
      <x:c r="BF214" s="82" t="s"/>
      <x:c r="BG214" s="82" t="s"/>
      <x:c r="BH214" s="82" t="s"/>
      <x:c r="BI214" s="82" t="s"/>
      <x:c r="BJ214" s="82" t="s"/>
      <x:c r="BK214" s="82" t="s"/>
      <x:c r="BL214" s="82" t="s"/>
      <x:c r="BM214" s="82" t="s"/>
      <x:c r="BN214" s="82" t="s"/>
      <x:c r="BO214" s="82" t="s"/>
      <x:c r="BP214" s="82" t="s"/>
      <x:c r="BQ214" s="82" t="s"/>
      <x:c r="BR214" s="82" t="s"/>
    </x:row>
    <x:row r="215" spans="1:70" x14ac:dyDescent="0.25">
      <x:c r="A215" s="82" t="s">
        <x:v>106</x:v>
      </x:c>
      <x:c r="B215" s="82" t="s">
        <x:v>107</x:v>
      </x:c>
      <x:c r="C215" s="82" t="s">
        <x:v>24</x:v>
      </x:c>
      <x:c r="D215" s="85">
        <x:v>42107</x:v>
      </x:c>
      <x:c r="E215" s="82" t="n">
        <x:v>29754</x:v>
      </x:c>
      <x:c r="F215" s="102" t="n">
        <x:v>86.714</x:v>
      </x:c>
      <x:c r="G215" s="102" t="n">
        <x:v>90.124</x:v>
      </x:c>
      <x:c r="H215" s="82" t="s"/>
      <x:c r="I215" s="82" t="s"/>
      <x:c r="J215" s="82" t="s"/>
      <x:c r="K215" s="82" t="s"/>
      <x:c r="L215" s="82" t="s"/>
      <x:c r="M215" s="82" t="s"/>
      <x:c r="N215" s="82" t="s"/>
      <x:c r="O215" s="82" t="s"/>
      <x:c r="P215" s="82" t="s"/>
      <x:c r="Q215" s="82" t="s"/>
      <x:c r="R215" s="82" t="s"/>
      <x:c r="S215" s="82" t="s"/>
      <x:c r="T215" s="82" t="s"/>
      <x:c r="U215" s="82" t="s"/>
      <x:c r="V215" s="82" t="s"/>
      <x:c r="W215" s="82" t="s"/>
      <x:c r="X215" s="82" t="s"/>
      <x:c r="Y215" s="82" t="s"/>
      <x:c r="Z215" s="82" t="s"/>
      <x:c r="AA215" s="82" t="s"/>
      <x:c r="AB215" s="82" t="s"/>
      <x:c r="AC215" s="82" t="s"/>
      <x:c r="AD215" s="82" t="s"/>
      <x:c r="AE215" s="82" t="s"/>
      <x:c r="AF215" s="82" t="s"/>
      <x:c r="AG215" s="82" t="s"/>
      <x:c r="AH215" s="82" t="s"/>
      <x:c r="AI215" s="82" t="s"/>
      <x:c r="AJ215" s="82" t="s"/>
      <x:c r="AK215" s="82" t="s"/>
      <x:c r="AL215" s="82" t="s"/>
      <x:c r="AM215" s="82" t="s"/>
      <x:c r="AN215" s="82" t="s"/>
      <x:c r="AO215" s="82" t="s"/>
      <x:c r="AP215" s="82" t="s"/>
      <x:c r="AQ215" s="82" t="s"/>
      <x:c r="AR215" s="82" t="s"/>
      <x:c r="AS215" s="82" t="s"/>
      <x:c r="AT215" s="82" t="s"/>
      <x:c r="AU215" s="82" t="s"/>
      <x:c r="AV215" s="82" t="s"/>
      <x:c r="AW215" s="82" t="s"/>
      <x:c r="AX215" s="82" t="s"/>
      <x:c r="AY215" s="82" t="s"/>
      <x:c r="AZ215" s="82" t="s"/>
      <x:c r="BA215" s="82" t="s"/>
      <x:c r="BB215" s="82" t="s"/>
      <x:c r="BC215" s="82" t="s"/>
      <x:c r="BD215" s="82" t="s"/>
      <x:c r="BE215" s="82" t="s"/>
      <x:c r="BF215" s="82" t="s"/>
      <x:c r="BG215" s="82" t="s"/>
      <x:c r="BH215" s="82" t="s"/>
      <x:c r="BI215" s="82" t="s"/>
      <x:c r="BJ215" s="82" t="s"/>
      <x:c r="BK215" s="82" t="s"/>
      <x:c r="BL215" s="82" t="s"/>
      <x:c r="BM215" s="82" t="s"/>
      <x:c r="BN215" s="82" t="s"/>
      <x:c r="BO215" s="82" t="s"/>
      <x:c r="BP215" s="82" t="s"/>
      <x:c r="BQ215" s="82" t="s"/>
      <x:c r="BR215" s="82" t="s"/>
    </x:row>
    <x:row r="216" spans="1:70" x14ac:dyDescent="0.25">
      <x:c r="A216" s="82" t="s">
        <x:v>106</x:v>
      </x:c>
      <x:c r="B216" s="82" t="s">
        <x:v>107</x:v>
      </x:c>
      <x:c r="C216" s="82" t="s">
        <x:v>117</x:v>
      </x:c>
      <x:c r="D216" s="85">
        <x:v>42107</x:v>
      </x:c>
      <x:c r="E216" s="82" t="n">
        <x:v>29754</x:v>
      </x:c>
      <x:c r="F216" s="82" t="n">
        <x:v>0</x:v>
      </x:c>
      <x:c r="G216" s="82" t="n">
        <x:v>0</x:v>
      </x:c>
      <x:c r="H216" s="82" t="s"/>
      <x:c r="I216" s="82" t="s"/>
      <x:c r="J216" s="82" t="s"/>
      <x:c r="K216" s="82" t="s"/>
      <x:c r="L216" s="82" t="s"/>
      <x:c r="M216" s="82" t="s"/>
      <x:c r="N216" s="82" t="s"/>
      <x:c r="O216" s="82" t="s"/>
      <x:c r="P216" s="82" t="s"/>
      <x:c r="Q216" s="82" t="s"/>
      <x:c r="R216" s="82" t="s"/>
      <x:c r="S216" s="82" t="s"/>
      <x:c r="T216" s="82" t="s"/>
      <x:c r="U216" s="82" t="s"/>
      <x:c r="V216" s="82" t="s"/>
      <x:c r="W216" s="82" t="s"/>
      <x:c r="X216" s="82" t="s"/>
      <x:c r="Y216" s="82" t="s"/>
      <x:c r="Z216" s="82" t="s"/>
      <x:c r="AA216" s="82" t="s"/>
      <x:c r="AB216" s="82" t="s"/>
      <x:c r="AC216" s="82" t="s"/>
      <x:c r="AD216" s="82" t="s"/>
      <x:c r="AE216" s="82" t="s"/>
      <x:c r="AF216" s="82" t="s"/>
      <x:c r="AG216" s="82" t="s"/>
      <x:c r="AH216" s="82" t="s"/>
      <x:c r="AI216" s="82" t="s"/>
      <x:c r="AJ216" s="82" t="s"/>
      <x:c r="AK216" s="82" t="s"/>
      <x:c r="AL216" s="82" t="s"/>
      <x:c r="AM216" s="82" t="s"/>
      <x:c r="AN216" s="82" t="s"/>
      <x:c r="AO216" s="82" t="s"/>
      <x:c r="AP216" s="82" t="s"/>
      <x:c r="AQ216" s="82" t="s"/>
      <x:c r="AR216" s="82" t="s"/>
      <x:c r="AS216" s="82" t="s"/>
      <x:c r="AT216" s="82" t="s"/>
      <x:c r="AU216" s="82" t="s"/>
      <x:c r="AV216" s="82" t="s"/>
      <x:c r="AW216" s="82" t="s"/>
      <x:c r="AX216" s="82" t="s"/>
      <x:c r="AY216" s="82" t="s"/>
      <x:c r="AZ216" s="82" t="s"/>
      <x:c r="BA216" s="82" t="s"/>
      <x:c r="BB216" s="82" t="s"/>
      <x:c r="BC216" s="82" t="s"/>
      <x:c r="BD216" s="82" t="s"/>
      <x:c r="BE216" s="82" t="s"/>
      <x:c r="BF216" s="82" t="s"/>
      <x:c r="BG216" s="82" t="s"/>
      <x:c r="BH216" s="82" t="s"/>
      <x:c r="BI216" s="82" t="s"/>
      <x:c r="BJ216" s="82" t="s"/>
      <x:c r="BK216" s="82" t="s"/>
      <x:c r="BL216" s="82" t="s"/>
      <x:c r="BM216" s="82" t="s"/>
      <x:c r="BN216" s="82" t="s"/>
      <x:c r="BO216" s="82" t="s"/>
      <x:c r="BP216" s="82" t="s"/>
      <x:c r="BQ216" s="82" t="s"/>
      <x:c r="BR216" s="82" t="s"/>
    </x:row>
    <x:row r="217" spans="1:70" x14ac:dyDescent="0.25">
      <x:c r="A217" s="82" t="s">
        <x:v>106</x:v>
      </x:c>
      <x:c r="B217" s="82" t="s">
        <x:v>107</x:v>
      </x:c>
      <x:c r="C217" s="82" t="s">
        <x:v>118</x:v>
      </x:c>
      <x:c r="D217" s="85">
        <x:v>42107</x:v>
      </x:c>
      <x:c r="E217" s="82" t="n">
        <x:v>29754</x:v>
      </x:c>
      <x:c r="F217" s="90" t="n">
        <x:v>117.3</x:v>
      </x:c>
      <x:c r="G217" s="90" t="n">
        <x:v>112.8</x:v>
      </x:c>
      <x:c r="H217" s="82" t="s"/>
      <x:c r="I217" s="82" t="s"/>
      <x:c r="J217" s="82" t="s"/>
      <x:c r="K217" s="82" t="s"/>
      <x:c r="L217" s="82" t="s"/>
      <x:c r="M217" s="82" t="s"/>
      <x:c r="N217" s="82" t="s"/>
      <x:c r="O217" s="82" t="s"/>
      <x:c r="P217" s="82" t="s"/>
      <x:c r="Q217" s="82" t="s"/>
      <x:c r="R217" s="82" t="s"/>
      <x:c r="S217" s="82" t="s"/>
      <x:c r="T217" s="82" t="s"/>
      <x:c r="U217" s="82" t="s"/>
      <x:c r="V217" s="82" t="s"/>
      <x:c r="W217" s="82" t="s"/>
      <x:c r="X217" s="82" t="s"/>
      <x:c r="Y217" s="82" t="s"/>
      <x:c r="Z217" s="82" t="s"/>
      <x:c r="AA217" s="82" t="s"/>
      <x:c r="AB217" s="82" t="s"/>
      <x:c r="AC217" s="82" t="s"/>
      <x:c r="AD217" s="82" t="s"/>
      <x:c r="AE217" s="82" t="s"/>
      <x:c r="AF217" s="82" t="s"/>
      <x:c r="AG217" s="82" t="s"/>
      <x:c r="AH217" s="82" t="s"/>
      <x:c r="AI217" s="82" t="s"/>
      <x:c r="AJ217" s="82" t="s"/>
      <x:c r="AK217" s="82" t="s"/>
      <x:c r="AL217" s="82" t="s"/>
      <x:c r="AM217" s="82" t="s"/>
      <x:c r="AN217" s="82" t="s"/>
      <x:c r="AO217" s="82" t="s"/>
      <x:c r="AP217" s="82" t="s"/>
      <x:c r="AQ217" s="82" t="s"/>
      <x:c r="AR217" s="82" t="s"/>
      <x:c r="AS217" s="82" t="s"/>
      <x:c r="AT217" s="82" t="s"/>
      <x:c r="AU217" s="82" t="s"/>
      <x:c r="AV217" s="82" t="s"/>
      <x:c r="AW217" s="82" t="s"/>
      <x:c r="AX217" s="82" t="s"/>
      <x:c r="AY217" s="82" t="s"/>
      <x:c r="AZ217" s="82" t="s"/>
      <x:c r="BA217" s="82" t="s"/>
      <x:c r="BB217" s="82" t="s"/>
      <x:c r="BC217" s="82" t="s"/>
      <x:c r="BD217" s="82" t="s"/>
      <x:c r="BE217" s="82" t="s"/>
      <x:c r="BF217" s="82" t="s"/>
      <x:c r="BG217" s="82" t="s"/>
      <x:c r="BH217" s="82" t="s"/>
      <x:c r="BI217" s="82" t="s"/>
      <x:c r="BJ217" s="82" t="s"/>
      <x:c r="BK217" s="82" t="s"/>
      <x:c r="BL217" s="82" t="s"/>
      <x:c r="BM217" s="82" t="s"/>
      <x:c r="BN217" s="82" t="s"/>
      <x:c r="BO217" s="82" t="s"/>
      <x:c r="BP217" s="82" t="s"/>
      <x:c r="BQ217" s="82" t="s"/>
      <x:c r="BR217" s="82" t="s"/>
    </x:row>
    <x:row r="218" spans="1:70" x14ac:dyDescent="0.25">
      <x:c r="A218" s="82" t="s">
        <x:v>106</x:v>
      </x:c>
      <x:c r="B218" s="82" t="s">
        <x:v>107</x:v>
      </x:c>
      <x:c r="C218" s="82" t="s">
        <x:v>119</x:v>
      </x:c>
      <x:c r="D218" s="85">
        <x:v>42107</x:v>
      </x:c>
      <x:c r="E218" s="82" t="n">
        <x:v>29754</x:v>
      </x:c>
      <x:c r="F218" s="90" t="n">
        <x:v>123.5</x:v>
      </x:c>
      <x:c r="G218" s="90" t="n">
        <x:v>117.1</x:v>
      </x:c>
      <x:c r="H218" s="82" t="s"/>
      <x:c r="I218" s="82" t="s"/>
      <x:c r="J218" s="82" t="s"/>
      <x:c r="K218" s="82" t="s"/>
      <x:c r="L218" s="82" t="s"/>
      <x:c r="M218" s="82" t="s"/>
      <x:c r="N218" s="82" t="s"/>
      <x:c r="O218" s="82" t="s"/>
      <x:c r="P218" s="82" t="s"/>
      <x:c r="Q218" s="82" t="s"/>
      <x:c r="R218" s="82" t="s"/>
      <x:c r="S218" s="82" t="s"/>
      <x:c r="T218" s="82" t="s"/>
      <x:c r="U218" s="82" t="s"/>
      <x:c r="V218" s="82" t="s"/>
      <x:c r="W218" s="82" t="s"/>
      <x:c r="X218" s="82" t="s"/>
      <x:c r="Y218" s="82" t="s"/>
      <x:c r="Z218" s="82" t="s"/>
      <x:c r="AA218" s="82" t="s"/>
      <x:c r="AB218" s="82" t="s"/>
      <x:c r="AC218" s="82" t="s"/>
      <x:c r="AD218" s="82" t="s"/>
      <x:c r="AE218" s="82" t="s"/>
      <x:c r="AF218" s="82" t="s"/>
      <x:c r="AG218" s="82" t="s"/>
      <x:c r="AH218" s="82" t="s"/>
      <x:c r="AI218" s="82" t="s"/>
      <x:c r="AJ218" s="82" t="s"/>
      <x:c r="AK218" s="82" t="s"/>
      <x:c r="AL218" s="82" t="s"/>
      <x:c r="AM218" s="82" t="s"/>
      <x:c r="AN218" s="82" t="s"/>
      <x:c r="AO218" s="82" t="s"/>
      <x:c r="AP218" s="82" t="s"/>
      <x:c r="AQ218" s="82" t="s"/>
      <x:c r="AR218" s="82" t="s"/>
      <x:c r="AS218" s="82" t="s"/>
      <x:c r="AT218" s="82" t="s"/>
      <x:c r="AU218" s="82" t="s"/>
      <x:c r="AV218" s="82" t="s"/>
      <x:c r="AW218" s="82" t="s"/>
      <x:c r="AX218" s="82" t="s"/>
      <x:c r="AY218" s="82" t="s"/>
      <x:c r="AZ218" s="82" t="s"/>
      <x:c r="BA218" s="82" t="s"/>
      <x:c r="BB218" s="82" t="s"/>
      <x:c r="BC218" s="82" t="s"/>
      <x:c r="BD218" s="82" t="s"/>
      <x:c r="BE218" s="82" t="s"/>
      <x:c r="BF218" s="82" t="s"/>
      <x:c r="BG218" s="82" t="s"/>
      <x:c r="BH218" s="82" t="s"/>
      <x:c r="BI218" s="82" t="s"/>
      <x:c r="BJ218" s="82" t="s"/>
      <x:c r="BK218" s="82" t="s"/>
      <x:c r="BL218" s="82" t="s"/>
      <x:c r="BM218" s="82" t="s"/>
      <x:c r="BN218" s="82" t="s"/>
      <x:c r="BO218" s="82" t="s"/>
      <x:c r="BP218" s="82" t="s"/>
      <x:c r="BQ218" s="82" t="s"/>
      <x:c r="BR218" s="82" t="s"/>
    </x:row>
    <x:row r="219" spans="1:70" customFormat="1" ht="15.75" customHeight="1" thickBot="1" x14ac:dyDescent="0.3">
      <x:c r="A219" s="106" t="s">
        <x:v>106</x:v>
      </x:c>
      <x:c r="B219" s="106" t="s">
        <x:v>107</x:v>
      </x:c>
      <x:c r="C219" s="106" t="s">
        <x:v>120</x:v>
      </x:c>
      <x:c r="D219" s="105">
        <x:v>42107</x:v>
      </x:c>
      <x:c r="E219" s="106" t="n">
        <x:v>29754</x:v>
      </x:c>
      <x:c r="F219" s="126" t="n">
        <x:v>6.2</x:v>
      </x:c>
      <x:c r="G219" s="126" t="n">
        <x:v>4.3</x:v>
      </x:c>
      <x:c r="H219" s="106" t="s"/>
      <x:c r="I219" s="106" t="s"/>
      <x:c r="J219" s="82" t="s"/>
      <x:c r="K219" s="82" t="s"/>
      <x:c r="L219" s="82" t="s"/>
      <x:c r="M219" s="82" t="s"/>
      <x:c r="N219" s="82" t="s"/>
      <x:c r="O219" s="82" t="s"/>
      <x:c r="P219" s="82" t="s"/>
      <x:c r="Q219" s="82" t="s"/>
      <x:c r="R219" s="82" t="s"/>
      <x:c r="S219" s="82" t="s"/>
      <x:c r="T219" s="82" t="s"/>
      <x:c r="U219" s="82" t="s"/>
      <x:c r="V219" s="82" t="s"/>
      <x:c r="W219" s="82" t="s"/>
      <x:c r="X219" s="82" t="s"/>
      <x:c r="Y219" s="82" t="s"/>
      <x:c r="Z219" s="82" t="s"/>
      <x:c r="AA219" s="82" t="s"/>
      <x:c r="AB219" s="82" t="s"/>
      <x:c r="AC219" s="82" t="s"/>
      <x:c r="AD219" s="82" t="s"/>
      <x:c r="AE219" s="82" t="s"/>
      <x:c r="AF219" s="82" t="s"/>
      <x:c r="AG219" s="82" t="s"/>
      <x:c r="AH219" s="82" t="s"/>
      <x:c r="AI219" s="82" t="s"/>
      <x:c r="AJ219" s="82" t="s"/>
      <x:c r="AK219" s="82" t="s"/>
      <x:c r="AL219" s="82" t="s"/>
      <x:c r="AM219" s="82" t="s"/>
      <x:c r="AN219" s="82" t="s"/>
      <x:c r="AO219" s="82" t="s"/>
      <x:c r="AP219" s="82" t="s"/>
      <x:c r="AQ219" s="82" t="s"/>
      <x:c r="AR219" s="82" t="s"/>
      <x:c r="AS219" s="82" t="s"/>
      <x:c r="AT219" s="82" t="s"/>
      <x:c r="AU219" s="82" t="s"/>
      <x:c r="AV219" s="82" t="s"/>
      <x:c r="AW219" s="82" t="s"/>
      <x:c r="AX219" s="82" t="s"/>
      <x:c r="AY219" s="82" t="s"/>
      <x:c r="AZ219" s="82" t="s"/>
      <x:c r="BA219" s="82" t="s"/>
      <x:c r="BB219" s="82" t="s"/>
      <x:c r="BC219" s="82" t="s"/>
      <x:c r="BD219" s="82" t="s"/>
      <x:c r="BE219" s="82" t="s"/>
      <x:c r="BF219" s="82" t="s"/>
      <x:c r="BG219" s="82" t="s"/>
      <x:c r="BH219" s="82" t="s"/>
      <x:c r="BI219" s="82" t="s"/>
      <x:c r="BJ219" s="82" t="s"/>
      <x:c r="BK219" s="82" t="s"/>
      <x:c r="BL219" s="82" t="s"/>
      <x:c r="BM219" s="82" t="s"/>
      <x:c r="BN219" s="82" t="s"/>
      <x:c r="BO219" s="82" t="s"/>
      <x:c r="BP219" s="82" t="s"/>
      <x:c r="BQ219" s="82" t="s"/>
      <x:c r="BR219" s="82" t="s"/>
    </x:row>
    <x:row r="220" spans="1:70" x14ac:dyDescent="0.25">
      <x:c r="A220" s="82" t="s">
        <x:v>106</x:v>
      </x:c>
      <x:c r="B220" s="82" t="s">
        <x:v>107</x:v>
      </x:c>
      <x:c r="C220" s="82" t="s">
        <x:v>108</x:v>
      </x:c>
      <x:c r="D220" s="85">
        <x:v>42107</x:v>
      </x:c>
      <x:c r="E220" s="82" t="n">
        <x:v>29764</x:v>
      </x:c>
      <x:c r="F220" s="86" t="n">
        <x:v>0.120522375268311</x:v>
      </x:c>
      <x:c r="G220" s="86" t="n">
        <x:v>0.110799693677045</x:v>
      </x:c>
      <x:c r="H220" s="86" t="n">
        <x:v>0.124479733986024</x:v>
      </x:c>
      <x:c r="I220" s="86" t="n">
        <x:v>0.16240105683148</x:v>
      </x:c>
      <x:c r="J220" s="82" t="s"/>
      <x:c r="K220" s="82" t="s"/>
      <x:c r="L220" s="82" t="s"/>
      <x:c r="M220" s="82" t="s"/>
      <x:c r="N220" s="82" t="s"/>
      <x:c r="O220" s="82" t="s"/>
      <x:c r="P220" s="82" t="s"/>
      <x:c r="Q220" s="82" t="s"/>
      <x:c r="R220" s="82" t="s"/>
      <x:c r="S220" s="82" t="s"/>
      <x:c r="T220" s="82" t="s"/>
      <x:c r="U220" s="82" t="s"/>
      <x:c r="V220" s="82" t="s"/>
      <x:c r="W220" s="82" t="s"/>
      <x:c r="X220" s="82" t="s"/>
      <x:c r="Y220" s="82" t="s"/>
      <x:c r="Z220" s="82" t="s"/>
      <x:c r="AA220" s="82" t="s"/>
      <x:c r="AB220" s="82" t="s"/>
      <x:c r="AC220" s="82" t="s"/>
      <x:c r="AD220" s="82" t="s"/>
      <x:c r="AE220" s="82" t="s"/>
      <x:c r="AF220" s="82" t="s"/>
      <x:c r="AG220" s="82" t="s"/>
      <x:c r="AH220" s="82" t="s"/>
      <x:c r="AI220" s="82" t="s"/>
      <x:c r="AJ220" s="82" t="s"/>
      <x:c r="AK220" s="82" t="s"/>
      <x:c r="AL220" s="82" t="s"/>
      <x:c r="AM220" s="82" t="s"/>
      <x:c r="AN220" s="82" t="s"/>
      <x:c r="AO220" s="82" t="s"/>
      <x:c r="AP220" s="82" t="s"/>
      <x:c r="AQ220" s="82" t="s"/>
      <x:c r="AR220" s="82" t="s"/>
      <x:c r="AS220" s="82" t="s"/>
      <x:c r="AT220" s="82" t="s"/>
      <x:c r="AU220" s="82" t="s"/>
      <x:c r="AV220" s="82" t="s"/>
      <x:c r="AW220" s="82" t="s"/>
      <x:c r="AX220" s="82" t="s"/>
      <x:c r="AY220" s="82" t="s"/>
      <x:c r="AZ220" s="82" t="s"/>
      <x:c r="BA220" s="82" t="s"/>
      <x:c r="BB220" s="82" t="s"/>
      <x:c r="BC220" s="82" t="s"/>
      <x:c r="BD220" s="82" t="s"/>
      <x:c r="BE220" s="82" t="s"/>
      <x:c r="BF220" s="82" t="s"/>
      <x:c r="BG220" s="82" t="s"/>
      <x:c r="BH220" s="82" t="s"/>
      <x:c r="BI220" s="82" t="s"/>
      <x:c r="BJ220" s="82" t="s"/>
      <x:c r="BK220" s="82" t="s"/>
      <x:c r="BL220" s="82" t="s"/>
      <x:c r="BM220" s="82" t="s"/>
      <x:c r="BN220" s="82" t="s"/>
      <x:c r="BO220" s="82" t="s"/>
      <x:c r="BP220" s="82" t="s"/>
      <x:c r="BQ220" s="82" t="s"/>
      <x:c r="BR220" s="82" t="s"/>
    </x:row>
    <x:row r="221" spans="1:70" x14ac:dyDescent="0.25">
      <x:c r="A221" s="82" t="s">
        <x:v>106</x:v>
      </x:c>
      <x:c r="B221" s="82" t="s">
        <x:v>107</x:v>
      </x:c>
      <x:c r="C221" s="82" t="s">
        <x:v>109</x:v>
      </x:c>
      <x:c r="D221" s="85">
        <x:v>42107</x:v>
      </x:c>
      <x:c r="E221" s="82" t="n">
        <x:v>29764</x:v>
      </x:c>
      <x:c r="F221" s="86" t="n">
        <x:v>2.80463226993983</x:v>
      </x:c>
      <x:c r="G221" s="86" t="n">
        <x:v>2.30669241946242</x:v>
      </x:c>
      <x:c r="H221" s="86" t="n">
        <x:v>2.27833533667369</x:v>
      </x:c>
      <x:c r="I221" s="86" t="n">
        <x:v>2.24492417110908</x:v>
      </x:c>
      <x:c r="J221" s="82" t="s"/>
      <x:c r="K221" s="82" t="s"/>
      <x:c r="L221" s="82" t="s"/>
      <x:c r="M221" s="82" t="s"/>
      <x:c r="N221" s="82" t="s"/>
      <x:c r="O221" s="82" t="s"/>
      <x:c r="P221" s="82" t="s"/>
      <x:c r="Q221" s="82" t="s"/>
      <x:c r="R221" s="82" t="s"/>
      <x:c r="S221" s="82" t="s"/>
      <x:c r="T221" s="82" t="s"/>
      <x:c r="U221" s="82" t="s"/>
      <x:c r="V221" s="82" t="s"/>
      <x:c r="W221" s="82" t="s"/>
      <x:c r="X221" s="82" t="s"/>
      <x:c r="Y221" s="82" t="s"/>
      <x:c r="Z221" s="82" t="s"/>
      <x:c r="AA221" s="82" t="s"/>
      <x:c r="AB221" s="82" t="s"/>
      <x:c r="AC221" s="82" t="s"/>
      <x:c r="AD221" s="82" t="s"/>
      <x:c r="AE221" s="82" t="s"/>
      <x:c r="AF221" s="82" t="s"/>
      <x:c r="AG221" s="82" t="s"/>
      <x:c r="AH221" s="82" t="s"/>
      <x:c r="AI221" s="82" t="s"/>
      <x:c r="AJ221" s="82" t="s"/>
      <x:c r="AK221" s="82" t="s"/>
      <x:c r="AL221" s="82" t="s"/>
      <x:c r="AM221" s="82" t="s"/>
      <x:c r="AN221" s="82" t="s"/>
      <x:c r="AO221" s="82" t="s"/>
      <x:c r="AP221" s="82" t="s"/>
      <x:c r="AQ221" s="82" t="s"/>
      <x:c r="AR221" s="82" t="s"/>
      <x:c r="AS221" s="82" t="s"/>
      <x:c r="AT221" s="82" t="s"/>
      <x:c r="AU221" s="82" t="s"/>
      <x:c r="AV221" s="82" t="s"/>
      <x:c r="AW221" s="82" t="s"/>
      <x:c r="AX221" s="82" t="s"/>
      <x:c r="AY221" s="82" t="s"/>
      <x:c r="AZ221" s="82" t="s"/>
      <x:c r="BA221" s="82" t="s"/>
      <x:c r="BB221" s="82" t="s"/>
      <x:c r="BC221" s="82" t="s"/>
      <x:c r="BD221" s="82" t="s"/>
      <x:c r="BE221" s="82" t="s"/>
      <x:c r="BF221" s="82" t="s"/>
      <x:c r="BG221" s="82" t="s"/>
      <x:c r="BH221" s="82" t="s"/>
      <x:c r="BI221" s="82" t="s"/>
      <x:c r="BJ221" s="82" t="s"/>
      <x:c r="BK221" s="82" t="s"/>
      <x:c r="BL221" s="82" t="s"/>
      <x:c r="BM221" s="82" t="s"/>
      <x:c r="BN221" s="82" t="s"/>
      <x:c r="BO221" s="82" t="s"/>
      <x:c r="BP221" s="82" t="s"/>
      <x:c r="BQ221" s="82" t="s"/>
      <x:c r="BR221" s="82" t="s"/>
    </x:row>
    <x:row r="222" spans="1:70" x14ac:dyDescent="0.25">
      <x:c r="A222" s="82" t="s">
        <x:v>106</x:v>
      </x:c>
      <x:c r="B222" s="82" t="s">
        <x:v>107</x:v>
      </x:c>
      <x:c r="C222" s="82" t="s">
        <x:v>110</x:v>
      </x:c>
      <x:c r="D222" s="85">
        <x:v>42107</x:v>
      </x:c>
      <x:c r="E222" s="82" t="n">
        <x:v>29764</x:v>
      </x:c>
      <x:c r="F222" s="86" t="n">
        <x:v>0.367347818935878</x:v>
      </x:c>
      <x:c r="G222" s="127" t="n">
        <x:v>0.385820909108298</x:v>
      </x:c>
      <x:c r="H222" s="86" t="n">
        <x:v>0.280925332647249</x:v>
      </x:c>
      <x:c r="I222" s="86" t="n">
        <x:v>0.283614303088746</x:v>
      </x:c>
      <x:c r="J222" s="82" t="s"/>
      <x:c r="K222" s="82" t="s"/>
      <x:c r="L222" s="82" t="s"/>
      <x:c r="M222" s="82" t="s"/>
      <x:c r="N222" s="82" t="s"/>
      <x:c r="O222" s="82" t="s"/>
      <x:c r="P222" s="82" t="s"/>
      <x:c r="Q222" s="82" t="s"/>
      <x:c r="R222" s="82" t="s"/>
      <x:c r="S222" s="82" t="s"/>
      <x:c r="T222" s="82" t="s"/>
      <x:c r="U222" s="82" t="s"/>
      <x:c r="V222" s="82" t="s"/>
      <x:c r="W222" s="82" t="s"/>
      <x:c r="X222" s="82" t="s"/>
      <x:c r="Y222" s="82" t="s"/>
      <x:c r="Z222" s="82" t="s"/>
      <x:c r="AA222" s="82" t="s"/>
      <x:c r="AB222" s="82" t="s"/>
      <x:c r="AC222" s="82" t="s"/>
      <x:c r="AD222" s="82" t="s"/>
      <x:c r="AE222" s="82" t="s"/>
      <x:c r="AF222" s="82" t="s"/>
      <x:c r="AG222" s="82" t="s"/>
      <x:c r="AH222" s="82" t="s"/>
      <x:c r="AI222" s="82" t="s"/>
      <x:c r="AJ222" s="82" t="s"/>
      <x:c r="AK222" s="82" t="s"/>
      <x:c r="AL222" s="82" t="s"/>
      <x:c r="AM222" s="82" t="s"/>
      <x:c r="AN222" s="82" t="s"/>
      <x:c r="AO222" s="82" t="s"/>
      <x:c r="AP222" s="82" t="s"/>
      <x:c r="AQ222" s="82" t="s"/>
      <x:c r="AR222" s="82" t="s"/>
      <x:c r="AS222" s="82" t="s"/>
      <x:c r="AT222" s="82" t="s"/>
      <x:c r="AU222" s="82" t="s"/>
      <x:c r="AV222" s="82" t="s"/>
      <x:c r="AW222" s="82" t="s"/>
      <x:c r="AX222" s="82" t="s"/>
      <x:c r="AY222" s="82" t="s"/>
      <x:c r="AZ222" s="82" t="s"/>
      <x:c r="BA222" s="82" t="s"/>
      <x:c r="BB222" s="82" t="s"/>
      <x:c r="BC222" s="82" t="s"/>
      <x:c r="BD222" s="82" t="s"/>
      <x:c r="BE222" s="82" t="s"/>
      <x:c r="BF222" s="82" t="s"/>
      <x:c r="BG222" s="82" t="s"/>
      <x:c r="BH222" s="82" t="s"/>
      <x:c r="BI222" s="82" t="s"/>
      <x:c r="BJ222" s="82" t="s"/>
      <x:c r="BK222" s="82" t="s"/>
      <x:c r="BL222" s="82" t="s"/>
      <x:c r="BM222" s="82" t="s"/>
      <x:c r="BN222" s="82" t="s"/>
      <x:c r="BO222" s="82" t="s"/>
      <x:c r="BP222" s="82" t="s"/>
      <x:c r="BQ222" s="82" t="s"/>
      <x:c r="BR222" s="82" t="s"/>
    </x:row>
    <x:row r="223" spans="1:70" x14ac:dyDescent="0.25">
      <x:c r="A223" s="82" t="s">
        <x:v>106</x:v>
      </x:c>
      <x:c r="B223" s="82" t="s">
        <x:v>107</x:v>
      </x:c>
      <x:c r="C223" s="82" t="s">
        <x:v>111</x:v>
      </x:c>
      <x:c r="D223" s="85">
        <x:v>42107</x:v>
      </x:c>
      <x:c r="E223" s="82" t="n">
        <x:v>29764</x:v>
      </x:c>
      <x:c r="F223" s="86" t="n">
        <x:v>4.02018334484425</x:v>
      </x:c>
      <x:c r="G223" s="127" t="n">
        <x:v>5.02554681925537</x:v>
      </x:c>
      <x:c r="H223" s="86" t="n">
        <x:v>5.07838202286841</x:v>
      </x:c>
      <x:c r="I223" s="86" t="n">
        <x:v>5.51790889260012</x:v>
      </x:c>
      <x:c r="J223" s="82" t="s"/>
      <x:c r="K223" s="82" t="s"/>
      <x:c r="L223" s="82" t="s"/>
      <x:c r="M223" s="82" t="s"/>
      <x:c r="N223" s="82" t="s"/>
      <x:c r="O223" s="82" t="s"/>
      <x:c r="P223" s="82" t="s"/>
      <x:c r="Q223" s="82" t="s"/>
      <x:c r="R223" s="82" t="s"/>
      <x:c r="S223" s="82" t="s"/>
      <x:c r="T223" s="82" t="s"/>
      <x:c r="U223" s="82" t="s"/>
      <x:c r="V223" s="82" t="s"/>
      <x:c r="W223" s="82" t="s"/>
      <x:c r="X223" s="82" t="s"/>
      <x:c r="Y223" s="82" t="s"/>
      <x:c r="Z223" s="82" t="s"/>
      <x:c r="AA223" s="82" t="s"/>
      <x:c r="AB223" s="82" t="s"/>
      <x:c r="AC223" s="82" t="s"/>
      <x:c r="AD223" s="82" t="s"/>
      <x:c r="AE223" s="82" t="s"/>
      <x:c r="AF223" s="82" t="s"/>
      <x:c r="AG223" s="82" t="s"/>
      <x:c r="AH223" s="82" t="s"/>
      <x:c r="AI223" s="82" t="s"/>
      <x:c r="AJ223" s="82" t="s"/>
      <x:c r="AK223" s="82" t="s"/>
      <x:c r="AL223" s="82" t="s"/>
      <x:c r="AM223" s="82" t="s"/>
      <x:c r="AN223" s="82" t="s"/>
      <x:c r="AO223" s="82" t="s"/>
      <x:c r="AP223" s="82" t="s"/>
      <x:c r="AQ223" s="82" t="s"/>
      <x:c r="AR223" s="82" t="s"/>
      <x:c r="AS223" s="82" t="s"/>
      <x:c r="AT223" s="82" t="s"/>
      <x:c r="AU223" s="82" t="s"/>
      <x:c r="AV223" s="82" t="s"/>
      <x:c r="AW223" s="82" t="s"/>
      <x:c r="AX223" s="82" t="s"/>
      <x:c r="AY223" s="82" t="s"/>
      <x:c r="AZ223" s="82" t="s"/>
      <x:c r="BA223" s="82" t="s"/>
      <x:c r="BB223" s="82" t="s"/>
      <x:c r="BC223" s="82" t="s"/>
      <x:c r="BD223" s="82" t="s"/>
      <x:c r="BE223" s="82" t="s"/>
      <x:c r="BF223" s="82" t="s"/>
      <x:c r="BG223" s="82" t="s"/>
      <x:c r="BH223" s="82" t="s"/>
      <x:c r="BI223" s="82" t="s"/>
      <x:c r="BJ223" s="82" t="s"/>
      <x:c r="BK223" s="82" t="s"/>
      <x:c r="BL223" s="82" t="s"/>
      <x:c r="BM223" s="82" t="s"/>
      <x:c r="BN223" s="82" t="s"/>
      <x:c r="BO223" s="82" t="s"/>
      <x:c r="BP223" s="82" t="s"/>
      <x:c r="BQ223" s="82" t="s"/>
      <x:c r="BR223" s="82" t="s"/>
    </x:row>
    <x:row r="224" spans="1:70" x14ac:dyDescent="0.25">
      <x:c r="A224" s="82" t="s">
        <x:v>106</x:v>
      </x:c>
      <x:c r="B224" s="82" t="s">
        <x:v>107</x:v>
      </x:c>
      <x:c r="C224" s="82" t="s">
        <x:v>112</x:v>
      </x:c>
      <x:c r="D224" s="85">
        <x:v>42107</x:v>
      </x:c>
      <x:c r="E224" s="82" t="n">
        <x:v>29764</x:v>
      </x:c>
      <x:c r="F224" s="82" t="n">
        <x:v>12.0433929917541</x:v>
      </x:c>
      <x:c r="G224" s="82" t="n">
        <x:v>15.0551927986999</x:v>
      </x:c>
      <x:c r="H224" s="82" t="n">
        <x:v>15.2134729233433</x:v>
      </x:c>
      <x:c r="I224" s="82" t="n">
        <x:v>16.5301777520927</x:v>
      </x:c>
      <x:c r="J224" s="82" t="s"/>
      <x:c r="K224" s="82" t="s"/>
      <x:c r="L224" s="82" t="s"/>
      <x:c r="M224" s="82" t="s"/>
      <x:c r="N224" s="82" t="s"/>
      <x:c r="O224" s="82" t="s"/>
      <x:c r="P224" s="82" t="s"/>
      <x:c r="Q224" s="82" t="s"/>
      <x:c r="R224" s="82" t="s"/>
      <x:c r="S224" s="82" t="s"/>
      <x:c r="T224" s="82" t="s"/>
      <x:c r="U224" s="82" t="s"/>
      <x:c r="V224" s="82" t="s"/>
      <x:c r="W224" s="82" t="s"/>
      <x:c r="X224" s="82" t="s"/>
      <x:c r="Y224" s="82" t="s"/>
      <x:c r="Z224" s="82" t="s"/>
      <x:c r="AA224" s="82" t="s"/>
      <x:c r="AB224" s="82" t="s"/>
      <x:c r="AC224" s="82" t="s"/>
      <x:c r="AD224" s="82" t="s"/>
      <x:c r="AE224" s="82" t="s"/>
      <x:c r="AF224" s="82" t="s"/>
      <x:c r="AG224" s="82" t="s"/>
      <x:c r="AH224" s="82" t="s"/>
      <x:c r="AI224" s="82" t="s"/>
      <x:c r="AJ224" s="82" t="s"/>
      <x:c r="AK224" s="82" t="s"/>
      <x:c r="AL224" s="82" t="s"/>
      <x:c r="AM224" s="82" t="s"/>
      <x:c r="AN224" s="82" t="s"/>
      <x:c r="AO224" s="82" t="s"/>
      <x:c r="AP224" s="82" t="s"/>
      <x:c r="AQ224" s="82" t="s"/>
      <x:c r="AR224" s="82" t="s"/>
      <x:c r="AS224" s="82" t="s"/>
      <x:c r="AT224" s="82" t="s"/>
      <x:c r="AU224" s="82" t="s"/>
      <x:c r="AV224" s="82" t="s"/>
      <x:c r="AW224" s="82" t="s"/>
      <x:c r="AX224" s="82" t="s"/>
      <x:c r="AY224" s="82" t="s"/>
      <x:c r="AZ224" s="82" t="s"/>
      <x:c r="BA224" s="82" t="s"/>
      <x:c r="BB224" s="82" t="s"/>
      <x:c r="BC224" s="82" t="s"/>
      <x:c r="BD224" s="82" t="s"/>
      <x:c r="BE224" s="82" t="s"/>
      <x:c r="BF224" s="82" t="s"/>
      <x:c r="BG224" s="82" t="s"/>
      <x:c r="BH224" s="82" t="s"/>
      <x:c r="BI224" s="82" t="s"/>
      <x:c r="BJ224" s="82" t="s"/>
      <x:c r="BK224" s="82" t="s"/>
      <x:c r="BL224" s="82" t="s"/>
      <x:c r="BM224" s="82" t="s"/>
      <x:c r="BN224" s="82" t="s"/>
      <x:c r="BO224" s="82" t="s"/>
      <x:c r="BP224" s="82" t="s"/>
      <x:c r="BQ224" s="82" t="s"/>
      <x:c r="BR224" s="82" t="s"/>
    </x:row>
    <x:row r="225" spans="1:70" x14ac:dyDescent="0.25">
      <x:c r="A225" s="82" t="s">
        <x:v>106</x:v>
      </x:c>
      <x:c r="B225" s="82" t="s">
        <x:v>107</x:v>
      </x:c>
      <x:c r="C225" s="82" t="s">
        <x:v>113</x:v>
      </x:c>
      <x:c r="D225" s="85">
        <x:v>42107</x:v>
      </x:c>
      <x:c r="E225" s="82" t="n">
        <x:v>29764</x:v>
      </x:c>
      <x:c r="F225" s="88" t="n">
        <x:v>-8.025</x:v>
      </x:c>
      <x:c r="G225" s="88" t="n">
        <x:v>-8.035</x:v>
      </x:c>
      <x:c r="H225" s="82" t="s"/>
      <x:c r="I225" s="82" t="s"/>
      <x:c r="J225" s="82" t="s"/>
      <x:c r="K225" s="82" t="s"/>
      <x:c r="L225" s="82" t="s"/>
      <x:c r="M225" s="82" t="s"/>
      <x:c r="N225" s="82" t="s"/>
      <x:c r="O225" s="82" t="s"/>
      <x:c r="P225" s="82" t="s"/>
      <x:c r="Q225" s="82" t="s"/>
      <x:c r="R225" s="82" t="s"/>
      <x:c r="S225" s="82" t="s"/>
      <x:c r="T225" s="82" t="s"/>
      <x:c r="U225" s="82" t="s"/>
      <x:c r="V225" s="82" t="s"/>
      <x:c r="W225" s="82" t="s"/>
      <x:c r="X225" s="82" t="s"/>
      <x:c r="Y225" s="82" t="s"/>
      <x:c r="Z225" s="82" t="s"/>
      <x:c r="AA225" s="82" t="s"/>
      <x:c r="AB225" s="82" t="s"/>
      <x:c r="AC225" s="82" t="s"/>
      <x:c r="AD225" s="82" t="s"/>
      <x:c r="AE225" s="82" t="s"/>
      <x:c r="AF225" s="82" t="s"/>
      <x:c r="AG225" s="82" t="s"/>
      <x:c r="AH225" s="82" t="s"/>
      <x:c r="AI225" s="82" t="s"/>
      <x:c r="AJ225" s="82" t="s"/>
      <x:c r="AK225" s="82" t="s"/>
      <x:c r="AL225" s="82" t="s"/>
      <x:c r="AM225" s="82" t="s"/>
      <x:c r="AN225" s="82" t="s"/>
      <x:c r="AO225" s="82" t="s"/>
      <x:c r="AP225" s="82" t="s"/>
      <x:c r="AQ225" s="82" t="s"/>
      <x:c r="AR225" s="82" t="s"/>
      <x:c r="AS225" s="82" t="s"/>
      <x:c r="AT225" s="82" t="s"/>
      <x:c r="AU225" s="82" t="s"/>
      <x:c r="AV225" s="82" t="s"/>
      <x:c r="AW225" s="82" t="s"/>
      <x:c r="AX225" s="82" t="s"/>
      <x:c r="AY225" s="82" t="s"/>
      <x:c r="AZ225" s="82" t="s"/>
      <x:c r="BA225" s="82" t="s"/>
      <x:c r="BB225" s="82" t="s"/>
      <x:c r="BC225" s="82" t="s"/>
      <x:c r="BD225" s="82" t="s"/>
      <x:c r="BE225" s="82" t="s"/>
      <x:c r="BF225" s="82" t="s"/>
      <x:c r="BG225" s="82" t="s"/>
      <x:c r="BH225" s="82" t="s"/>
      <x:c r="BI225" s="82" t="s"/>
      <x:c r="BJ225" s="82" t="s"/>
      <x:c r="BK225" s="82" t="s"/>
      <x:c r="BL225" s="82" t="s"/>
      <x:c r="BM225" s="82" t="s"/>
      <x:c r="BN225" s="82" t="s"/>
      <x:c r="BO225" s="82" t="s"/>
      <x:c r="BP225" s="82" t="s"/>
      <x:c r="BQ225" s="82" t="s"/>
      <x:c r="BR225" s="82" t="s"/>
    </x:row>
    <x:row r="226" spans="1:70" x14ac:dyDescent="0.25">
      <x:c r="A226" s="82" t="s">
        <x:v>106</x:v>
      </x:c>
      <x:c r="B226" s="82" t="s">
        <x:v>107</x:v>
      </x:c>
      <x:c r="C226" s="82" t="s">
        <x:v>114</x:v>
      </x:c>
      <x:c r="D226" s="85">
        <x:v>42107</x:v>
      </x:c>
      <x:c r="E226" s="82" t="n">
        <x:v>29764</x:v>
      </x:c>
      <x:c r="F226" s="88" t="n">
        <x:v>0.724</x:v>
      </x:c>
      <x:c r="G226" s="88" t="n">
        <x:v>0.864</x:v>
      </x:c>
      <x:c r="H226" s="82" t="s"/>
      <x:c r="I226" s="82" t="s"/>
      <x:c r="J226" s="82" t="s"/>
      <x:c r="K226" s="82" t="s"/>
      <x:c r="L226" s="82" t="s"/>
      <x:c r="M226" s="82" t="s"/>
      <x:c r="N226" s="82" t="s"/>
      <x:c r="O226" s="82" t="s"/>
      <x:c r="P226" s="82" t="s"/>
      <x:c r="Q226" s="82" t="s"/>
      <x:c r="R226" s="82" t="s"/>
      <x:c r="S226" s="82" t="s"/>
      <x:c r="T226" s="82" t="s"/>
      <x:c r="U226" s="82" t="s"/>
      <x:c r="V226" s="82" t="s"/>
      <x:c r="W226" s="82" t="s"/>
      <x:c r="X226" s="82" t="s"/>
      <x:c r="Y226" s="82" t="s"/>
      <x:c r="Z226" s="82" t="s"/>
      <x:c r="AA226" s="82" t="s"/>
      <x:c r="AB226" s="82" t="s"/>
      <x:c r="AC226" s="82" t="s"/>
      <x:c r="AD226" s="82" t="s"/>
      <x:c r="AE226" s="82" t="s"/>
      <x:c r="AF226" s="82" t="s"/>
      <x:c r="AG226" s="82" t="s"/>
      <x:c r="AH226" s="82" t="s"/>
      <x:c r="AI226" s="82" t="s"/>
      <x:c r="AJ226" s="82" t="s"/>
      <x:c r="AK226" s="82" t="s"/>
      <x:c r="AL226" s="82" t="s"/>
      <x:c r="AM226" s="82" t="s"/>
      <x:c r="AN226" s="82" t="s"/>
      <x:c r="AO226" s="82" t="s"/>
      <x:c r="AP226" s="82" t="s"/>
      <x:c r="AQ226" s="82" t="s"/>
      <x:c r="AR226" s="82" t="s"/>
      <x:c r="AS226" s="82" t="s"/>
      <x:c r="AT226" s="82" t="s"/>
      <x:c r="AU226" s="82" t="s"/>
      <x:c r="AV226" s="82" t="s"/>
      <x:c r="AW226" s="82" t="s"/>
      <x:c r="AX226" s="82" t="s"/>
      <x:c r="AY226" s="82" t="s"/>
      <x:c r="AZ226" s="82" t="s"/>
      <x:c r="BA226" s="82" t="s"/>
      <x:c r="BB226" s="82" t="s"/>
      <x:c r="BC226" s="82" t="s"/>
      <x:c r="BD226" s="82" t="s"/>
      <x:c r="BE226" s="82" t="s"/>
      <x:c r="BF226" s="82" t="s"/>
      <x:c r="BG226" s="82" t="s"/>
      <x:c r="BH226" s="82" t="s"/>
      <x:c r="BI226" s="82" t="s"/>
      <x:c r="BJ226" s="82" t="s"/>
      <x:c r="BK226" s="82" t="s"/>
      <x:c r="BL226" s="82" t="s"/>
      <x:c r="BM226" s="82" t="s"/>
      <x:c r="BN226" s="82" t="s"/>
      <x:c r="BO226" s="82" t="s"/>
      <x:c r="BP226" s="82" t="s"/>
      <x:c r="BQ226" s="82" t="s"/>
      <x:c r="BR226" s="82" t="s"/>
    </x:row>
    <x:row r="227" spans="1:70" x14ac:dyDescent="0.25">
      <x:c r="A227" s="82" t="s">
        <x:v>106</x:v>
      </x:c>
      <x:c r="B227" s="82" t="s">
        <x:v>107</x:v>
      </x:c>
      <x:c r="C227" s="82" t="s">
        <x:v>115</x:v>
      </x:c>
      <x:c r="D227" s="85">
        <x:v>42107</x:v>
      </x:c>
      <x:c r="E227" s="82" t="n">
        <x:v>29764</x:v>
      </x:c>
      <x:c r="F227" s="101" t="n">
        <x:v>-8.074</x:v>
      </x:c>
      <x:c r="G227" s="101" t="n">
        <x:v>-8.427</x:v>
      </x:c>
      <x:c r="H227" s="82" t="s"/>
      <x:c r="I227" s="82" t="s"/>
      <x:c r="J227" s="82" t="s"/>
      <x:c r="K227" s="82" t="s"/>
      <x:c r="L227" s="82" t="s"/>
      <x:c r="M227" s="82" t="s"/>
      <x:c r="N227" s="82" t="s"/>
      <x:c r="O227" s="82" t="s"/>
      <x:c r="P227" s="82" t="s"/>
      <x:c r="Q227" s="82" t="s"/>
      <x:c r="R227" s="82" t="s"/>
      <x:c r="S227" s="82" t="s"/>
      <x:c r="T227" s="82" t="s"/>
      <x:c r="U227" s="82" t="s"/>
      <x:c r="V227" s="82" t="s"/>
      <x:c r="W227" s="82" t="s"/>
      <x:c r="X227" s="82" t="s"/>
      <x:c r="Y227" s="82" t="s"/>
      <x:c r="Z227" s="82" t="s"/>
      <x:c r="AA227" s="82" t="s"/>
      <x:c r="AB227" s="82" t="s"/>
      <x:c r="AC227" s="82" t="s"/>
      <x:c r="AD227" s="82" t="s"/>
      <x:c r="AE227" s="82" t="s"/>
      <x:c r="AF227" s="82" t="s"/>
      <x:c r="AG227" s="82" t="s"/>
      <x:c r="AH227" s="82" t="s"/>
      <x:c r="AI227" s="82" t="s"/>
      <x:c r="AJ227" s="82" t="s"/>
      <x:c r="AK227" s="82" t="s"/>
      <x:c r="AL227" s="82" t="s"/>
      <x:c r="AM227" s="82" t="s"/>
      <x:c r="AN227" s="82" t="s"/>
      <x:c r="AO227" s="82" t="s"/>
      <x:c r="AP227" s="82" t="s"/>
      <x:c r="AQ227" s="82" t="s"/>
      <x:c r="AR227" s="82" t="s"/>
      <x:c r="AS227" s="82" t="s"/>
      <x:c r="AT227" s="82" t="s"/>
      <x:c r="AU227" s="82" t="s"/>
      <x:c r="AV227" s="82" t="s"/>
      <x:c r="AW227" s="82" t="s"/>
      <x:c r="AX227" s="82" t="s"/>
      <x:c r="AY227" s="82" t="s"/>
      <x:c r="AZ227" s="82" t="s"/>
      <x:c r="BA227" s="82" t="s"/>
      <x:c r="BB227" s="82" t="s"/>
      <x:c r="BC227" s="82" t="s"/>
      <x:c r="BD227" s="82" t="s"/>
      <x:c r="BE227" s="82" t="s"/>
      <x:c r="BF227" s="82" t="s"/>
      <x:c r="BG227" s="82" t="s"/>
      <x:c r="BH227" s="82" t="s"/>
      <x:c r="BI227" s="82" t="s"/>
      <x:c r="BJ227" s="82" t="s"/>
      <x:c r="BK227" s="82" t="s"/>
      <x:c r="BL227" s="82" t="s"/>
      <x:c r="BM227" s="82" t="s"/>
      <x:c r="BN227" s="82" t="s"/>
      <x:c r="BO227" s="82" t="s"/>
      <x:c r="BP227" s="82" t="s"/>
      <x:c r="BQ227" s="82" t="s"/>
      <x:c r="BR227" s="82" t="s"/>
    </x:row>
    <x:row r="228" spans="1:70" x14ac:dyDescent="0.25">
      <x:c r="A228" s="82" t="s">
        <x:v>106</x:v>
      </x:c>
      <x:c r="B228" s="82" t="s">
        <x:v>107</x:v>
      </x:c>
      <x:c r="C228" s="82" t="s">
        <x:v>116</x:v>
      </x:c>
      <x:c r="D228" s="85">
        <x:v>42107</x:v>
      </x:c>
      <x:c r="E228" s="82" t="n">
        <x:v>29764</x:v>
      </x:c>
      <x:c r="F228" s="101" t="n">
        <x:v>0.94</x:v>
      </x:c>
      <x:c r="G228" s="101" t="n">
        <x:v>0.784</x:v>
      </x:c>
      <x:c r="H228" s="82" t="s"/>
      <x:c r="I228" s="82" t="s"/>
      <x:c r="J228" s="82" t="s"/>
      <x:c r="K228" s="82" t="s"/>
      <x:c r="L228" s="82" t="s"/>
      <x:c r="M228" s="82" t="s"/>
      <x:c r="N228" s="82" t="s"/>
      <x:c r="O228" s="82" t="s"/>
      <x:c r="P228" s="82" t="s"/>
      <x:c r="Q228" s="82" t="s"/>
      <x:c r="R228" s="82" t="s"/>
      <x:c r="S228" s="82" t="s"/>
      <x:c r="T228" s="82" t="s"/>
      <x:c r="U228" s="82" t="s"/>
      <x:c r="V228" s="82" t="s"/>
      <x:c r="W228" s="82" t="s"/>
      <x:c r="X228" s="82" t="s"/>
      <x:c r="Y228" s="82" t="s"/>
      <x:c r="Z228" s="82" t="s"/>
      <x:c r="AA228" s="82" t="s"/>
      <x:c r="AB228" s="82" t="s"/>
      <x:c r="AC228" s="82" t="s"/>
      <x:c r="AD228" s="82" t="s"/>
      <x:c r="AE228" s="82" t="s"/>
      <x:c r="AF228" s="82" t="s"/>
      <x:c r="AG228" s="82" t="s"/>
      <x:c r="AH228" s="82" t="s"/>
      <x:c r="AI228" s="82" t="s"/>
      <x:c r="AJ228" s="82" t="s"/>
      <x:c r="AK228" s="82" t="s"/>
      <x:c r="AL228" s="82" t="s"/>
      <x:c r="AM228" s="82" t="s"/>
      <x:c r="AN228" s="82" t="s"/>
      <x:c r="AO228" s="82" t="s"/>
      <x:c r="AP228" s="82" t="s"/>
      <x:c r="AQ228" s="82" t="s"/>
      <x:c r="AR228" s="82" t="s"/>
      <x:c r="AS228" s="82" t="s"/>
      <x:c r="AT228" s="82" t="s"/>
      <x:c r="AU228" s="82" t="s"/>
      <x:c r="AV228" s="82" t="s"/>
      <x:c r="AW228" s="82" t="s"/>
      <x:c r="AX228" s="82" t="s"/>
      <x:c r="AY228" s="82" t="s"/>
      <x:c r="AZ228" s="82" t="s"/>
      <x:c r="BA228" s="82" t="s"/>
      <x:c r="BB228" s="82" t="s"/>
      <x:c r="BC228" s="82" t="s"/>
      <x:c r="BD228" s="82" t="s"/>
      <x:c r="BE228" s="82" t="s"/>
      <x:c r="BF228" s="82" t="s"/>
      <x:c r="BG228" s="82" t="s"/>
      <x:c r="BH228" s="82" t="s"/>
      <x:c r="BI228" s="82" t="s"/>
      <x:c r="BJ228" s="82" t="s"/>
      <x:c r="BK228" s="82" t="s"/>
      <x:c r="BL228" s="82" t="s"/>
      <x:c r="BM228" s="82" t="s"/>
      <x:c r="BN228" s="82" t="s"/>
      <x:c r="BO228" s="82" t="s"/>
      <x:c r="BP228" s="82" t="s"/>
      <x:c r="BQ228" s="82" t="s"/>
      <x:c r="BR228" s="82" t="s"/>
    </x:row>
    <x:row r="229" spans="1:70" x14ac:dyDescent="0.25">
      <x:c r="A229" s="82" t="s">
        <x:v>106</x:v>
      </x:c>
      <x:c r="B229" s="82" t="s">
        <x:v>107</x:v>
      </x:c>
      <x:c r="C229" s="82" t="s">
        <x:v>17</x:v>
      </x:c>
      <x:c r="D229" s="85">
        <x:v>42107</x:v>
      </x:c>
      <x:c r="E229" s="82" t="n">
        <x:v>29764</x:v>
      </x:c>
      <x:c r="F229" s="102" t="n">
        <x:v>38.838325332218</x:v>
      </x:c>
      <x:c r="G229" s="102" t="n">
        <x:v>41.2030621602784</x:v>
      </x:c>
      <x:c r="H229" s="82" t="s"/>
      <x:c r="I229" s="82" t="s"/>
      <x:c r="J229" s="82" t="s"/>
      <x:c r="K229" s="82" t="s"/>
      <x:c r="L229" s="82" t="s"/>
      <x:c r="M229" s="82" t="s"/>
      <x:c r="N229" s="82" t="s"/>
      <x:c r="O229" s="82" t="s"/>
      <x:c r="P229" s="82" t="s"/>
      <x:c r="Q229" s="82" t="s"/>
      <x:c r="R229" s="82" t="s"/>
      <x:c r="S229" s="82" t="s"/>
      <x:c r="T229" s="82" t="s"/>
      <x:c r="U229" s="82" t="s"/>
      <x:c r="V229" s="82" t="s"/>
      <x:c r="W229" s="82" t="s"/>
      <x:c r="X229" s="82" t="s"/>
      <x:c r="Y229" s="82" t="s"/>
      <x:c r="Z229" s="82" t="s"/>
      <x:c r="AA229" s="82" t="s"/>
      <x:c r="AB229" s="82" t="s"/>
      <x:c r="AC229" s="82" t="s"/>
      <x:c r="AD229" s="82" t="s"/>
      <x:c r="AE229" s="82" t="s"/>
      <x:c r="AF229" s="82" t="s"/>
      <x:c r="AG229" s="82" t="s"/>
      <x:c r="AH229" s="82" t="s"/>
      <x:c r="AI229" s="82" t="s"/>
      <x:c r="AJ229" s="82" t="s"/>
      <x:c r="AK229" s="82" t="s"/>
      <x:c r="AL229" s="82" t="s"/>
      <x:c r="AM229" s="82" t="s"/>
      <x:c r="AN229" s="82" t="s"/>
      <x:c r="AO229" s="82" t="s"/>
      <x:c r="AP229" s="82" t="s"/>
      <x:c r="AQ229" s="82" t="s"/>
      <x:c r="AR229" s="82" t="s"/>
      <x:c r="AS229" s="82" t="s"/>
      <x:c r="AT229" s="82" t="s"/>
      <x:c r="AU229" s="82" t="s"/>
      <x:c r="AV229" s="82" t="s"/>
      <x:c r="AW229" s="82" t="s"/>
      <x:c r="AX229" s="82" t="s"/>
      <x:c r="AY229" s="82" t="s"/>
      <x:c r="AZ229" s="82" t="s"/>
      <x:c r="BA229" s="82" t="s"/>
      <x:c r="BB229" s="82" t="s"/>
      <x:c r="BC229" s="82" t="s"/>
      <x:c r="BD229" s="82" t="s"/>
      <x:c r="BE229" s="82" t="s"/>
      <x:c r="BF229" s="82" t="s"/>
      <x:c r="BG229" s="82" t="s"/>
      <x:c r="BH229" s="82" t="s"/>
      <x:c r="BI229" s="82" t="s"/>
      <x:c r="BJ229" s="82" t="s"/>
      <x:c r="BK229" s="82" t="s"/>
      <x:c r="BL229" s="82" t="s"/>
      <x:c r="BM229" s="82" t="s"/>
      <x:c r="BN229" s="82" t="s"/>
      <x:c r="BO229" s="82" t="s"/>
      <x:c r="BP229" s="82" t="s"/>
      <x:c r="BQ229" s="82" t="s"/>
      <x:c r="BR229" s="82" t="s"/>
    </x:row>
    <x:row r="230" spans="1:70" x14ac:dyDescent="0.25">
      <x:c r="A230" s="82" t="s">
        <x:v>106</x:v>
      </x:c>
      <x:c r="B230" s="82" t="s">
        <x:v>107</x:v>
      </x:c>
      <x:c r="C230" s="82" t="s">
        <x:v>18</x:v>
      </x:c>
      <x:c r="D230" s="85">
        <x:v>42107</x:v>
      </x:c>
      <x:c r="E230" s="82" t="n">
        <x:v>29764</x:v>
      </x:c>
      <x:c r="F230" s="102" t="n">
        <x:v>0.0623851978619103</x:v>
      </x:c>
      <x:c r="G230" s="102" t="n">
        <x:v>0.0636327571039626</x:v>
      </x:c>
      <x:c r="H230" s="82" t="s"/>
      <x:c r="I230" s="82" t="s"/>
      <x:c r="J230" s="82" t="s"/>
      <x:c r="K230" s="82" t="s"/>
      <x:c r="L230" s="82" t="s"/>
      <x:c r="M230" s="82" t="s"/>
      <x:c r="N230" s="82" t="s"/>
      <x:c r="O230" s="82" t="s"/>
      <x:c r="P230" s="82" t="s"/>
      <x:c r="Q230" s="82" t="s"/>
      <x:c r="R230" s="82" t="s"/>
      <x:c r="S230" s="82" t="s"/>
      <x:c r="T230" s="82" t="s"/>
      <x:c r="U230" s="82" t="s"/>
      <x:c r="V230" s="82" t="s"/>
      <x:c r="W230" s="82" t="s"/>
      <x:c r="X230" s="82" t="s"/>
      <x:c r="Y230" s="82" t="s"/>
      <x:c r="Z230" s="82" t="s"/>
      <x:c r="AA230" s="82" t="s"/>
      <x:c r="AB230" s="82" t="s"/>
      <x:c r="AC230" s="82" t="s"/>
      <x:c r="AD230" s="82" t="s"/>
      <x:c r="AE230" s="82" t="s"/>
      <x:c r="AF230" s="82" t="s"/>
      <x:c r="AG230" s="82" t="s"/>
      <x:c r="AH230" s="82" t="s"/>
      <x:c r="AI230" s="82" t="s"/>
      <x:c r="AJ230" s="82" t="s"/>
      <x:c r="AK230" s="82" t="s"/>
      <x:c r="AL230" s="82" t="s"/>
      <x:c r="AM230" s="82" t="s"/>
      <x:c r="AN230" s="82" t="s"/>
      <x:c r="AO230" s="82" t="s"/>
      <x:c r="AP230" s="82" t="s"/>
      <x:c r="AQ230" s="82" t="s"/>
      <x:c r="AR230" s="82" t="s"/>
      <x:c r="AS230" s="82" t="s"/>
      <x:c r="AT230" s="82" t="s"/>
      <x:c r="AU230" s="82" t="s"/>
      <x:c r="AV230" s="82" t="s"/>
      <x:c r="AW230" s="82" t="s"/>
      <x:c r="AX230" s="82" t="s"/>
      <x:c r="AY230" s="82" t="s"/>
      <x:c r="AZ230" s="82" t="s"/>
      <x:c r="BA230" s="82" t="s"/>
      <x:c r="BB230" s="82" t="s"/>
      <x:c r="BC230" s="82" t="s"/>
      <x:c r="BD230" s="82" t="s"/>
      <x:c r="BE230" s="82" t="s"/>
      <x:c r="BF230" s="82" t="s"/>
      <x:c r="BG230" s="82" t="s"/>
      <x:c r="BH230" s="82" t="s"/>
      <x:c r="BI230" s="82" t="s"/>
      <x:c r="BJ230" s="82" t="s"/>
      <x:c r="BK230" s="82" t="s"/>
      <x:c r="BL230" s="82" t="s"/>
      <x:c r="BM230" s="82" t="s"/>
      <x:c r="BN230" s="82" t="s"/>
      <x:c r="BO230" s="82" t="s"/>
      <x:c r="BP230" s="82" t="s"/>
      <x:c r="BQ230" s="82" t="s"/>
      <x:c r="BR230" s="82" t="s"/>
    </x:row>
    <x:row r="231" spans="1:70" x14ac:dyDescent="0.25">
      <x:c r="A231" s="82" t="s">
        <x:v>106</x:v>
      </x:c>
      <x:c r="B231" s="82" t="s">
        <x:v>107</x:v>
      </x:c>
      <x:c r="C231" s="82" t="s">
        <x:v>19</x:v>
      </x:c>
      <x:c r="D231" s="85">
        <x:v>42107</x:v>
      </x:c>
      <x:c r="E231" s="82" t="n">
        <x:v>29764</x:v>
      </x:c>
      <x:c r="F231" s="102" t="n">
        <x:v>124.842032674744</x:v>
      </x:c>
      <x:c r="G231" s="102" t="n">
        <x:v>132.825708462171</x:v>
      </x:c>
      <x:c r="H231" s="82" t="s"/>
      <x:c r="I231" s="82" t="s"/>
      <x:c r="J231" s="82" t="s"/>
      <x:c r="K231" s="82" t="s"/>
      <x:c r="L231" s="82" t="s"/>
      <x:c r="M231" s="82" t="s"/>
      <x:c r="N231" s="82" t="s"/>
      <x:c r="O231" s="82" t="s"/>
      <x:c r="P231" s="82" t="s"/>
      <x:c r="Q231" s="82" t="s"/>
      <x:c r="R231" s="82" t="s"/>
      <x:c r="S231" s="82" t="s"/>
      <x:c r="T231" s="82" t="s"/>
      <x:c r="U231" s="82" t="s"/>
      <x:c r="V231" s="82" t="s"/>
      <x:c r="W231" s="82" t="s"/>
      <x:c r="X231" s="82" t="s"/>
      <x:c r="Y231" s="82" t="s"/>
      <x:c r="Z231" s="82" t="s"/>
      <x:c r="AA231" s="82" t="s"/>
      <x:c r="AB231" s="82" t="s"/>
      <x:c r="AC231" s="82" t="s"/>
      <x:c r="AD231" s="82" t="s"/>
      <x:c r="AE231" s="82" t="s"/>
      <x:c r="AF231" s="82" t="s"/>
      <x:c r="AG231" s="82" t="s"/>
      <x:c r="AH231" s="82" t="s"/>
      <x:c r="AI231" s="82" t="s"/>
      <x:c r="AJ231" s="82" t="s"/>
      <x:c r="AK231" s="82" t="s"/>
      <x:c r="AL231" s="82" t="s"/>
      <x:c r="AM231" s="82" t="s"/>
      <x:c r="AN231" s="82" t="s"/>
      <x:c r="AO231" s="82" t="s"/>
      <x:c r="AP231" s="82" t="s"/>
      <x:c r="AQ231" s="82" t="s"/>
      <x:c r="AR231" s="82" t="s"/>
      <x:c r="AS231" s="82" t="s"/>
      <x:c r="AT231" s="82" t="s"/>
      <x:c r="AU231" s="82" t="s"/>
      <x:c r="AV231" s="82" t="s"/>
      <x:c r="AW231" s="82" t="s"/>
      <x:c r="AX231" s="82" t="s"/>
      <x:c r="AY231" s="82" t="s"/>
      <x:c r="AZ231" s="82" t="s"/>
      <x:c r="BA231" s="82" t="s"/>
      <x:c r="BB231" s="82" t="s"/>
      <x:c r="BC231" s="82" t="s"/>
      <x:c r="BD231" s="82" t="s"/>
      <x:c r="BE231" s="82" t="s"/>
      <x:c r="BF231" s="82" t="s"/>
      <x:c r="BG231" s="82" t="s"/>
      <x:c r="BH231" s="82" t="s"/>
      <x:c r="BI231" s="82" t="s"/>
      <x:c r="BJ231" s="82" t="s"/>
      <x:c r="BK231" s="82" t="s"/>
      <x:c r="BL231" s="82" t="s"/>
      <x:c r="BM231" s="82" t="s"/>
      <x:c r="BN231" s="82" t="s"/>
      <x:c r="BO231" s="82" t="s"/>
      <x:c r="BP231" s="82" t="s"/>
      <x:c r="BQ231" s="82" t="s"/>
      <x:c r="BR231" s="82" t="s"/>
    </x:row>
    <x:row r="232" spans="1:70" x14ac:dyDescent="0.25">
      <x:c r="A232" s="82" t="s">
        <x:v>106</x:v>
      </x:c>
      <x:c r="B232" s="82" t="s">
        <x:v>107</x:v>
      </x:c>
      <x:c r="C232" s="82" t="s">
        <x:v>20</x:v>
      </x:c>
      <x:c r="D232" s="85">
        <x:v>42107</x:v>
      </x:c>
      <x:c r="E232" s="82" t="n">
        <x:v>29764</x:v>
      </x:c>
      <x:c r="F232" s="102" t="n">
        <x:v>0.500064301809646</x:v>
      </x:c>
      <x:c r="G232" s="102" t="n">
        <x:v>0.520288440056648</x:v>
      </x:c>
      <x:c r="H232" s="82" t="s"/>
      <x:c r="I232" s="82" t="s"/>
      <x:c r="J232" s="82" t="s"/>
      <x:c r="K232" s="82" t="s"/>
      <x:c r="L232" s="82" t="s"/>
      <x:c r="M232" s="82" t="s"/>
      <x:c r="N232" s="82" t="s"/>
      <x:c r="O232" s="82" t="s"/>
      <x:c r="P232" s="82" t="s"/>
      <x:c r="Q232" s="82" t="s"/>
      <x:c r="R232" s="82" t="s"/>
      <x:c r="S232" s="82" t="s"/>
      <x:c r="T232" s="82" t="s"/>
      <x:c r="U232" s="82" t="s"/>
      <x:c r="V232" s="82" t="s"/>
      <x:c r="W232" s="82" t="s"/>
      <x:c r="X232" s="82" t="s"/>
      <x:c r="Y232" s="82" t="s"/>
      <x:c r="Z232" s="82" t="s"/>
      <x:c r="AA232" s="82" t="s"/>
      <x:c r="AB232" s="82" t="s"/>
      <x:c r="AC232" s="82" t="s"/>
      <x:c r="AD232" s="82" t="s"/>
      <x:c r="AE232" s="82" t="s"/>
      <x:c r="AF232" s="82" t="s"/>
      <x:c r="AG232" s="82" t="s"/>
      <x:c r="AH232" s="82" t="s"/>
      <x:c r="AI232" s="82" t="s"/>
      <x:c r="AJ232" s="82" t="s"/>
      <x:c r="AK232" s="82" t="s"/>
      <x:c r="AL232" s="82" t="s"/>
      <x:c r="AM232" s="82" t="s"/>
      <x:c r="AN232" s="82" t="s"/>
      <x:c r="AO232" s="82" t="s"/>
      <x:c r="AP232" s="82" t="s"/>
      <x:c r="AQ232" s="82" t="s"/>
      <x:c r="AR232" s="82" t="s"/>
      <x:c r="AS232" s="82" t="s"/>
      <x:c r="AT232" s="82" t="s"/>
      <x:c r="AU232" s="82" t="s"/>
      <x:c r="AV232" s="82" t="s"/>
      <x:c r="AW232" s="82" t="s"/>
      <x:c r="AX232" s="82" t="s"/>
      <x:c r="AY232" s="82" t="s"/>
      <x:c r="AZ232" s="82" t="s"/>
      <x:c r="BA232" s="82" t="s"/>
      <x:c r="BB232" s="82" t="s"/>
      <x:c r="BC232" s="82" t="s"/>
      <x:c r="BD232" s="82" t="s"/>
      <x:c r="BE232" s="82" t="s"/>
      <x:c r="BF232" s="82" t="s"/>
      <x:c r="BG232" s="82" t="s"/>
      <x:c r="BH232" s="82" t="s"/>
      <x:c r="BI232" s="82" t="s"/>
      <x:c r="BJ232" s="82" t="s"/>
      <x:c r="BK232" s="82" t="s"/>
      <x:c r="BL232" s="82" t="s"/>
      <x:c r="BM232" s="82" t="s"/>
      <x:c r="BN232" s="82" t="s"/>
      <x:c r="BO232" s="82" t="s"/>
      <x:c r="BP232" s="82" t="s"/>
      <x:c r="BQ232" s="82" t="s"/>
      <x:c r="BR232" s="82" t="s"/>
    </x:row>
    <x:row r="233" spans="1:70" x14ac:dyDescent="0.25">
      <x:c r="A233" s="82" t="s">
        <x:v>106</x:v>
      </x:c>
      <x:c r="B233" s="82" t="s">
        <x:v>107</x:v>
      </x:c>
      <x:c r="C233" s="82" t="s">
        <x:v>21</x:v>
      </x:c>
      <x:c r="D233" s="85">
        <x:v>42107</x:v>
      </x:c>
      <x:c r="E233" s="82" t="n">
        <x:v>29764</x:v>
      </x:c>
      <x:c r="F233" s="102" t="n">
        <x:v>157.894736842105</x:v>
      </x:c>
      <x:c r="G233" s="102" t="n">
        <x:v>172.721875</x:v>
      </x:c>
      <x:c r="H233" s="82" t="s"/>
      <x:c r="I233" s="82" t="s"/>
      <x:c r="J233" s="82" t="s"/>
      <x:c r="K233" s="82" t="s"/>
      <x:c r="L233" s="82" t="s"/>
      <x:c r="M233" s="82" t="s"/>
      <x:c r="N233" s="82" t="s"/>
      <x:c r="O233" s="82" t="s"/>
      <x:c r="P233" s="82" t="s"/>
      <x:c r="Q233" s="82" t="s"/>
      <x:c r="R233" s="82" t="s"/>
      <x:c r="S233" s="82" t="s"/>
      <x:c r="T233" s="82" t="s"/>
      <x:c r="U233" s="82" t="s"/>
      <x:c r="V233" s="82" t="s"/>
      <x:c r="W233" s="82" t="s"/>
      <x:c r="X233" s="82" t="s"/>
      <x:c r="Y233" s="82" t="s"/>
      <x:c r="Z233" s="82" t="s"/>
      <x:c r="AA233" s="82" t="s"/>
      <x:c r="AB233" s="82" t="s"/>
      <x:c r="AC233" s="82" t="s"/>
      <x:c r="AD233" s="82" t="s"/>
      <x:c r="AE233" s="82" t="s"/>
      <x:c r="AF233" s="82" t="s"/>
      <x:c r="AG233" s="82" t="s"/>
      <x:c r="AH233" s="82" t="s"/>
      <x:c r="AI233" s="82" t="s"/>
      <x:c r="AJ233" s="82" t="s"/>
      <x:c r="AK233" s="82" t="s"/>
      <x:c r="AL233" s="82" t="s"/>
      <x:c r="AM233" s="82" t="s"/>
      <x:c r="AN233" s="82" t="s"/>
      <x:c r="AO233" s="82" t="s"/>
      <x:c r="AP233" s="82" t="s"/>
      <x:c r="AQ233" s="82" t="s"/>
      <x:c r="AR233" s="82" t="s"/>
      <x:c r="AS233" s="82" t="s"/>
      <x:c r="AT233" s="82" t="s"/>
      <x:c r="AU233" s="82" t="s"/>
      <x:c r="AV233" s="82" t="s"/>
      <x:c r="AW233" s="82" t="s"/>
      <x:c r="AX233" s="82" t="s"/>
      <x:c r="AY233" s="82" t="s"/>
      <x:c r="AZ233" s="82" t="s"/>
      <x:c r="BA233" s="82" t="s"/>
      <x:c r="BB233" s="82" t="s"/>
      <x:c r="BC233" s="82" t="s"/>
      <x:c r="BD233" s="82" t="s"/>
      <x:c r="BE233" s="82" t="s"/>
      <x:c r="BF233" s="82" t="s"/>
      <x:c r="BG233" s="82" t="s"/>
      <x:c r="BH233" s="82" t="s"/>
      <x:c r="BI233" s="82" t="s"/>
      <x:c r="BJ233" s="82" t="s"/>
      <x:c r="BK233" s="82" t="s"/>
      <x:c r="BL233" s="82" t="s"/>
      <x:c r="BM233" s="82" t="s"/>
      <x:c r="BN233" s="82" t="s"/>
      <x:c r="BO233" s="82" t="s"/>
      <x:c r="BP233" s="82" t="s"/>
      <x:c r="BQ233" s="82" t="s"/>
      <x:c r="BR233" s="82" t="s"/>
    </x:row>
    <x:row r="234" spans="1:70" x14ac:dyDescent="0.25">
      <x:c r="A234" s="82" t="s">
        <x:v>106</x:v>
      </x:c>
      <x:c r="B234" s="82" t="s">
        <x:v>107</x:v>
      </x:c>
      <x:c r="C234" s="82" t="s">
        <x:v>22</x:v>
      </x:c>
      <x:c r="D234" s="85">
        <x:v>42107</x:v>
      </x:c>
      <x:c r="E234" s="82" t="n">
        <x:v>29764</x:v>
      </x:c>
      <x:c r="F234" s="102" t="n">
        <x:v>0.493254</x:v>
      </x:c>
      <x:c r="G234" s="102" t="n">
        <x:v>0.473551875</x:v>
      </x:c>
      <x:c r="H234" s="82" t="s"/>
      <x:c r="I234" s="82" t="s"/>
      <x:c r="J234" s="82" t="s"/>
      <x:c r="K234" s="82" t="s"/>
      <x:c r="L234" s="82" t="s"/>
      <x:c r="M234" s="82" t="s"/>
      <x:c r="N234" s="82" t="s"/>
      <x:c r="O234" s="82" t="s"/>
      <x:c r="P234" s="82" t="s"/>
      <x:c r="Q234" s="82" t="s"/>
      <x:c r="R234" s="82" t="s"/>
      <x:c r="S234" s="82" t="s"/>
      <x:c r="T234" s="82" t="s"/>
      <x:c r="U234" s="82" t="s"/>
      <x:c r="V234" s="82" t="s"/>
      <x:c r="W234" s="82" t="s"/>
      <x:c r="X234" s="82" t="s"/>
      <x:c r="Y234" s="82" t="s"/>
      <x:c r="Z234" s="82" t="s"/>
      <x:c r="AA234" s="82" t="s"/>
      <x:c r="AB234" s="82" t="s"/>
      <x:c r="AC234" s="82" t="s"/>
      <x:c r="AD234" s="82" t="s"/>
      <x:c r="AE234" s="82" t="s"/>
      <x:c r="AF234" s="82" t="s"/>
      <x:c r="AG234" s="82" t="s"/>
      <x:c r="AH234" s="82" t="s"/>
      <x:c r="AI234" s="82" t="s"/>
      <x:c r="AJ234" s="82" t="s"/>
      <x:c r="AK234" s="82" t="s"/>
      <x:c r="AL234" s="82" t="s"/>
      <x:c r="AM234" s="82" t="s"/>
      <x:c r="AN234" s="82" t="s"/>
      <x:c r="AO234" s="82" t="s"/>
      <x:c r="AP234" s="82" t="s"/>
      <x:c r="AQ234" s="82" t="s"/>
      <x:c r="AR234" s="82" t="s"/>
      <x:c r="AS234" s="82" t="s"/>
      <x:c r="AT234" s="82" t="s"/>
      <x:c r="AU234" s="82" t="s"/>
      <x:c r="AV234" s="82" t="s"/>
      <x:c r="AW234" s="82" t="s"/>
      <x:c r="AX234" s="82" t="s"/>
      <x:c r="AY234" s="82" t="s"/>
      <x:c r="AZ234" s="82" t="s"/>
      <x:c r="BA234" s="82" t="s"/>
      <x:c r="BB234" s="82" t="s"/>
      <x:c r="BC234" s="82" t="s"/>
      <x:c r="BD234" s="82" t="s"/>
      <x:c r="BE234" s="82" t="s"/>
      <x:c r="BF234" s="82" t="s"/>
      <x:c r="BG234" s="82" t="s"/>
      <x:c r="BH234" s="82" t="s"/>
      <x:c r="BI234" s="82" t="s"/>
      <x:c r="BJ234" s="82" t="s"/>
      <x:c r="BK234" s="82" t="s"/>
      <x:c r="BL234" s="82" t="s"/>
      <x:c r="BM234" s="82" t="s"/>
      <x:c r="BN234" s="82" t="s"/>
      <x:c r="BO234" s="82" t="s"/>
      <x:c r="BP234" s="82" t="s"/>
      <x:c r="BQ234" s="82" t="s"/>
      <x:c r="BR234" s="82" t="s"/>
    </x:row>
    <x:row r="235" spans="1:70" x14ac:dyDescent="0.25">
      <x:c r="A235" s="82" t="s">
        <x:v>106</x:v>
      </x:c>
      <x:c r="B235" s="82" t="s">
        <x:v>107</x:v>
      </x:c>
      <x:c r="C235" s="82" t="s">
        <x:v>23</x:v>
      </x:c>
      <x:c r="D235" s="85">
        <x:v>42107</x:v>
      </x:c>
      <x:c r="E235" s="82" t="n">
        <x:v>29764</x:v>
      </x:c>
      <x:c r="F235" s="102" t="n">
        <x:v>761.92</x:v>
      </x:c>
      <x:c r="G235" s="102" t="n">
        <x:v>783.48</x:v>
      </x:c>
      <x:c r="H235" s="82" t="s"/>
      <x:c r="I235" s="82" t="s"/>
      <x:c r="J235" s="82" t="s"/>
      <x:c r="K235" s="82" t="s"/>
      <x:c r="L235" s="82" t="s"/>
      <x:c r="M235" s="82" t="s"/>
      <x:c r="N235" s="82" t="s"/>
      <x:c r="O235" s="82" t="s"/>
      <x:c r="P235" s="82" t="s"/>
      <x:c r="Q235" s="82" t="s"/>
      <x:c r="R235" s="82" t="s"/>
      <x:c r="S235" s="82" t="s"/>
      <x:c r="T235" s="82" t="s"/>
      <x:c r="U235" s="82" t="s"/>
      <x:c r="V235" s="82" t="s"/>
      <x:c r="W235" s="82" t="s"/>
      <x:c r="X235" s="82" t="s"/>
      <x:c r="Y235" s="82" t="s"/>
      <x:c r="Z235" s="82" t="s"/>
      <x:c r="AA235" s="82" t="s"/>
      <x:c r="AB235" s="82" t="s"/>
      <x:c r="AC235" s="82" t="s"/>
      <x:c r="AD235" s="82" t="s"/>
      <x:c r="AE235" s="82" t="s"/>
      <x:c r="AF235" s="82" t="s"/>
      <x:c r="AG235" s="82" t="s"/>
      <x:c r="AH235" s="82" t="s"/>
      <x:c r="AI235" s="82" t="s"/>
      <x:c r="AJ235" s="82" t="s"/>
      <x:c r="AK235" s="82" t="s"/>
      <x:c r="AL235" s="82" t="s"/>
      <x:c r="AM235" s="82" t="s"/>
      <x:c r="AN235" s="82" t="s"/>
      <x:c r="AO235" s="82" t="s"/>
      <x:c r="AP235" s="82" t="s"/>
      <x:c r="AQ235" s="82" t="s"/>
      <x:c r="AR235" s="82" t="s"/>
      <x:c r="AS235" s="82" t="s"/>
      <x:c r="AT235" s="82" t="s"/>
      <x:c r="AU235" s="82" t="s"/>
      <x:c r="AV235" s="82" t="s"/>
      <x:c r="AW235" s="82" t="s"/>
      <x:c r="AX235" s="82" t="s"/>
      <x:c r="AY235" s="82" t="s"/>
      <x:c r="AZ235" s="82" t="s"/>
      <x:c r="BA235" s="82" t="s"/>
      <x:c r="BB235" s="82" t="s"/>
      <x:c r="BC235" s="82" t="s"/>
      <x:c r="BD235" s="82" t="s"/>
      <x:c r="BE235" s="82" t="s"/>
      <x:c r="BF235" s="82" t="s"/>
      <x:c r="BG235" s="82" t="s"/>
      <x:c r="BH235" s="82" t="s"/>
      <x:c r="BI235" s="82" t="s"/>
      <x:c r="BJ235" s="82" t="s"/>
      <x:c r="BK235" s="82" t="s"/>
      <x:c r="BL235" s="82" t="s"/>
      <x:c r="BM235" s="82" t="s"/>
      <x:c r="BN235" s="82" t="s"/>
      <x:c r="BO235" s="82" t="s"/>
      <x:c r="BP235" s="82" t="s"/>
      <x:c r="BQ235" s="82" t="s"/>
      <x:c r="BR235" s="82" t="s"/>
    </x:row>
    <x:row r="236" spans="1:70" x14ac:dyDescent="0.25">
      <x:c r="A236" s="82" t="s">
        <x:v>106</x:v>
      </x:c>
      <x:c r="B236" s="82" t="s">
        <x:v>107</x:v>
      </x:c>
      <x:c r="C236" s="82" t="s">
        <x:v>24</x:v>
      </x:c>
      <x:c r="D236" s="85">
        <x:v>42107</x:v>
      </x:c>
      <x:c r="E236" s="82" t="n">
        <x:v>29764</x:v>
      </x:c>
      <x:c r="F236" s="102" t="n">
        <x:v>90.624</x:v>
      </x:c>
      <x:c r="G236" s="102" t="n">
        <x:v>89.822</x:v>
      </x:c>
      <x:c r="H236" s="82" t="s"/>
      <x:c r="I236" s="82" t="s"/>
      <x:c r="J236" s="82" t="s"/>
      <x:c r="K236" s="82" t="s"/>
      <x:c r="L236" s="82" t="s"/>
      <x:c r="M236" s="82" t="s"/>
      <x:c r="N236" s="82" t="s"/>
      <x:c r="O236" s="82" t="s"/>
      <x:c r="P236" s="82" t="s"/>
      <x:c r="Q236" s="82" t="s"/>
      <x:c r="R236" s="82" t="s"/>
      <x:c r="S236" s="82" t="s"/>
      <x:c r="T236" s="82" t="s"/>
      <x:c r="U236" s="82" t="s"/>
      <x:c r="V236" s="82" t="s"/>
      <x:c r="W236" s="82" t="s"/>
      <x:c r="X236" s="82" t="s"/>
      <x:c r="Y236" s="82" t="s"/>
      <x:c r="Z236" s="82" t="s"/>
      <x:c r="AA236" s="82" t="s"/>
      <x:c r="AB236" s="82" t="s"/>
      <x:c r="AC236" s="82" t="s"/>
      <x:c r="AD236" s="82" t="s"/>
      <x:c r="AE236" s="82" t="s"/>
      <x:c r="AF236" s="82" t="s"/>
      <x:c r="AG236" s="82" t="s"/>
      <x:c r="AH236" s="82" t="s"/>
      <x:c r="AI236" s="82" t="s"/>
      <x:c r="AJ236" s="82" t="s"/>
      <x:c r="AK236" s="82" t="s"/>
      <x:c r="AL236" s="82" t="s"/>
      <x:c r="AM236" s="82" t="s"/>
      <x:c r="AN236" s="82" t="s"/>
      <x:c r="AO236" s="82" t="s"/>
      <x:c r="AP236" s="82" t="s"/>
      <x:c r="AQ236" s="82" t="s"/>
      <x:c r="AR236" s="82" t="s"/>
      <x:c r="AS236" s="82" t="s"/>
      <x:c r="AT236" s="82" t="s"/>
      <x:c r="AU236" s="82" t="s"/>
      <x:c r="AV236" s="82" t="s"/>
      <x:c r="AW236" s="82" t="s"/>
      <x:c r="AX236" s="82" t="s"/>
      <x:c r="AY236" s="82" t="s"/>
      <x:c r="AZ236" s="82" t="s"/>
      <x:c r="BA236" s="82" t="s"/>
      <x:c r="BB236" s="82" t="s"/>
      <x:c r="BC236" s="82" t="s"/>
      <x:c r="BD236" s="82" t="s"/>
      <x:c r="BE236" s="82" t="s"/>
      <x:c r="BF236" s="82" t="s"/>
      <x:c r="BG236" s="82" t="s"/>
      <x:c r="BH236" s="82" t="s"/>
      <x:c r="BI236" s="82" t="s"/>
      <x:c r="BJ236" s="82" t="s"/>
      <x:c r="BK236" s="82" t="s"/>
      <x:c r="BL236" s="82" t="s"/>
      <x:c r="BM236" s="82" t="s"/>
      <x:c r="BN236" s="82" t="s"/>
      <x:c r="BO236" s="82" t="s"/>
      <x:c r="BP236" s="82" t="s"/>
      <x:c r="BQ236" s="82" t="s"/>
      <x:c r="BR236" s="82" t="s"/>
    </x:row>
    <x:row r="237" spans="1:70" x14ac:dyDescent="0.25">
      <x:c r="A237" s="82" t="s">
        <x:v>106</x:v>
      </x:c>
      <x:c r="B237" s="82" t="s">
        <x:v>107</x:v>
      </x:c>
      <x:c r="C237" s="82" t="s">
        <x:v>117</x:v>
      </x:c>
      <x:c r="D237" s="85">
        <x:v>42107</x:v>
      </x:c>
      <x:c r="E237" s="82" t="n">
        <x:v>29764</x:v>
      </x:c>
      <x:c r="F237" s="82" t="n">
        <x:v>1</x:v>
      </x:c>
      <x:c r="G237" s="82" t="n">
        <x:v>1</x:v>
      </x:c>
      <x:c r="H237" s="82" t="s"/>
      <x:c r="I237" s="82" t="s"/>
      <x:c r="J237" s="82" t="s"/>
      <x:c r="K237" s="82" t="s"/>
      <x:c r="L237" s="82" t="s"/>
      <x:c r="M237" s="82" t="s"/>
      <x:c r="N237" s="82" t="s"/>
      <x:c r="O237" s="82" t="s"/>
      <x:c r="P237" s="82" t="s"/>
      <x:c r="Q237" s="82" t="s"/>
      <x:c r="R237" s="82" t="s"/>
      <x:c r="S237" s="82" t="s"/>
      <x:c r="T237" s="82" t="s"/>
      <x:c r="U237" s="82" t="s"/>
      <x:c r="V237" s="82" t="s"/>
      <x:c r="W237" s="82" t="s"/>
      <x:c r="X237" s="82" t="s"/>
      <x:c r="Y237" s="82" t="s"/>
      <x:c r="Z237" s="82" t="s"/>
      <x:c r="AA237" s="82" t="s"/>
      <x:c r="AB237" s="82" t="s"/>
      <x:c r="AC237" s="82" t="s"/>
      <x:c r="AD237" s="82" t="s"/>
      <x:c r="AE237" s="82" t="s"/>
      <x:c r="AF237" s="82" t="s"/>
      <x:c r="AG237" s="82" t="s"/>
      <x:c r="AH237" s="82" t="s"/>
      <x:c r="AI237" s="82" t="s"/>
      <x:c r="AJ237" s="82" t="s"/>
      <x:c r="AK237" s="82" t="s"/>
      <x:c r="AL237" s="82" t="s"/>
      <x:c r="AM237" s="82" t="s"/>
      <x:c r="AN237" s="82" t="s"/>
      <x:c r="AO237" s="82" t="s"/>
      <x:c r="AP237" s="82" t="s"/>
      <x:c r="AQ237" s="82" t="s"/>
      <x:c r="AR237" s="82" t="s"/>
      <x:c r="AS237" s="82" t="s"/>
      <x:c r="AT237" s="82" t="s"/>
      <x:c r="AU237" s="82" t="s"/>
      <x:c r="AV237" s="82" t="s"/>
      <x:c r="AW237" s="82" t="s"/>
      <x:c r="AX237" s="82" t="s"/>
      <x:c r="AY237" s="82" t="s"/>
      <x:c r="AZ237" s="82" t="s"/>
      <x:c r="BA237" s="82" t="s"/>
      <x:c r="BB237" s="82" t="s"/>
      <x:c r="BC237" s="82" t="s"/>
      <x:c r="BD237" s="82" t="s"/>
      <x:c r="BE237" s="82" t="s"/>
      <x:c r="BF237" s="82" t="s"/>
      <x:c r="BG237" s="82" t="s"/>
      <x:c r="BH237" s="82" t="s"/>
      <x:c r="BI237" s="82" t="s"/>
      <x:c r="BJ237" s="82" t="s"/>
      <x:c r="BK237" s="82" t="s"/>
      <x:c r="BL237" s="82" t="s"/>
      <x:c r="BM237" s="82" t="s"/>
      <x:c r="BN237" s="82" t="s"/>
      <x:c r="BO237" s="82" t="s"/>
      <x:c r="BP237" s="82" t="s"/>
      <x:c r="BQ237" s="82" t="s"/>
      <x:c r="BR237" s="82" t="s"/>
    </x:row>
    <x:row r="238" spans="1:70" x14ac:dyDescent="0.25">
      <x:c r="A238" s="82" t="s">
        <x:v>106</x:v>
      </x:c>
      <x:c r="B238" s="82" t="s">
        <x:v>107</x:v>
      </x:c>
      <x:c r="C238" s="82" t="s">
        <x:v>118</x:v>
      </x:c>
      <x:c r="D238" s="85">
        <x:v>42107</x:v>
      </x:c>
      <x:c r="E238" s="82" t="n">
        <x:v>29764</x:v>
      </x:c>
      <x:c r="F238" s="90" t="n">
        <x:v>113.7</x:v>
      </x:c>
      <x:c r="G238" s="90" t="n">
        <x:v>116.6</x:v>
      </x:c>
      <x:c r="H238" s="82" t="s"/>
      <x:c r="I238" s="82" t="s"/>
      <x:c r="J238" s="82" t="s"/>
      <x:c r="K238" s="82" t="s"/>
      <x:c r="L238" s="82" t="s"/>
      <x:c r="M238" s="82" t="s"/>
      <x:c r="N238" s="82" t="s"/>
      <x:c r="O238" s="82" t="s"/>
      <x:c r="P238" s="82" t="s"/>
      <x:c r="Q238" s="82" t="s"/>
      <x:c r="R238" s="82" t="s"/>
      <x:c r="S238" s="82" t="s"/>
      <x:c r="T238" s="82" t="s"/>
      <x:c r="U238" s="82" t="s"/>
      <x:c r="V238" s="82" t="s"/>
      <x:c r="W238" s="82" t="s"/>
      <x:c r="X238" s="82" t="s"/>
      <x:c r="Y238" s="82" t="s"/>
      <x:c r="Z238" s="82" t="s"/>
      <x:c r="AA238" s="82" t="s"/>
      <x:c r="AB238" s="82" t="s"/>
      <x:c r="AC238" s="82" t="s"/>
      <x:c r="AD238" s="82" t="s"/>
      <x:c r="AE238" s="82" t="s"/>
      <x:c r="AF238" s="82" t="s"/>
      <x:c r="AG238" s="82" t="s"/>
      <x:c r="AH238" s="82" t="s"/>
      <x:c r="AI238" s="82" t="s"/>
      <x:c r="AJ238" s="82" t="s"/>
      <x:c r="AK238" s="82" t="s"/>
      <x:c r="AL238" s="82" t="s"/>
      <x:c r="AM238" s="82" t="s"/>
      <x:c r="AN238" s="82" t="s"/>
      <x:c r="AO238" s="82" t="s"/>
      <x:c r="AP238" s="82" t="s"/>
      <x:c r="AQ238" s="82" t="s"/>
      <x:c r="AR238" s="82" t="s"/>
      <x:c r="AS238" s="82" t="s"/>
      <x:c r="AT238" s="82" t="s"/>
      <x:c r="AU238" s="82" t="s"/>
      <x:c r="AV238" s="82" t="s"/>
      <x:c r="AW238" s="82" t="s"/>
      <x:c r="AX238" s="82" t="s"/>
      <x:c r="AY238" s="82" t="s"/>
      <x:c r="AZ238" s="82" t="s"/>
      <x:c r="BA238" s="82" t="s"/>
      <x:c r="BB238" s="82" t="s"/>
      <x:c r="BC238" s="82" t="s"/>
      <x:c r="BD238" s="82" t="s"/>
      <x:c r="BE238" s="82" t="s"/>
      <x:c r="BF238" s="82" t="s"/>
      <x:c r="BG238" s="82" t="s"/>
      <x:c r="BH238" s="82" t="s"/>
      <x:c r="BI238" s="82" t="s"/>
      <x:c r="BJ238" s="82" t="s"/>
      <x:c r="BK238" s="82" t="s"/>
      <x:c r="BL238" s="82" t="s"/>
      <x:c r="BM238" s="82" t="s"/>
      <x:c r="BN238" s="82" t="s"/>
      <x:c r="BO238" s="82" t="s"/>
      <x:c r="BP238" s="82" t="s"/>
      <x:c r="BQ238" s="82" t="s"/>
      <x:c r="BR238" s="82" t="s"/>
    </x:row>
    <x:row r="239" spans="1:70" x14ac:dyDescent="0.25">
      <x:c r="A239" s="82" t="s">
        <x:v>106</x:v>
      </x:c>
      <x:c r="B239" s="82" t="s">
        <x:v>107</x:v>
      </x:c>
      <x:c r="C239" s="82" t="s">
        <x:v>119</x:v>
      </x:c>
      <x:c r="D239" s="85">
        <x:v>42107</x:v>
      </x:c>
      <x:c r="E239" s="82" t="n">
        <x:v>29764</x:v>
      </x:c>
      <x:c r="F239" s="90" t="n">
        <x:v>113.6</x:v>
      </x:c>
      <x:c r="G239" s="90" t="n">
        <x:v>113.7</x:v>
      </x:c>
      <x:c r="H239" s="82" t="s"/>
      <x:c r="I239" s="82" t="s"/>
      <x:c r="J239" s="82" t="s"/>
      <x:c r="K239" s="82" t="s"/>
      <x:c r="L239" s="82" t="s"/>
      <x:c r="M239" s="82" t="s"/>
      <x:c r="N239" s="82" t="s"/>
      <x:c r="O239" s="82" t="s"/>
      <x:c r="P239" s="82" t="s"/>
      <x:c r="Q239" s="82" t="s"/>
      <x:c r="R239" s="82" t="s"/>
      <x:c r="S239" s="82" t="s"/>
      <x:c r="T239" s="82" t="s"/>
      <x:c r="U239" s="82" t="s"/>
      <x:c r="V239" s="82" t="s"/>
      <x:c r="W239" s="82" t="s"/>
      <x:c r="X239" s="82" t="s"/>
      <x:c r="Y239" s="82" t="s"/>
      <x:c r="Z239" s="82" t="s"/>
      <x:c r="AA239" s="82" t="s"/>
      <x:c r="AB239" s="82" t="s"/>
      <x:c r="AC239" s="82" t="s"/>
      <x:c r="AD239" s="82" t="s"/>
      <x:c r="AE239" s="82" t="s"/>
      <x:c r="AF239" s="82" t="s"/>
      <x:c r="AG239" s="82" t="s"/>
      <x:c r="AH239" s="82" t="s"/>
      <x:c r="AI239" s="82" t="s"/>
      <x:c r="AJ239" s="82" t="s"/>
      <x:c r="AK239" s="82" t="s"/>
      <x:c r="AL239" s="82" t="s"/>
      <x:c r="AM239" s="82" t="s"/>
      <x:c r="AN239" s="82" t="s"/>
      <x:c r="AO239" s="82" t="s"/>
      <x:c r="AP239" s="82" t="s"/>
      <x:c r="AQ239" s="82" t="s"/>
      <x:c r="AR239" s="82" t="s"/>
      <x:c r="AS239" s="82" t="s"/>
      <x:c r="AT239" s="82" t="s"/>
      <x:c r="AU239" s="82" t="s"/>
      <x:c r="AV239" s="82" t="s"/>
      <x:c r="AW239" s="82" t="s"/>
      <x:c r="AX239" s="82" t="s"/>
      <x:c r="AY239" s="82" t="s"/>
      <x:c r="AZ239" s="82" t="s"/>
      <x:c r="BA239" s="82" t="s"/>
      <x:c r="BB239" s="82" t="s"/>
      <x:c r="BC239" s="82" t="s"/>
      <x:c r="BD239" s="82" t="s"/>
      <x:c r="BE239" s="82" t="s"/>
      <x:c r="BF239" s="82" t="s"/>
      <x:c r="BG239" s="82" t="s"/>
      <x:c r="BH239" s="82" t="s"/>
      <x:c r="BI239" s="82" t="s"/>
      <x:c r="BJ239" s="82" t="s"/>
      <x:c r="BK239" s="82" t="s"/>
      <x:c r="BL239" s="82" t="s"/>
      <x:c r="BM239" s="82" t="s"/>
      <x:c r="BN239" s="82" t="s"/>
      <x:c r="BO239" s="82" t="s"/>
      <x:c r="BP239" s="82" t="s"/>
      <x:c r="BQ239" s="82" t="s"/>
      <x:c r="BR239" s="82" t="s"/>
    </x:row>
    <x:row r="240" spans="1:70" x14ac:dyDescent="0.25">
      <x:c r="A240" s="82" t="s">
        <x:v>106</x:v>
      </x:c>
      <x:c r="B240" s="82" t="s">
        <x:v>107</x:v>
      </x:c>
      <x:c r="C240" s="82" t="s">
        <x:v>120</x:v>
      </x:c>
      <x:c r="D240" s="85">
        <x:v>42107</x:v>
      </x:c>
      <x:c r="E240" s="82" t="n">
        <x:v>29764</x:v>
      </x:c>
      <x:c r="F240" s="90" t="n">
        <x:v>-0.100000000000009</x:v>
      </x:c>
      <x:c r="G240" s="90" t="n">
        <x:v>-2.89999999999999</x:v>
      </x:c>
      <x:c r="H240" s="82" t="s"/>
      <x:c r="I240" s="82" t="s"/>
      <x:c r="J240" s="82" t="s"/>
      <x:c r="K240" s="82" t="s"/>
      <x:c r="L240" s="82" t="s"/>
      <x:c r="M240" s="82" t="s"/>
      <x:c r="N240" s="82" t="s"/>
      <x:c r="O240" s="82" t="s"/>
      <x:c r="P240" s="82" t="s"/>
      <x:c r="Q240" s="82" t="s"/>
      <x:c r="R240" s="82" t="s"/>
      <x:c r="S240" s="82" t="s"/>
      <x:c r="T240" s="82" t="s"/>
      <x:c r="U240" s="82" t="s"/>
      <x:c r="V240" s="82" t="s"/>
      <x:c r="W240" s="82" t="s"/>
      <x:c r="X240" s="82" t="s"/>
      <x:c r="Y240" s="82" t="s"/>
      <x:c r="Z240" s="82" t="s"/>
      <x:c r="AA240" s="82" t="s"/>
      <x:c r="AB240" s="82" t="s"/>
      <x:c r="AC240" s="82" t="s"/>
      <x:c r="AD240" s="82" t="s"/>
      <x:c r="AE240" s="82" t="s"/>
      <x:c r="AF240" s="82" t="s"/>
      <x:c r="AG240" s="82" t="s"/>
      <x:c r="AH240" s="82" t="s"/>
      <x:c r="AI240" s="82" t="s"/>
      <x:c r="AJ240" s="82" t="s"/>
      <x:c r="AK240" s="82" t="s"/>
      <x:c r="AL240" s="82" t="s"/>
      <x:c r="AM240" s="82" t="s"/>
      <x:c r="AN240" s="82" t="s"/>
      <x:c r="AO240" s="82" t="s"/>
      <x:c r="AP240" s="82" t="s"/>
      <x:c r="AQ240" s="82" t="s"/>
      <x:c r="AR240" s="82" t="s"/>
      <x:c r="AS240" s="82" t="s"/>
      <x:c r="AT240" s="82" t="s"/>
      <x:c r="AU240" s="82" t="s"/>
      <x:c r="AV240" s="82" t="s"/>
      <x:c r="AW240" s="82" t="s"/>
      <x:c r="AX240" s="82" t="s"/>
      <x:c r="AY240" s="82" t="s"/>
      <x:c r="AZ240" s="82" t="s"/>
      <x:c r="BA240" s="82" t="s"/>
      <x:c r="BB240" s="82" t="s"/>
      <x:c r="BC240" s="82" t="s"/>
      <x:c r="BD240" s="82" t="s"/>
      <x:c r="BE240" s="82" t="s"/>
      <x:c r="BF240" s="82" t="s"/>
      <x:c r="BG240" s="82" t="s"/>
      <x:c r="BH240" s="82" t="s"/>
      <x:c r="BI240" s="82" t="s"/>
      <x:c r="BJ240" s="82" t="s"/>
      <x:c r="BK240" s="82" t="s"/>
      <x:c r="BL240" s="82" t="s"/>
      <x:c r="BM240" s="82" t="s"/>
      <x:c r="BN240" s="82" t="s"/>
      <x:c r="BO240" s="82" t="s"/>
      <x:c r="BP240" s="82" t="s"/>
      <x:c r="BQ240" s="82" t="s"/>
      <x:c r="BR240" s="82" t="s"/>
    </x:row>
    <x:row r="241" spans="1:70" customFormat="1" ht="15.75" customHeight="1" thickBot="1" x14ac:dyDescent="0.3">
      <x:c r="A241" s="106" t="s">
        <x:v>106</x:v>
      </x:c>
      <x:c r="B241" s="106" t="s">
        <x:v>107</x:v>
      </x:c>
      <x:c r="C241" s="106" t="s">
        <x:v>121</x:v>
      </x:c>
      <x:c r="D241" s="105">
        <x:v>42107</x:v>
      </x:c>
      <x:c r="E241" s="106" t="n">
        <x:v>29764</x:v>
      </x:c>
      <x:c r="F241" s="126" t="n">
        <x:v>114.8</x:v>
      </x:c>
      <x:c r="G241" s="126" t="n">
        <x:v>117.4</x:v>
      </x:c>
      <x:c r="H241" s="106" t="s"/>
      <x:c r="I241" s="106" t="s"/>
      <x:c r="J241" s="82" t="s"/>
      <x:c r="K241" s="82" t="s"/>
      <x:c r="L241" s="82" t="s"/>
      <x:c r="M241" s="82" t="s"/>
      <x:c r="N241" s="82" t="s"/>
      <x:c r="O241" s="82" t="s"/>
      <x:c r="P241" s="82" t="s"/>
      <x:c r="Q241" s="82" t="s"/>
      <x:c r="R241" s="82" t="s"/>
      <x:c r="S241" s="82" t="s"/>
      <x:c r="T241" s="82" t="s"/>
      <x:c r="U241" s="82" t="s"/>
      <x:c r="V241" s="82" t="s"/>
      <x:c r="W241" s="82" t="s"/>
      <x:c r="X241" s="82" t="s"/>
      <x:c r="Y241" s="82" t="s"/>
      <x:c r="Z241" s="82" t="s"/>
      <x:c r="AA241" s="82" t="s"/>
      <x:c r="AB241" s="82" t="s"/>
      <x:c r="AC241" s="82" t="s"/>
      <x:c r="AD241" s="82" t="s"/>
      <x:c r="AE241" s="82" t="s"/>
      <x:c r="AF241" s="82" t="s"/>
      <x:c r="AG241" s="82" t="s"/>
      <x:c r="AH241" s="82" t="s"/>
      <x:c r="AI241" s="82" t="s"/>
      <x:c r="AJ241" s="82" t="s"/>
      <x:c r="AK241" s="82" t="s"/>
      <x:c r="AL241" s="82" t="s"/>
      <x:c r="AM241" s="82" t="s"/>
      <x:c r="AN241" s="82" t="s"/>
      <x:c r="AO241" s="82" t="s"/>
      <x:c r="AP241" s="82" t="s"/>
      <x:c r="AQ241" s="82" t="s"/>
      <x:c r="AR241" s="82" t="s"/>
      <x:c r="AS241" s="82" t="s"/>
      <x:c r="AT241" s="82" t="s"/>
      <x:c r="AU241" s="82" t="s"/>
      <x:c r="AV241" s="82" t="s"/>
      <x:c r="AW241" s="82" t="s"/>
      <x:c r="AX241" s="82" t="s"/>
      <x:c r="AY241" s="82" t="s"/>
      <x:c r="AZ241" s="82" t="s"/>
      <x:c r="BA241" s="82" t="s"/>
      <x:c r="BB241" s="82" t="s"/>
      <x:c r="BC241" s="82" t="s"/>
      <x:c r="BD241" s="82" t="s"/>
      <x:c r="BE241" s="82" t="s"/>
      <x:c r="BF241" s="82" t="s"/>
      <x:c r="BG241" s="82" t="s"/>
      <x:c r="BH241" s="82" t="s"/>
      <x:c r="BI241" s="82" t="s"/>
      <x:c r="BJ241" s="82" t="s"/>
      <x:c r="BK241" s="82" t="s"/>
      <x:c r="BL241" s="82" t="s"/>
      <x:c r="BM241" s="82" t="s"/>
      <x:c r="BN241" s="82" t="s"/>
      <x:c r="BO241" s="82" t="s"/>
      <x:c r="BP241" s="82" t="s"/>
      <x:c r="BQ241" s="82" t="s"/>
      <x:c r="BR241" s="82" t="s"/>
    </x:row>
    <x:row r="242" spans="1:70" x14ac:dyDescent="0.25">
      <x:c r="A242" s="82" t="s">
        <x:v>106</x:v>
      </x:c>
      <x:c r="B242" s="82" t="s">
        <x:v>107</x:v>
      </x:c>
      <x:c r="C242" s="82" t="s">
        <x:v>108</x:v>
      </x:c>
      <x:c r="D242" s="85">
        <x:v>42107</x:v>
      </x:c>
      <x:c r="E242" s="82" t="n">
        <x:v>29774</x:v>
      </x:c>
      <x:c r="F242" s="86" t="n">
        <x:v>0.0156401093024449</x:v>
      </x:c>
      <x:c r="G242" s="86" t="n">
        <x:v>0.0358012442708146</x:v>
      </x:c>
      <x:c r="H242" s="86" t="n">
        <x:v>0.0214098957418164</x:v>
      </x:c>
      <x:c r="I242" s="86" t="n">
        <x:v>0.0295839176300933</x:v>
      </x:c>
      <x:c r="J242" s="82" t="s"/>
      <x:c r="K242" s="82" t="s"/>
      <x:c r="L242" s="82" t="s"/>
      <x:c r="M242" s="82" t="s"/>
      <x:c r="N242" s="82" t="s"/>
      <x:c r="O242" s="82" t="s"/>
      <x:c r="P242" s="82" t="s"/>
      <x:c r="Q242" s="82" t="s"/>
      <x:c r="R242" s="82" t="s"/>
      <x:c r="S242" s="82" t="s"/>
      <x:c r="T242" s="82" t="s"/>
      <x:c r="U242" s="82" t="s"/>
      <x:c r="V242" s="82" t="s"/>
      <x:c r="W242" s="82" t="s"/>
      <x:c r="X242" s="82" t="s"/>
      <x:c r="Y242" s="82" t="s"/>
      <x:c r="Z242" s="82" t="s"/>
      <x:c r="AA242" s="82" t="s"/>
      <x:c r="AB242" s="82" t="s"/>
      <x:c r="AC242" s="82" t="s"/>
      <x:c r="AD242" s="82" t="s"/>
      <x:c r="AE242" s="82" t="s"/>
      <x:c r="AF242" s="82" t="s"/>
      <x:c r="AG242" s="82" t="s"/>
      <x:c r="AH242" s="82" t="s"/>
      <x:c r="AI242" s="82" t="s"/>
      <x:c r="AJ242" s="82" t="s"/>
      <x:c r="AK242" s="82" t="s"/>
      <x:c r="AL242" s="82" t="s"/>
      <x:c r="AM242" s="82" t="s"/>
      <x:c r="AN242" s="82" t="s"/>
      <x:c r="AO242" s="82" t="s"/>
      <x:c r="AP242" s="82" t="s"/>
      <x:c r="AQ242" s="82" t="s"/>
      <x:c r="AR242" s="82" t="s"/>
      <x:c r="AS242" s="82" t="s"/>
      <x:c r="AT242" s="82" t="s"/>
      <x:c r="AU242" s="82" t="s"/>
      <x:c r="AV242" s="82" t="s"/>
      <x:c r="AW242" s="82" t="s"/>
      <x:c r="AX242" s="82" t="s"/>
      <x:c r="AY242" s="82" t="s"/>
      <x:c r="AZ242" s="82" t="s"/>
      <x:c r="BA242" s="82" t="s"/>
      <x:c r="BB242" s="82" t="s"/>
      <x:c r="BC242" s="82" t="s"/>
      <x:c r="BD242" s="82" t="s"/>
      <x:c r="BE242" s="82" t="s"/>
      <x:c r="BF242" s="82" t="s"/>
      <x:c r="BG242" s="82" t="s"/>
      <x:c r="BH242" s="82" t="s"/>
      <x:c r="BI242" s="82" t="s"/>
      <x:c r="BJ242" s="82" t="s"/>
      <x:c r="BK242" s="82" t="s"/>
      <x:c r="BL242" s="82" t="s"/>
      <x:c r="BM242" s="82" t="s"/>
      <x:c r="BN242" s="82" t="s"/>
      <x:c r="BO242" s="82" t="s"/>
      <x:c r="BP242" s="82" t="s"/>
      <x:c r="BQ242" s="82" t="s"/>
      <x:c r="BR242" s="82" t="s"/>
    </x:row>
    <x:row r="243" spans="1:70" x14ac:dyDescent="0.25">
      <x:c r="A243" s="82" t="s">
        <x:v>106</x:v>
      </x:c>
      <x:c r="B243" s="82" t="s">
        <x:v>107</x:v>
      </x:c>
      <x:c r="C243" s="82" t="s">
        <x:v>109</x:v>
      </x:c>
      <x:c r="D243" s="85">
        <x:v>42107</x:v>
      </x:c>
      <x:c r="E243" s="82" t="n">
        <x:v>29774</x:v>
      </x:c>
      <x:c r="F243" s="86" t="n">
        <x:v>3.9764529313086</x:v>
      </x:c>
      <x:c r="G243" s="86" t="n">
        <x:v>4.30021368614934</x:v>
      </x:c>
      <x:c r="H243" s="86" t="n">
        <x:v>5.55417469992125</x:v>
      </x:c>
      <x:c r="I243" s="86" t="n">
        <x:v>4.08087927849728</x:v>
      </x:c>
      <x:c r="J243" s="82" t="s"/>
      <x:c r="K243" s="82" t="s"/>
      <x:c r="L243" s="82" t="s"/>
      <x:c r="M243" s="82" t="s"/>
      <x:c r="N243" s="82" t="s"/>
      <x:c r="O243" s="82" t="s"/>
      <x:c r="P243" s="82" t="s"/>
      <x:c r="Q243" s="82" t="s"/>
      <x:c r="R243" s="82" t="s"/>
      <x:c r="S243" s="82" t="s"/>
      <x:c r="T243" s="82" t="s"/>
      <x:c r="U243" s="82" t="s"/>
      <x:c r="V243" s="82" t="s"/>
      <x:c r="W243" s="82" t="s"/>
      <x:c r="X243" s="82" t="s"/>
      <x:c r="Y243" s="82" t="s"/>
      <x:c r="Z243" s="82" t="s"/>
      <x:c r="AA243" s="82" t="s"/>
      <x:c r="AB243" s="82" t="s"/>
      <x:c r="AC243" s="82" t="s"/>
      <x:c r="AD243" s="82" t="s"/>
      <x:c r="AE243" s="82" t="s"/>
      <x:c r="AF243" s="82" t="s"/>
      <x:c r="AG243" s="82" t="s"/>
      <x:c r="AH243" s="82" t="s"/>
      <x:c r="AI243" s="82" t="s"/>
      <x:c r="AJ243" s="82" t="s"/>
      <x:c r="AK243" s="82" t="s"/>
      <x:c r="AL243" s="82" t="s"/>
      <x:c r="AM243" s="82" t="s"/>
      <x:c r="AN243" s="82" t="s"/>
      <x:c r="AO243" s="82" t="s"/>
      <x:c r="AP243" s="82" t="s"/>
      <x:c r="AQ243" s="82" t="s"/>
      <x:c r="AR243" s="82" t="s"/>
      <x:c r="AS243" s="82" t="s"/>
      <x:c r="AT243" s="82" t="s"/>
      <x:c r="AU243" s="82" t="s"/>
      <x:c r="AV243" s="82" t="s"/>
      <x:c r="AW243" s="82" t="s"/>
      <x:c r="AX243" s="82" t="s"/>
      <x:c r="AY243" s="82" t="s"/>
      <x:c r="AZ243" s="82" t="s"/>
      <x:c r="BA243" s="82" t="s"/>
      <x:c r="BB243" s="82" t="s"/>
      <x:c r="BC243" s="82" t="s"/>
      <x:c r="BD243" s="82" t="s"/>
      <x:c r="BE243" s="82" t="s"/>
      <x:c r="BF243" s="82" t="s"/>
      <x:c r="BG243" s="82" t="s"/>
      <x:c r="BH243" s="82" t="s"/>
      <x:c r="BI243" s="82" t="s"/>
      <x:c r="BJ243" s="82" t="s"/>
      <x:c r="BK243" s="82" t="s"/>
      <x:c r="BL243" s="82" t="s"/>
      <x:c r="BM243" s="82" t="s"/>
      <x:c r="BN243" s="82" t="s"/>
      <x:c r="BO243" s="82" t="s"/>
      <x:c r="BP243" s="82" t="s"/>
      <x:c r="BQ243" s="82" t="s"/>
      <x:c r="BR243" s="82" t="s"/>
    </x:row>
    <x:row r="244" spans="1:70" x14ac:dyDescent="0.25">
      <x:c r="A244" s="82" t="s">
        <x:v>106</x:v>
      </x:c>
      <x:c r="B244" s="82" t="s">
        <x:v>107</x:v>
      </x:c>
      <x:c r="C244" s="82" t="s">
        <x:v>110</x:v>
      </x:c>
      <x:c r="D244" s="85">
        <x:v>42107</x:v>
      </x:c>
      <x:c r="E244" s="82" t="n">
        <x:v>29774</x:v>
      </x:c>
      <x:c r="F244" s="86" t="n">
        <x:v>0.384774317966696</x:v>
      </x:c>
      <x:c r="G244" s="86" t="n">
        <x:v>0.415063960514414</x:v>
      </x:c>
      <x:c r="H244" s="86" t="n">
        <x:v>0.368578929471187</x:v>
      </x:c>
      <x:c r="I244" s="86" t="n">
        <x:v>0.338221000945935</x:v>
      </x:c>
      <x:c r="J244" s="82" t="s"/>
      <x:c r="K244" s="82" t="s"/>
      <x:c r="L244" s="82" t="s"/>
      <x:c r="M244" s="82" t="s"/>
      <x:c r="N244" s="82" t="s"/>
      <x:c r="O244" s="82" t="s"/>
      <x:c r="P244" s="82" t="s"/>
      <x:c r="Q244" s="82" t="s"/>
      <x:c r="R244" s="82" t="s"/>
      <x:c r="S244" s="82" t="s"/>
      <x:c r="T244" s="82" t="s"/>
      <x:c r="U244" s="82" t="s"/>
      <x:c r="V244" s="82" t="s"/>
      <x:c r="W244" s="82" t="s"/>
      <x:c r="X244" s="82" t="s"/>
      <x:c r="Y244" s="82" t="s"/>
      <x:c r="Z244" s="82" t="s"/>
      <x:c r="AA244" s="82" t="s"/>
      <x:c r="AB244" s="82" t="s"/>
      <x:c r="AC244" s="82" t="s"/>
      <x:c r="AD244" s="82" t="s"/>
      <x:c r="AE244" s="82" t="s"/>
      <x:c r="AF244" s="82" t="s"/>
      <x:c r="AG244" s="82" t="s"/>
      <x:c r="AH244" s="82" t="s"/>
      <x:c r="AI244" s="82" t="s"/>
      <x:c r="AJ244" s="82" t="s"/>
      <x:c r="AK244" s="82" t="s"/>
      <x:c r="AL244" s="82" t="s"/>
      <x:c r="AM244" s="82" t="s"/>
      <x:c r="AN244" s="82" t="s"/>
      <x:c r="AO244" s="82" t="s"/>
      <x:c r="AP244" s="82" t="s"/>
      <x:c r="AQ244" s="82" t="s"/>
      <x:c r="AR244" s="82" t="s"/>
      <x:c r="AS244" s="82" t="s"/>
      <x:c r="AT244" s="82" t="s"/>
      <x:c r="AU244" s="82" t="s"/>
      <x:c r="AV244" s="82" t="s"/>
      <x:c r="AW244" s="82" t="s"/>
      <x:c r="AX244" s="82" t="s"/>
      <x:c r="AY244" s="82" t="s"/>
      <x:c r="AZ244" s="82" t="s"/>
      <x:c r="BA244" s="82" t="s"/>
      <x:c r="BB244" s="82" t="s"/>
      <x:c r="BC244" s="82" t="s"/>
      <x:c r="BD244" s="82" t="s"/>
      <x:c r="BE244" s="82" t="s"/>
      <x:c r="BF244" s="82" t="s"/>
      <x:c r="BG244" s="82" t="s"/>
      <x:c r="BH244" s="82" t="s"/>
      <x:c r="BI244" s="82" t="s"/>
      <x:c r="BJ244" s="82" t="s"/>
      <x:c r="BK244" s="82" t="s"/>
      <x:c r="BL244" s="82" t="s"/>
      <x:c r="BM244" s="82" t="s"/>
      <x:c r="BN244" s="82" t="s"/>
      <x:c r="BO244" s="82" t="s"/>
      <x:c r="BP244" s="82" t="s"/>
      <x:c r="BQ244" s="82" t="s"/>
      <x:c r="BR244" s="82" t="s"/>
    </x:row>
    <x:row r="245" spans="1:70" x14ac:dyDescent="0.25">
      <x:c r="A245" s="82" t="s">
        <x:v>106</x:v>
      </x:c>
      <x:c r="B245" s="82" t="s">
        <x:v>107</x:v>
      </x:c>
      <x:c r="C245" s="82" t="s">
        <x:v>111</x:v>
      </x:c>
      <x:c r="D245" s="85">
        <x:v>42107</x:v>
      </x:c>
      <x:c r="E245" s="82" t="n">
        <x:v>29774</x:v>
      </x:c>
      <x:c r="F245" s="86" t="n">
        <x:v>2.74192409844566</x:v>
      </x:c>
      <x:c r="G245" s="86" t="n">
        <x:v>2.46990962669586</x:v>
      </x:c>
      <x:c r="H245" s="86" t="n">
        <x:v>2.06174770548123</x:v>
      </x:c>
      <x:c r="I245" s="86" t="n">
        <x:v>2.78335207276676</x:v>
      </x:c>
      <x:c r="J245" s="82" t="s"/>
      <x:c r="K245" s="82" t="s"/>
      <x:c r="L245" s="82" t="s"/>
      <x:c r="M245" s="82" t="s"/>
      <x:c r="N245" s="82" t="s"/>
      <x:c r="O245" s="82" t="s"/>
      <x:c r="P245" s="82" t="s"/>
      <x:c r="Q245" s="82" t="s"/>
      <x:c r="R245" s="82" t="s"/>
      <x:c r="S245" s="82" t="s"/>
      <x:c r="T245" s="82" t="s"/>
      <x:c r="U245" s="82" t="s"/>
      <x:c r="V245" s="82" t="s"/>
      <x:c r="W245" s="82" t="s"/>
      <x:c r="X245" s="82" t="s"/>
      <x:c r="Y245" s="82" t="s"/>
      <x:c r="Z245" s="82" t="s"/>
      <x:c r="AA245" s="82" t="s"/>
      <x:c r="AB245" s="82" t="s"/>
      <x:c r="AC245" s="82" t="s"/>
      <x:c r="AD245" s="82" t="s"/>
      <x:c r="AE245" s="82" t="s"/>
      <x:c r="AF245" s="82" t="s"/>
      <x:c r="AG245" s="82" t="s"/>
      <x:c r="AH245" s="82" t="s"/>
      <x:c r="AI245" s="82" t="s"/>
      <x:c r="AJ245" s="82" t="s"/>
      <x:c r="AK245" s="82" t="s"/>
      <x:c r="AL245" s="82" t="s"/>
      <x:c r="AM245" s="82" t="s"/>
      <x:c r="AN245" s="82" t="s"/>
      <x:c r="AO245" s="82" t="s"/>
      <x:c r="AP245" s="82" t="s"/>
      <x:c r="AQ245" s="82" t="s"/>
      <x:c r="AR245" s="82" t="s"/>
      <x:c r="AS245" s="82" t="s"/>
      <x:c r="AT245" s="82" t="s"/>
      <x:c r="AU245" s="82" t="s"/>
      <x:c r="AV245" s="82" t="s"/>
      <x:c r="AW245" s="82" t="s"/>
      <x:c r="AX245" s="82" t="s"/>
      <x:c r="AY245" s="82" t="s"/>
      <x:c r="AZ245" s="82" t="s"/>
      <x:c r="BA245" s="82" t="s"/>
      <x:c r="BB245" s="82" t="s"/>
      <x:c r="BC245" s="82" t="s"/>
      <x:c r="BD245" s="82" t="s"/>
      <x:c r="BE245" s="82" t="s"/>
      <x:c r="BF245" s="82" t="s"/>
      <x:c r="BG245" s="82" t="s"/>
      <x:c r="BH245" s="82" t="s"/>
      <x:c r="BI245" s="82" t="s"/>
      <x:c r="BJ245" s="82" t="s"/>
      <x:c r="BK245" s="82" t="s"/>
      <x:c r="BL245" s="82" t="s"/>
      <x:c r="BM245" s="82" t="s"/>
      <x:c r="BN245" s="82" t="s"/>
      <x:c r="BO245" s="82" t="s"/>
      <x:c r="BP245" s="82" t="s"/>
      <x:c r="BQ245" s="82" t="s"/>
      <x:c r="BR245" s="82" t="s"/>
    </x:row>
    <x:row r="246" spans="1:70" x14ac:dyDescent="0.25">
      <x:c r="A246" s="82" t="s">
        <x:v>106</x:v>
      </x:c>
      <x:c r="B246" s="82" t="s">
        <x:v>107</x:v>
      </x:c>
      <x:c r="C246" s="82" t="s">
        <x:v>112</x:v>
      </x:c>
      <x:c r="D246" s="85">
        <x:v>42107</x:v>
      </x:c>
      <x:c r="E246" s="82" t="n">
        <x:v>29774</x:v>
      </x:c>
      <x:c r="F246" s="82" t="n">
        <x:v>8.21407051334909</x:v>
      </x:c>
      <x:c r="G246" s="82" t="n">
        <x:v>7.39918798145448</x:v>
      </x:c>
      <x:c r="H246" s="82" t="n">
        <x:v>6.176444141236</x:v>
      </x:c>
      <x:c r="I246" s="82" t="n">
        <x:v>8.33817763305079</x:v>
      </x:c>
      <x:c r="J246" s="82" t="s"/>
      <x:c r="K246" s="82" t="s"/>
      <x:c r="L246" s="82" t="s"/>
      <x:c r="M246" s="82" t="s"/>
      <x:c r="N246" s="82" t="s"/>
      <x:c r="O246" s="82" t="s"/>
      <x:c r="P246" s="82" t="s"/>
      <x:c r="Q246" s="82" t="s"/>
      <x:c r="R246" s="82" t="s"/>
      <x:c r="S246" s="82" t="s"/>
      <x:c r="T246" s="82" t="s"/>
      <x:c r="U246" s="82" t="s"/>
      <x:c r="V246" s="82" t="s"/>
      <x:c r="W246" s="82" t="s"/>
      <x:c r="X246" s="82" t="s"/>
      <x:c r="Y246" s="82" t="s"/>
      <x:c r="Z246" s="82" t="s"/>
      <x:c r="AA246" s="82" t="s"/>
      <x:c r="AB246" s="82" t="s"/>
      <x:c r="AC246" s="82" t="s"/>
      <x:c r="AD246" s="82" t="s"/>
      <x:c r="AE246" s="82" t="s"/>
      <x:c r="AF246" s="82" t="s"/>
      <x:c r="AG246" s="82" t="s"/>
      <x:c r="AH246" s="82" t="s"/>
      <x:c r="AI246" s="82" t="s"/>
      <x:c r="AJ246" s="82" t="s"/>
      <x:c r="AK246" s="82" t="s"/>
      <x:c r="AL246" s="82" t="s"/>
      <x:c r="AM246" s="82" t="s"/>
      <x:c r="AN246" s="82" t="s"/>
      <x:c r="AO246" s="82" t="s"/>
      <x:c r="AP246" s="82" t="s"/>
      <x:c r="AQ246" s="82" t="s"/>
      <x:c r="AR246" s="82" t="s"/>
      <x:c r="AS246" s="82" t="s"/>
      <x:c r="AT246" s="82" t="s"/>
      <x:c r="AU246" s="82" t="s"/>
      <x:c r="AV246" s="82" t="s"/>
      <x:c r="AW246" s="82" t="s"/>
      <x:c r="AX246" s="82" t="s"/>
      <x:c r="AY246" s="82" t="s"/>
      <x:c r="AZ246" s="82" t="s"/>
      <x:c r="BA246" s="82" t="s"/>
      <x:c r="BB246" s="82" t="s"/>
      <x:c r="BC246" s="82" t="s"/>
      <x:c r="BD246" s="82" t="s"/>
      <x:c r="BE246" s="82" t="s"/>
      <x:c r="BF246" s="82" t="s"/>
      <x:c r="BG246" s="82" t="s"/>
      <x:c r="BH246" s="82" t="s"/>
      <x:c r="BI246" s="82" t="s"/>
      <x:c r="BJ246" s="82" t="s"/>
      <x:c r="BK246" s="82" t="s"/>
      <x:c r="BL246" s="82" t="s"/>
      <x:c r="BM246" s="82" t="s"/>
      <x:c r="BN246" s="82" t="s"/>
      <x:c r="BO246" s="82" t="s"/>
      <x:c r="BP246" s="82" t="s"/>
      <x:c r="BQ246" s="82" t="s"/>
      <x:c r="BR246" s="82" t="s"/>
    </x:row>
    <x:row r="247" spans="1:70" x14ac:dyDescent="0.25">
      <x:c r="A247" s="82" t="s">
        <x:v>106</x:v>
      </x:c>
      <x:c r="B247" s="82" t="s">
        <x:v>107</x:v>
      </x:c>
      <x:c r="C247" s="82" t="s">
        <x:v>113</x:v>
      </x:c>
      <x:c r="D247" s="85">
        <x:v>42107</x:v>
      </x:c>
      <x:c r="E247" s="82" t="n">
        <x:v>29774</x:v>
      </x:c>
      <x:c r="F247" s="88" t="n">
        <x:v>-7.682</x:v>
      </x:c>
      <x:c r="G247" s="88" t="n">
        <x:v>-7.284</x:v>
      </x:c>
      <x:c r="H247" s="82" t="s"/>
      <x:c r="I247" s="82" t="s"/>
      <x:c r="J247" s="82" t="s"/>
      <x:c r="K247" s="82" t="s"/>
      <x:c r="L247" s="82" t="s"/>
      <x:c r="M247" s="82" t="s"/>
      <x:c r="N247" s="82" t="s"/>
      <x:c r="O247" s="82" t="s"/>
      <x:c r="P247" s="82" t="s"/>
      <x:c r="Q247" s="82" t="s"/>
      <x:c r="R247" s="82" t="s"/>
      <x:c r="S247" s="82" t="s"/>
      <x:c r="T247" s="82" t="s"/>
      <x:c r="U247" s="82" t="s"/>
      <x:c r="V247" s="82" t="s"/>
      <x:c r="W247" s="82" t="s"/>
      <x:c r="X247" s="82" t="s"/>
      <x:c r="Y247" s="82" t="s"/>
      <x:c r="Z247" s="82" t="s"/>
      <x:c r="AA247" s="82" t="s"/>
      <x:c r="AB247" s="82" t="s"/>
      <x:c r="AC247" s="82" t="s"/>
      <x:c r="AD247" s="82" t="s"/>
      <x:c r="AE247" s="82" t="s"/>
      <x:c r="AF247" s="82" t="s"/>
      <x:c r="AG247" s="82" t="s"/>
      <x:c r="AH247" s="82" t="s"/>
      <x:c r="AI247" s="82" t="s"/>
      <x:c r="AJ247" s="82" t="s"/>
      <x:c r="AK247" s="82" t="s"/>
      <x:c r="AL247" s="82" t="s"/>
      <x:c r="AM247" s="82" t="s"/>
      <x:c r="AN247" s="82" t="s"/>
      <x:c r="AO247" s="82" t="s"/>
      <x:c r="AP247" s="82" t="s"/>
      <x:c r="AQ247" s="82" t="s"/>
      <x:c r="AR247" s="82" t="s"/>
      <x:c r="AS247" s="82" t="s"/>
      <x:c r="AT247" s="82" t="s"/>
      <x:c r="AU247" s="82" t="s"/>
      <x:c r="AV247" s="82" t="s"/>
      <x:c r="AW247" s="82" t="s"/>
      <x:c r="AX247" s="82" t="s"/>
      <x:c r="AY247" s="82" t="s"/>
      <x:c r="AZ247" s="82" t="s"/>
      <x:c r="BA247" s="82" t="s"/>
      <x:c r="BB247" s="82" t="s"/>
      <x:c r="BC247" s="82" t="s"/>
      <x:c r="BD247" s="82" t="s"/>
      <x:c r="BE247" s="82" t="s"/>
      <x:c r="BF247" s="82" t="s"/>
      <x:c r="BG247" s="82" t="s"/>
      <x:c r="BH247" s="82" t="s"/>
      <x:c r="BI247" s="82" t="s"/>
      <x:c r="BJ247" s="82" t="s"/>
      <x:c r="BK247" s="82" t="s"/>
      <x:c r="BL247" s="82" t="s"/>
      <x:c r="BM247" s="82" t="s"/>
      <x:c r="BN247" s="82" t="s"/>
      <x:c r="BO247" s="82" t="s"/>
      <x:c r="BP247" s="82" t="s"/>
      <x:c r="BQ247" s="82" t="s"/>
      <x:c r="BR247" s="82" t="s"/>
    </x:row>
    <x:row r="248" spans="1:70" x14ac:dyDescent="0.25">
      <x:c r="A248" s="82" t="s">
        <x:v>106</x:v>
      </x:c>
      <x:c r="B248" s="82" t="s">
        <x:v>107</x:v>
      </x:c>
      <x:c r="C248" s="82" t="s">
        <x:v>114</x:v>
      </x:c>
      <x:c r="D248" s="85">
        <x:v>42107</x:v>
      </x:c>
      <x:c r="E248" s="82" t="n">
        <x:v>29774</x:v>
      </x:c>
      <x:c r="F248" s="88" t="n">
        <x:v>0.796</x:v>
      </x:c>
      <x:c r="G248" s="88" t="n">
        <x:v>0.712</x:v>
      </x:c>
      <x:c r="H248" s="82" t="s"/>
      <x:c r="I248" s="82" t="s"/>
      <x:c r="J248" s="82" t="s"/>
      <x:c r="K248" s="82" t="s"/>
      <x:c r="L248" s="82" t="s"/>
      <x:c r="M248" s="82" t="s"/>
      <x:c r="N248" s="82" t="s"/>
      <x:c r="O248" s="82" t="s"/>
      <x:c r="P248" s="82" t="s"/>
      <x:c r="Q248" s="82" t="s"/>
      <x:c r="R248" s="82" t="s"/>
      <x:c r="S248" s="82" t="s"/>
      <x:c r="T248" s="82" t="s"/>
      <x:c r="U248" s="82" t="s"/>
      <x:c r="V248" s="82" t="s"/>
      <x:c r="W248" s="82" t="s"/>
      <x:c r="X248" s="82" t="s"/>
      <x:c r="Y248" s="82" t="s"/>
      <x:c r="Z248" s="82" t="s"/>
      <x:c r="AA248" s="82" t="s"/>
      <x:c r="AB248" s="82" t="s"/>
      <x:c r="AC248" s="82" t="s"/>
      <x:c r="AD248" s="82" t="s"/>
      <x:c r="AE248" s="82" t="s"/>
      <x:c r="AF248" s="82" t="s"/>
      <x:c r="AG248" s="82" t="s"/>
      <x:c r="AH248" s="82" t="s"/>
      <x:c r="AI248" s="82" t="s"/>
      <x:c r="AJ248" s="82" t="s"/>
      <x:c r="AK248" s="82" t="s"/>
      <x:c r="AL248" s="82" t="s"/>
      <x:c r="AM248" s="82" t="s"/>
      <x:c r="AN248" s="82" t="s"/>
      <x:c r="AO248" s="82" t="s"/>
      <x:c r="AP248" s="82" t="s"/>
      <x:c r="AQ248" s="82" t="s"/>
      <x:c r="AR248" s="82" t="s"/>
      <x:c r="AS248" s="82" t="s"/>
      <x:c r="AT248" s="82" t="s"/>
      <x:c r="AU248" s="82" t="s"/>
      <x:c r="AV248" s="82" t="s"/>
      <x:c r="AW248" s="82" t="s"/>
      <x:c r="AX248" s="82" t="s"/>
      <x:c r="AY248" s="82" t="s"/>
      <x:c r="AZ248" s="82" t="s"/>
      <x:c r="BA248" s="82" t="s"/>
      <x:c r="BB248" s="82" t="s"/>
      <x:c r="BC248" s="82" t="s"/>
      <x:c r="BD248" s="82" t="s"/>
      <x:c r="BE248" s="82" t="s"/>
      <x:c r="BF248" s="82" t="s"/>
      <x:c r="BG248" s="82" t="s"/>
      <x:c r="BH248" s="82" t="s"/>
      <x:c r="BI248" s="82" t="s"/>
      <x:c r="BJ248" s="82" t="s"/>
      <x:c r="BK248" s="82" t="s"/>
      <x:c r="BL248" s="82" t="s"/>
      <x:c r="BM248" s="82" t="s"/>
      <x:c r="BN248" s="82" t="s"/>
      <x:c r="BO248" s="82" t="s"/>
      <x:c r="BP248" s="82" t="s"/>
      <x:c r="BQ248" s="82" t="s"/>
      <x:c r="BR248" s="82" t="s"/>
    </x:row>
    <x:row r="249" spans="1:70" x14ac:dyDescent="0.25">
      <x:c r="A249" s="82" t="s">
        <x:v>106</x:v>
      </x:c>
      <x:c r="B249" s="82" t="s">
        <x:v>107</x:v>
      </x:c>
      <x:c r="C249" s="82" t="s">
        <x:v>115</x:v>
      </x:c>
      <x:c r="D249" s="85">
        <x:v>42107</x:v>
      </x:c>
      <x:c r="E249" s="82" t="n">
        <x:v>29774</x:v>
      </x:c>
      <x:c r="F249" s="101" t="n">
        <x:v>-7.497</x:v>
      </x:c>
      <x:c r="G249" s="101" t="n">
        <x:v>-7.441</x:v>
      </x:c>
      <x:c r="H249" s="82" t="s"/>
      <x:c r="I249" s="82" t="s"/>
      <x:c r="J249" s="82" t="s"/>
      <x:c r="K249" s="82" t="s"/>
      <x:c r="L249" s="82" t="s"/>
      <x:c r="M249" s="82" t="s"/>
      <x:c r="N249" s="82" t="s"/>
      <x:c r="O249" s="82" t="s"/>
      <x:c r="P249" s="82" t="s"/>
      <x:c r="Q249" s="82" t="s"/>
      <x:c r="R249" s="82" t="s"/>
      <x:c r="S249" s="82" t="s"/>
      <x:c r="T249" s="82" t="s"/>
      <x:c r="U249" s="82" t="s"/>
      <x:c r="V249" s="82" t="s"/>
      <x:c r="W249" s="82" t="s"/>
      <x:c r="X249" s="82" t="s"/>
      <x:c r="Y249" s="82" t="s"/>
      <x:c r="Z249" s="82" t="s"/>
      <x:c r="AA249" s="82" t="s"/>
      <x:c r="AB249" s="82" t="s"/>
      <x:c r="AC249" s="82" t="s"/>
      <x:c r="AD249" s="82" t="s"/>
      <x:c r="AE249" s="82" t="s"/>
      <x:c r="AF249" s="82" t="s"/>
      <x:c r="AG249" s="82" t="s"/>
      <x:c r="AH249" s="82" t="s"/>
      <x:c r="AI249" s="82" t="s"/>
      <x:c r="AJ249" s="82" t="s"/>
      <x:c r="AK249" s="82" t="s"/>
      <x:c r="AL249" s="82" t="s"/>
      <x:c r="AM249" s="82" t="s"/>
      <x:c r="AN249" s="82" t="s"/>
      <x:c r="AO249" s="82" t="s"/>
      <x:c r="AP249" s="82" t="s"/>
      <x:c r="AQ249" s="82" t="s"/>
      <x:c r="AR249" s="82" t="s"/>
      <x:c r="AS249" s="82" t="s"/>
      <x:c r="AT249" s="82" t="s"/>
      <x:c r="AU249" s="82" t="s"/>
      <x:c r="AV249" s="82" t="s"/>
      <x:c r="AW249" s="82" t="s"/>
      <x:c r="AX249" s="82" t="s"/>
      <x:c r="AY249" s="82" t="s"/>
      <x:c r="AZ249" s="82" t="s"/>
      <x:c r="BA249" s="82" t="s"/>
      <x:c r="BB249" s="82" t="s"/>
      <x:c r="BC249" s="82" t="s"/>
      <x:c r="BD249" s="82" t="s"/>
      <x:c r="BE249" s="82" t="s"/>
      <x:c r="BF249" s="82" t="s"/>
      <x:c r="BG249" s="82" t="s"/>
      <x:c r="BH249" s="82" t="s"/>
      <x:c r="BI249" s="82" t="s"/>
      <x:c r="BJ249" s="82" t="s"/>
      <x:c r="BK249" s="82" t="s"/>
      <x:c r="BL249" s="82" t="s"/>
      <x:c r="BM249" s="82" t="s"/>
      <x:c r="BN249" s="82" t="s"/>
      <x:c r="BO249" s="82" t="s"/>
      <x:c r="BP249" s="82" t="s"/>
      <x:c r="BQ249" s="82" t="s"/>
      <x:c r="BR249" s="82" t="s"/>
    </x:row>
    <x:row r="250" spans="1:70" x14ac:dyDescent="0.25">
      <x:c r="A250" s="82" t="s">
        <x:v>106</x:v>
      </x:c>
      <x:c r="B250" s="82" t="s">
        <x:v>107</x:v>
      </x:c>
      <x:c r="C250" s="82" t="s">
        <x:v>116</x:v>
      </x:c>
      <x:c r="D250" s="85">
        <x:v>42107</x:v>
      </x:c>
      <x:c r="E250" s="82" t="n">
        <x:v>29774</x:v>
      </x:c>
      <x:c r="F250" s="101" t="n">
        <x:v>0.96</x:v>
      </x:c>
      <x:c r="G250" s="101" t="n">
        <x:v>0.856</x:v>
      </x:c>
      <x:c r="H250" s="82" t="s"/>
      <x:c r="I250" s="82" t="s"/>
      <x:c r="J250" s="82" t="s"/>
      <x:c r="K250" s="82" t="s"/>
      <x:c r="L250" s="82" t="s"/>
      <x:c r="M250" s="82" t="s"/>
      <x:c r="N250" s="82" t="s"/>
      <x:c r="O250" s="82" t="s"/>
      <x:c r="P250" s="82" t="s"/>
      <x:c r="Q250" s="82" t="s"/>
      <x:c r="R250" s="82" t="s"/>
      <x:c r="S250" s="82" t="s"/>
      <x:c r="T250" s="82" t="s"/>
      <x:c r="U250" s="82" t="s"/>
      <x:c r="V250" s="82" t="s"/>
      <x:c r="W250" s="82" t="s"/>
      <x:c r="X250" s="82" t="s"/>
      <x:c r="Y250" s="82" t="s"/>
      <x:c r="Z250" s="82" t="s"/>
      <x:c r="AA250" s="82" t="s"/>
      <x:c r="AB250" s="82" t="s"/>
      <x:c r="AC250" s="82" t="s"/>
      <x:c r="AD250" s="82" t="s"/>
      <x:c r="AE250" s="82" t="s"/>
      <x:c r="AF250" s="82" t="s"/>
      <x:c r="AG250" s="82" t="s"/>
      <x:c r="AH250" s="82" t="s"/>
      <x:c r="AI250" s="82" t="s"/>
      <x:c r="AJ250" s="82" t="s"/>
      <x:c r="AK250" s="82" t="s"/>
      <x:c r="AL250" s="82" t="s"/>
      <x:c r="AM250" s="82" t="s"/>
      <x:c r="AN250" s="82" t="s"/>
      <x:c r="AO250" s="82" t="s"/>
      <x:c r="AP250" s="82" t="s"/>
      <x:c r="AQ250" s="82" t="s"/>
      <x:c r="AR250" s="82" t="s"/>
      <x:c r="AS250" s="82" t="s"/>
      <x:c r="AT250" s="82" t="s"/>
      <x:c r="AU250" s="82" t="s"/>
      <x:c r="AV250" s="82" t="s"/>
      <x:c r="AW250" s="82" t="s"/>
      <x:c r="AX250" s="82" t="s"/>
      <x:c r="AY250" s="82" t="s"/>
      <x:c r="AZ250" s="82" t="s"/>
      <x:c r="BA250" s="82" t="s"/>
      <x:c r="BB250" s="82" t="s"/>
      <x:c r="BC250" s="82" t="s"/>
      <x:c r="BD250" s="82" t="s"/>
      <x:c r="BE250" s="82" t="s"/>
      <x:c r="BF250" s="82" t="s"/>
      <x:c r="BG250" s="82" t="s"/>
      <x:c r="BH250" s="82" t="s"/>
      <x:c r="BI250" s="82" t="s"/>
      <x:c r="BJ250" s="82" t="s"/>
      <x:c r="BK250" s="82" t="s"/>
      <x:c r="BL250" s="82" t="s"/>
      <x:c r="BM250" s="82" t="s"/>
      <x:c r="BN250" s="82" t="s"/>
      <x:c r="BO250" s="82" t="s"/>
      <x:c r="BP250" s="82" t="s"/>
      <x:c r="BQ250" s="82" t="s"/>
      <x:c r="BR250" s="82" t="s"/>
    </x:row>
    <x:row r="251" spans="1:70" x14ac:dyDescent="0.25">
      <x:c r="A251" s="82" t="s">
        <x:v>106</x:v>
      </x:c>
      <x:c r="B251" s="82" t="s">
        <x:v>107</x:v>
      </x:c>
      <x:c r="C251" s="82" t="s">
        <x:v>17</x:v>
      </x:c>
      <x:c r="D251" s="85">
        <x:v>42107</x:v>
      </x:c>
      <x:c r="E251" s="82" t="n">
        <x:v>29774</x:v>
      </x:c>
      <x:c r="F251" s="102" t="n">
        <x:v>37.6862230703081</x:v>
      </x:c>
      <x:c r="G251" s="102" t="n">
        <x:v>38.5586180902773</x:v>
      </x:c>
      <x:c r="H251" s="82" t="s"/>
      <x:c r="I251" s="82" t="s"/>
      <x:c r="J251" s="82" t="s"/>
      <x:c r="K251" s="82" t="s"/>
      <x:c r="L251" s="82" t="s"/>
      <x:c r="M251" s="82" t="s"/>
      <x:c r="N251" s="82" t="s"/>
      <x:c r="O251" s="82" t="s"/>
      <x:c r="P251" s="82" t="s"/>
      <x:c r="Q251" s="82" t="s"/>
      <x:c r="R251" s="82" t="s"/>
      <x:c r="S251" s="82" t="s"/>
      <x:c r="T251" s="82" t="s"/>
      <x:c r="U251" s="82" t="s"/>
      <x:c r="V251" s="82" t="s"/>
      <x:c r="W251" s="82" t="s"/>
      <x:c r="X251" s="82" t="s"/>
      <x:c r="Y251" s="82" t="s"/>
      <x:c r="Z251" s="82" t="s"/>
      <x:c r="AA251" s="82" t="s"/>
      <x:c r="AB251" s="82" t="s"/>
      <x:c r="AC251" s="82" t="s"/>
      <x:c r="AD251" s="82" t="s"/>
      <x:c r="AE251" s="82" t="s"/>
      <x:c r="AF251" s="82" t="s"/>
      <x:c r="AG251" s="82" t="s"/>
      <x:c r="AH251" s="82" t="s"/>
      <x:c r="AI251" s="82" t="s"/>
      <x:c r="AJ251" s="82" t="s"/>
      <x:c r="AK251" s="82" t="s"/>
      <x:c r="AL251" s="82" t="s"/>
      <x:c r="AM251" s="82" t="s"/>
      <x:c r="AN251" s="82" t="s"/>
      <x:c r="AO251" s="82" t="s"/>
      <x:c r="AP251" s="82" t="s"/>
      <x:c r="AQ251" s="82" t="s"/>
      <x:c r="AR251" s="82" t="s"/>
      <x:c r="AS251" s="82" t="s"/>
      <x:c r="AT251" s="82" t="s"/>
      <x:c r="AU251" s="82" t="s"/>
      <x:c r="AV251" s="82" t="s"/>
      <x:c r="AW251" s="82" t="s"/>
      <x:c r="AX251" s="82" t="s"/>
      <x:c r="AY251" s="82" t="s"/>
      <x:c r="AZ251" s="82" t="s"/>
      <x:c r="BA251" s="82" t="s"/>
      <x:c r="BB251" s="82" t="s"/>
      <x:c r="BC251" s="82" t="s"/>
      <x:c r="BD251" s="82" t="s"/>
      <x:c r="BE251" s="82" t="s"/>
      <x:c r="BF251" s="82" t="s"/>
      <x:c r="BG251" s="82" t="s"/>
      <x:c r="BH251" s="82" t="s"/>
      <x:c r="BI251" s="82" t="s"/>
      <x:c r="BJ251" s="82" t="s"/>
      <x:c r="BK251" s="82" t="s"/>
      <x:c r="BL251" s="82" t="s"/>
      <x:c r="BM251" s="82" t="s"/>
      <x:c r="BN251" s="82" t="s"/>
      <x:c r="BO251" s="82" t="s"/>
      <x:c r="BP251" s="82" t="s"/>
      <x:c r="BQ251" s="82" t="s"/>
      <x:c r="BR251" s="82" t="s"/>
    </x:row>
    <x:row r="252" spans="1:70" x14ac:dyDescent="0.25">
      <x:c r="A252" s="82" t="s">
        <x:v>106</x:v>
      </x:c>
      <x:c r="B252" s="82" t="s">
        <x:v>107</x:v>
      </x:c>
      <x:c r="C252" s="82" t="s">
        <x:v>18</x:v>
      </x:c>
      <x:c r="D252" s="85">
        <x:v>42107</x:v>
      </x:c>
      <x:c r="E252" s="82" t="n">
        <x:v>29774</x:v>
      </x:c>
      <x:c r="F252" s="102" t="n">
        <x:v>0.0619432930928256</x:v>
      </x:c>
      <x:c r="G252" s="102" t="n">
        <x:v>0.0629367295125792</x:v>
      </x:c>
      <x:c r="H252" s="82" t="s"/>
      <x:c r="I252" s="82" t="s"/>
      <x:c r="J252" s="82" t="s"/>
      <x:c r="K252" s="82" t="s"/>
      <x:c r="L252" s="82" t="s"/>
      <x:c r="M252" s="82" t="s"/>
      <x:c r="N252" s="82" t="s"/>
      <x:c r="O252" s="82" t="s"/>
      <x:c r="P252" s="82" t="s"/>
      <x:c r="Q252" s="82" t="s"/>
      <x:c r="R252" s="82" t="s"/>
      <x:c r="S252" s="82" t="s"/>
      <x:c r="T252" s="82" t="s"/>
      <x:c r="U252" s="82" t="s"/>
      <x:c r="V252" s="82" t="s"/>
      <x:c r="W252" s="82" t="s"/>
      <x:c r="X252" s="82" t="s"/>
      <x:c r="Y252" s="82" t="s"/>
      <x:c r="Z252" s="82" t="s"/>
      <x:c r="AA252" s="82" t="s"/>
      <x:c r="AB252" s="82" t="s"/>
      <x:c r="AC252" s="82" t="s"/>
      <x:c r="AD252" s="82" t="s"/>
      <x:c r="AE252" s="82" t="s"/>
      <x:c r="AF252" s="82" t="s"/>
      <x:c r="AG252" s="82" t="s"/>
      <x:c r="AH252" s="82" t="s"/>
      <x:c r="AI252" s="82" t="s"/>
      <x:c r="AJ252" s="82" t="s"/>
      <x:c r="AK252" s="82" t="s"/>
      <x:c r="AL252" s="82" t="s"/>
      <x:c r="AM252" s="82" t="s"/>
      <x:c r="AN252" s="82" t="s"/>
      <x:c r="AO252" s="82" t="s"/>
      <x:c r="AP252" s="82" t="s"/>
      <x:c r="AQ252" s="82" t="s"/>
      <x:c r="AR252" s="82" t="s"/>
      <x:c r="AS252" s="82" t="s"/>
      <x:c r="AT252" s="82" t="s"/>
      <x:c r="AU252" s="82" t="s"/>
      <x:c r="AV252" s="82" t="s"/>
      <x:c r="AW252" s="82" t="s"/>
      <x:c r="AX252" s="82" t="s"/>
      <x:c r="AY252" s="82" t="s"/>
      <x:c r="AZ252" s="82" t="s"/>
      <x:c r="BA252" s="82" t="s"/>
      <x:c r="BB252" s="82" t="s"/>
      <x:c r="BC252" s="82" t="s"/>
      <x:c r="BD252" s="82" t="s"/>
      <x:c r="BE252" s="82" t="s"/>
      <x:c r="BF252" s="82" t="s"/>
      <x:c r="BG252" s="82" t="s"/>
      <x:c r="BH252" s="82" t="s"/>
      <x:c r="BI252" s="82" t="s"/>
      <x:c r="BJ252" s="82" t="s"/>
      <x:c r="BK252" s="82" t="s"/>
      <x:c r="BL252" s="82" t="s"/>
      <x:c r="BM252" s="82" t="s"/>
      <x:c r="BN252" s="82" t="s"/>
      <x:c r="BO252" s="82" t="s"/>
      <x:c r="BP252" s="82" t="s"/>
      <x:c r="BQ252" s="82" t="s"/>
      <x:c r="BR252" s="82" t="s"/>
    </x:row>
    <x:row r="253" spans="1:70" x14ac:dyDescent="0.25">
      <x:c r="A253" s="82" t="s">
        <x:v>106</x:v>
      </x:c>
      <x:c r="B253" s="82" t="s">
        <x:v>107</x:v>
      </x:c>
      <x:c r="C253" s="82" t="s">
        <x:v>19</x:v>
      </x:c>
      <x:c r="D253" s="85">
        <x:v>42107</x:v>
      </x:c>
      <x:c r="E253" s="82" t="n">
        <x:v>29774</x:v>
      </x:c>
      <x:c r="F253" s="102" t="n">
        <x:v>124.533089826244</x:v>
      </x:c>
      <x:c r="G253" s="102" t="n">
        <x:v>125.179933046553</x:v>
      </x:c>
      <x:c r="H253" s="82" t="s"/>
      <x:c r="I253" s="82" t="s"/>
      <x:c r="J253" s="82" t="s"/>
      <x:c r="K253" s="82" t="s"/>
      <x:c r="L253" s="82" t="s"/>
      <x:c r="M253" s="82" t="s"/>
      <x:c r="N253" s="82" t="s"/>
      <x:c r="O253" s="82" t="s"/>
      <x:c r="P253" s="82" t="s"/>
      <x:c r="Q253" s="82" t="s"/>
      <x:c r="R253" s="82" t="s"/>
      <x:c r="S253" s="82" t="s"/>
      <x:c r="T253" s="82" t="s"/>
      <x:c r="U253" s="82" t="s"/>
      <x:c r="V253" s="82" t="s"/>
      <x:c r="W253" s="82" t="s"/>
      <x:c r="X253" s="82" t="s"/>
      <x:c r="Y253" s="82" t="s"/>
      <x:c r="Z253" s="82" t="s"/>
      <x:c r="AA253" s="82" t="s"/>
      <x:c r="AB253" s="82" t="s"/>
      <x:c r="AC253" s="82" t="s"/>
      <x:c r="AD253" s="82" t="s"/>
      <x:c r="AE253" s="82" t="s"/>
      <x:c r="AF253" s="82" t="s"/>
      <x:c r="AG253" s="82" t="s"/>
      <x:c r="AH253" s="82" t="s"/>
      <x:c r="AI253" s="82" t="s"/>
      <x:c r="AJ253" s="82" t="s"/>
      <x:c r="AK253" s="82" t="s"/>
      <x:c r="AL253" s="82" t="s"/>
      <x:c r="AM253" s="82" t="s"/>
      <x:c r="AN253" s="82" t="s"/>
      <x:c r="AO253" s="82" t="s"/>
      <x:c r="AP253" s="82" t="s"/>
      <x:c r="AQ253" s="82" t="s"/>
      <x:c r="AR253" s="82" t="s"/>
      <x:c r="AS253" s="82" t="s"/>
      <x:c r="AT253" s="82" t="s"/>
      <x:c r="AU253" s="82" t="s"/>
      <x:c r="AV253" s="82" t="s"/>
      <x:c r="AW253" s="82" t="s"/>
      <x:c r="AX253" s="82" t="s"/>
      <x:c r="AY253" s="82" t="s"/>
      <x:c r="AZ253" s="82" t="s"/>
      <x:c r="BA253" s="82" t="s"/>
      <x:c r="BB253" s="82" t="s"/>
      <x:c r="BC253" s="82" t="s"/>
      <x:c r="BD253" s="82" t="s"/>
      <x:c r="BE253" s="82" t="s"/>
      <x:c r="BF253" s="82" t="s"/>
      <x:c r="BG253" s="82" t="s"/>
      <x:c r="BH253" s="82" t="s"/>
      <x:c r="BI253" s="82" t="s"/>
      <x:c r="BJ253" s="82" t="s"/>
      <x:c r="BK253" s="82" t="s"/>
      <x:c r="BL253" s="82" t="s"/>
      <x:c r="BM253" s="82" t="s"/>
      <x:c r="BN253" s="82" t="s"/>
      <x:c r="BO253" s="82" t="s"/>
      <x:c r="BP253" s="82" t="s"/>
      <x:c r="BQ253" s="82" t="s"/>
      <x:c r="BR253" s="82" t="s"/>
    </x:row>
    <x:row r="254" spans="1:70" x14ac:dyDescent="0.25">
      <x:c r="A254" s="82" t="s">
        <x:v>106</x:v>
      </x:c>
      <x:c r="B254" s="82" t="s">
        <x:v>107</x:v>
      </x:c>
      <x:c r="C254" s="82" t="s">
        <x:v>20</x:v>
      </x:c>
      <x:c r="D254" s="85">
        <x:v>42107</x:v>
      </x:c>
      <x:c r="E254" s="82" t="n">
        <x:v>29774</x:v>
      </x:c>
      <x:c r="F254" s="102" t="n">
        <x:v>0.527612650957792</x:v>
      </x:c>
      <x:c r="G254" s="102" t="n">
        <x:v>0.533660377665023</x:v>
      </x:c>
      <x:c r="H254" s="82" t="s"/>
      <x:c r="I254" s="82" t="s"/>
      <x:c r="J254" s="82" t="s"/>
      <x:c r="K254" s="82" t="s"/>
      <x:c r="L254" s="82" t="s"/>
      <x:c r="M254" s="82" t="s"/>
      <x:c r="N254" s="82" t="s"/>
      <x:c r="O254" s="82" t="s"/>
      <x:c r="P254" s="82" t="s"/>
      <x:c r="Q254" s="82" t="s"/>
      <x:c r="R254" s="82" t="s"/>
      <x:c r="S254" s="82" t="s"/>
      <x:c r="T254" s="82" t="s"/>
      <x:c r="U254" s="82" t="s"/>
      <x:c r="V254" s="82" t="s"/>
      <x:c r="W254" s="82" t="s"/>
      <x:c r="X254" s="82" t="s"/>
      <x:c r="Y254" s="82" t="s"/>
      <x:c r="Z254" s="82" t="s"/>
      <x:c r="AA254" s="82" t="s"/>
      <x:c r="AB254" s="82" t="s"/>
      <x:c r="AC254" s="82" t="s"/>
      <x:c r="AD254" s="82" t="s"/>
      <x:c r="AE254" s="82" t="s"/>
      <x:c r="AF254" s="82" t="s"/>
      <x:c r="AG254" s="82" t="s"/>
      <x:c r="AH254" s="82" t="s"/>
      <x:c r="AI254" s="82" t="s"/>
      <x:c r="AJ254" s="82" t="s"/>
      <x:c r="AK254" s="82" t="s"/>
      <x:c r="AL254" s="82" t="s"/>
      <x:c r="AM254" s="82" t="s"/>
      <x:c r="AN254" s="82" t="s"/>
      <x:c r="AO254" s="82" t="s"/>
      <x:c r="AP254" s="82" t="s"/>
      <x:c r="AQ254" s="82" t="s"/>
      <x:c r="AR254" s="82" t="s"/>
      <x:c r="AS254" s="82" t="s"/>
      <x:c r="AT254" s="82" t="s"/>
      <x:c r="AU254" s="82" t="s"/>
      <x:c r="AV254" s="82" t="s"/>
      <x:c r="AW254" s="82" t="s"/>
      <x:c r="AX254" s="82" t="s"/>
      <x:c r="AY254" s="82" t="s"/>
      <x:c r="AZ254" s="82" t="s"/>
      <x:c r="BA254" s="82" t="s"/>
      <x:c r="BB254" s="82" t="s"/>
      <x:c r="BC254" s="82" t="s"/>
      <x:c r="BD254" s="82" t="s"/>
      <x:c r="BE254" s="82" t="s"/>
      <x:c r="BF254" s="82" t="s"/>
      <x:c r="BG254" s="82" t="s"/>
      <x:c r="BH254" s="82" t="s"/>
      <x:c r="BI254" s="82" t="s"/>
      <x:c r="BJ254" s="82" t="s"/>
      <x:c r="BK254" s="82" t="s"/>
      <x:c r="BL254" s="82" t="s"/>
      <x:c r="BM254" s="82" t="s"/>
      <x:c r="BN254" s="82" t="s"/>
      <x:c r="BO254" s="82" t="s"/>
      <x:c r="BP254" s="82" t="s"/>
      <x:c r="BQ254" s="82" t="s"/>
      <x:c r="BR254" s="82" t="s"/>
    </x:row>
    <x:row r="255" spans="1:70" x14ac:dyDescent="0.25">
      <x:c r="A255" s="82" t="s">
        <x:v>106</x:v>
      </x:c>
      <x:c r="B255" s="82" t="s">
        <x:v>107</x:v>
      </x:c>
      <x:c r="C255" s="82" t="s">
        <x:v>21</x:v>
      </x:c>
      <x:c r="D255" s="85">
        <x:v>42107</x:v>
      </x:c>
      <x:c r="E255" s="82" t="n">
        <x:v>29774</x:v>
      </x:c>
      <x:c r="F255" s="102" t="n">
        <x:v>188.415859030837</x:v>
      </x:c>
      <x:c r="G255" s="102" t="n">
        <x:v>187.493495934959</x:v>
      </x:c>
      <x:c r="H255" s="82" t="s"/>
      <x:c r="I255" s="82" t="s"/>
      <x:c r="J255" s="82" t="s"/>
      <x:c r="K255" s="82" t="s"/>
      <x:c r="L255" s="82" t="s"/>
      <x:c r="M255" s="82" t="s"/>
      <x:c r="N255" s="82" t="s"/>
      <x:c r="O255" s="82" t="s"/>
      <x:c r="P255" s="82" t="s"/>
      <x:c r="Q255" s="82" t="s"/>
      <x:c r="R255" s="82" t="s"/>
      <x:c r="S255" s="82" t="s"/>
      <x:c r="T255" s="82" t="s"/>
      <x:c r="U255" s="82" t="s"/>
      <x:c r="V255" s="82" t="s"/>
      <x:c r="W255" s="82" t="s"/>
      <x:c r="X255" s="82" t="s"/>
      <x:c r="Y255" s="82" t="s"/>
      <x:c r="Z255" s="82" t="s"/>
      <x:c r="AA255" s="82" t="s"/>
      <x:c r="AB255" s="82" t="s"/>
      <x:c r="AC255" s="82" t="s"/>
      <x:c r="AD255" s="82" t="s"/>
      <x:c r="AE255" s="82" t="s"/>
      <x:c r="AF255" s="82" t="s"/>
      <x:c r="AG255" s="82" t="s"/>
      <x:c r="AH255" s="82" t="s"/>
      <x:c r="AI255" s="82" t="s"/>
      <x:c r="AJ255" s="82" t="s"/>
      <x:c r="AK255" s="82" t="s"/>
      <x:c r="AL255" s="82" t="s"/>
      <x:c r="AM255" s="82" t="s"/>
      <x:c r="AN255" s="82" t="s"/>
      <x:c r="AO255" s="82" t="s"/>
      <x:c r="AP255" s="82" t="s"/>
      <x:c r="AQ255" s="82" t="s"/>
      <x:c r="AR255" s="82" t="s"/>
      <x:c r="AS255" s="82" t="s"/>
      <x:c r="AT255" s="82" t="s"/>
      <x:c r="AU255" s="82" t="s"/>
      <x:c r="AV255" s="82" t="s"/>
      <x:c r="AW255" s="82" t="s"/>
      <x:c r="AX255" s="82" t="s"/>
      <x:c r="AY255" s="82" t="s"/>
      <x:c r="AZ255" s="82" t="s"/>
      <x:c r="BA255" s="82" t="s"/>
      <x:c r="BB255" s="82" t="s"/>
      <x:c r="BC255" s="82" t="s"/>
      <x:c r="BD255" s="82" t="s"/>
      <x:c r="BE255" s="82" t="s"/>
      <x:c r="BF255" s="82" t="s"/>
      <x:c r="BG255" s="82" t="s"/>
      <x:c r="BH255" s="82" t="s"/>
      <x:c r="BI255" s="82" t="s"/>
      <x:c r="BJ255" s="82" t="s"/>
      <x:c r="BK255" s="82" t="s"/>
      <x:c r="BL255" s="82" t="s"/>
      <x:c r="BM255" s="82" t="s"/>
      <x:c r="BN255" s="82" t="s"/>
      <x:c r="BO255" s="82" t="s"/>
      <x:c r="BP255" s="82" t="s"/>
      <x:c r="BQ255" s="82" t="s"/>
      <x:c r="BR255" s="82" t="s"/>
    </x:row>
    <x:row r="256" spans="1:70" x14ac:dyDescent="0.25">
      <x:c r="A256" s="82" t="s">
        <x:v>106</x:v>
      </x:c>
      <x:c r="B256" s="82" t="s">
        <x:v>107</x:v>
      </x:c>
      <x:c r="C256" s="82" t="s">
        <x:v>22</x:v>
      </x:c>
      <x:c r="D256" s="85">
        <x:v>42107</x:v>
      </x:c>
      <x:c r="E256" s="82" t="n">
        <x:v>29774</x:v>
      </x:c>
      <x:c r="F256" s="102" t="n">
        <x:v>0.360390616740088</x:v>
      </x:c>
      <x:c r="G256" s="102" t="n">
        <x:v>0.362263821138211</x:v>
      </x:c>
      <x:c r="H256" s="82" t="s"/>
      <x:c r="I256" s="82" t="s"/>
      <x:c r="J256" s="82" t="s"/>
      <x:c r="K256" s="82" t="s"/>
      <x:c r="L256" s="82" t="s"/>
      <x:c r="M256" s="82" t="s"/>
      <x:c r="N256" s="82" t="s"/>
      <x:c r="O256" s="82" t="s"/>
      <x:c r="P256" s="82" t="s"/>
      <x:c r="Q256" s="82" t="s"/>
      <x:c r="R256" s="82" t="s"/>
      <x:c r="S256" s="82" t="s"/>
      <x:c r="T256" s="82" t="s"/>
      <x:c r="U256" s="82" t="s"/>
      <x:c r="V256" s="82" t="s"/>
      <x:c r="W256" s="82" t="s"/>
      <x:c r="X256" s="82" t="s"/>
      <x:c r="Y256" s="82" t="s"/>
      <x:c r="Z256" s="82" t="s"/>
      <x:c r="AA256" s="82" t="s"/>
      <x:c r="AB256" s="82" t="s"/>
      <x:c r="AC256" s="82" t="s"/>
      <x:c r="AD256" s="82" t="s"/>
      <x:c r="AE256" s="82" t="s"/>
      <x:c r="AF256" s="82" t="s"/>
      <x:c r="AG256" s="82" t="s"/>
      <x:c r="AH256" s="82" t="s"/>
      <x:c r="AI256" s="82" t="s"/>
      <x:c r="AJ256" s="82" t="s"/>
      <x:c r="AK256" s="82" t="s"/>
      <x:c r="AL256" s="82" t="s"/>
      <x:c r="AM256" s="82" t="s"/>
      <x:c r="AN256" s="82" t="s"/>
      <x:c r="AO256" s="82" t="s"/>
      <x:c r="AP256" s="82" t="s"/>
      <x:c r="AQ256" s="82" t="s"/>
      <x:c r="AR256" s="82" t="s"/>
      <x:c r="AS256" s="82" t="s"/>
      <x:c r="AT256" s="82" t="s"/>
      <x:c r="AU256" s="82" t="s"/>
      <x:c r="AV256" s="82" t="s"/>
      <x:c r="AW256" s="82" t="s"/>
      <x:c r="AX256" s="82" t="s"/>
      <x:c r="AY256" s="82" t="s"/>
      <x:c r="AZ256" s="82" t="s"/>
      <x:c r="BA256" s="82" t="s"/>
      <x:c r="BB256" s="82" t="s"/>
      <x:c r="BC256" s="82" t="s"/>
      <x:c r="BD256" s="82" t="s"/>
      <x:c r="BE256" s="82" t="s"/>
      <x:c r="BF256" s="82" t="s"/>
      <x:c r="BG256" s="82" t="s"/>
      <x:c r="BH256" s="82" t="s"/>
      <x:c r="BI256" s="82" t="s"/>
      <x:c r="BJ256" s="82" t="s"/>
      <x:c r="BK256" s="82" t="s"/>
      <x:c r="BL256" s="82" t="s"/>
      <x:c r="BM256" s="82" t="s"/>
      <x:c r="BN256" s="82" t="s"/>
      <x:c r="BO256" s="82" t="s"/>
      <x:c r="BP256" s="82" t="s"/>
      <x:c r="BQ256" s="82" t="s"/>
      <x:c r="BR256" s="82" t="s"/>
    </x:row>
    <x:row r="257" spans="1:70" x14ac:dyDescent="0.25">
      <x:c r="A257" s="82" t="s">
        <x:v>106</x:v>
      </x:c>
      <x:c r="B257" s="82" t="s">
        <x:v>107</x:v>
      </x:c>
      <x:c r="C257" s="82" t="s">
        <x:v>23</x:v>
      </x:c>
      <x:c r="D257" s="85">
        <x:v>42107</x:v>
      </x:c>
      <x:c r="E257" s="82" t="n">
        <x:v>29774</x:v>
      </x:c>
      <x:c r="F257" s="102" t="n">
        <x:v>747.1</x:v>
      </x:c>
      <x:c r="G257" s="102" t="n">
        <x:v>733.4</x:v>
      </x:c>
      <x:c r="H257" s="82" t="s"/>
      <x:c r="I257" s="82" t="s"/>
      <x:c r="J257" s="82" t="s"/>
      <x:c r="K257" s="82" t="s"/>
      <x:c r="L257" s="82" t="s"/>
      <x:c r="M257" s="82" t="s"/>
      <x:c r="N257" s="82" t="s"/>
      <x:c r="O257" s="82" t="s"/>
      <x:c r="P257" s="82" t="s"/>
      <x:c r="Q257" s="82" t="s"/>
      <x:c r="R257" s="82" t="s"/>
      <x:c r="S257" s="82" t="s"/>
      <x:c r="T257" s="82" t="s"/>
      <x:c r="U257" s="82" t="s"/>
      <x:c r="V257" s="82" t="s"/>
      <x:c r="W257" s="82" t="s"/>
      <x:c r="X257" s="82" t="s"/>
      <x:c r="Y257" s="82" t="s"/>
      <x:c r="Z257" s="82" t="s"/>
      <x:c r="AA257" s="82" t="s"/>
      <x:c r="AB257" s="82" t="s"/>
      <x:c r="AC257" s="82" t="s"/>
      <x:c r="AD257" s="82" t="s"/>
      <x:c r="AE257" s="82" t="s"/>
      <x:c r="AF257" s="82" t="s"/>
      <x:c r="AG257" s="82" t="s"/>
      <x:c r="AH257" s="82" t="s"/>
      <x:c r="AI257" s="82" t="s"/>
      <x:c r="AJ257" s="82" t="s"/>
      <x:c r="AK257" s="82" t="s"/>
      <x:c r="AL257" s="82" t="s"/>
      <x:c r="AM257" s="82" t="s"/>
      <x:c r="AN257" s="82" t="s"/>
      <x:c r="AO257" s="82" t="s"/>
      <x:c r="AP257" s="82" t="s"/>
      <x:c r="AQ257" s="82" t="s"/>
      <x:c r="AR257" s="82" t="s"/>
      <x:c r="AS257" s="82" t="s"/>
      <x:c r="AT257" s="82" t="s"/>
      <x:c r="AU257" s="82" t="s"/>
      <x:c r="AV257" s="82" t="s"/>
      <x:c r="AW257" s="82" t="s"/>
      <x:c r="AX257" s="82" t="s"/>
      <x:c r="AY257" s="82" t="s"/>
      <x:c r="AZ257" s="82" t="s"/>
      <x:c r="BA257" s="82" t="s"/>
      <x:c r="BB257" s="82" t="s"/>
      <x:c r="BC257" s="82" t="s"/>
      <x:c r="BD257" s="82" t="s"/>
      <x:c r="BE257" s="82" t="s"/>
      <x:c r="BF257" s="82" t="s"/>
      <x:c r="BG257" s="82" t="s"/>
      <x:c r="BH257" s="82" t="s"/>
      <x:c r="BI257" s="82" t="s"/>
      <x:c r="BJ257" s="82" t="s"/>
      <x:c r="BK257" s="82" t="s"/>
      <x:c r="BL257" s="82" t="s"/>
      <x:c r="BM257" s="82" t="s"/>
      <x:c r="BN257" s="82" t="s"/>
      <x:c r="BO257" s="82" t="s"/>
      <x:c r="BP257" s="82" t="s"/>
      <x:c r="BQ257" s="82" t="s"/>
      <x:c r="BR257" s="82" t="s"/>
    </x:row>
    <x:row r="258" spans="1:70" x14ac:dyDescent="0.25">
      <x:c r="A258" s="82" t="s">
        <x:v>106</x:v>
      </x:c>
      <x:c r="B258" s="82" t="s">
        <x:v>107</x:v>
      </x:c>
      <x:c r="C258" s="82" t="s">
        <x:v>24</x:v>
      </x:c>
      <x:c r="D258" s="85">
        <x:v>42107</x:v>
      </x:c>
      <x:c r="E258" s="82" t="n">
        <x:v>29774</x:v>
      </x:c>
      <x:c r="F258" s="102" t="n">
        <x:v>91.066</x:v>
      </x:c>
      <x:c r="G258" s="102" t="n">
        <x:v>90.5</x:v>
      </x:c>
      <x:c r="H258" s="82" t="s"/>
      <x:c r="I258" s="82" t="s"/>
      <x:c r="J258" s="82" t="s"/>
      <x:c r="K258" s="82" t="s"/>
      <x:c r="L258" s="82" t="s"/>
      <x:c r="M258" s="82" t="s"/>
      <x:c r="N258" s="82" t="s"/>
      <x:c r="O258" s="82" t="s"/>
      <x:c r="P258" s="82" t="s"/>
      <x:c r="Q258" s="82" t="s"/>
      <x:c r="R258" s="82" t="s"/>
      <x:c r="S258" s="82" t="s"/>
      <x:c r="T258" s="82" t="s"/>
      <x:c r="U258" s="82" t="s"/>
      <x:c r="V258" s="82" t="s"/>
      <x:c r="W258" s="82" t="s"/>
      <x:c r="X258" s="82" t="s"/>
      <x:c r="Y258" s="82" t="s"/>
      <x:c r="Z258" s="82" t="s"/>
      <x:c r="AA258" s="82" t="s"/>
      <x:c r="AB258" s="82" t="s"/>
      <x:c r="AC258" s="82" t="s"/>
      <x:c r="AD258" s="82" t="s"/>
      <x:c r="AE258" s="82" t="s"/>
      <x:c r="AF258" s="82" t="s"/>
      <x:c r="AG258" s="82" t="s"/>
      <x:c r="AH258" s="82" t="s"/>
      <x:c r="AI258" s="82" t="s"/>
      <x:c r="AJ258" s="82" t="s"/>
      <x:c r="AK258" s="82" t="s"/>
      <x:c r="AL258" s="82" t="s"/>
      <x:c r="AM258" s="82" t="s"/>
      <x:c r="AN258" s="82" t="s"/>
      <x:c r="AO258" s="82" t="s"/>
      <x:c r="AP258" s="82" t="s"/>
      <x:c r="AQ258" s="82" t="s"/>
      <x:c r="AR258" s="82" t="s"/>
      <x:c r="AS258" s="82" t="s"/>
      <x:c r="AT258" s="82" t="s"/>
      <x:c r="AU258" s="82" t="s"/>
      <x:c r="AV258" s="82" t="s"/>
      <x:c r="AW258" s="82" t="s"/>
      <x:c r="AX258" s="82" t="s"/>
      <x:c r="AY258" s="82" t="s"/>
      <x:c r="AZ258" s="82" t="s"/>
      <x:c r="BA258" s="82" t="s"/>
      <x:c r="BB258" s="82" t="s"/>
      <x:c r="BC258" s="82" t="s"/>
      <x:c r="BD258" s="82" t="s"/>
      <x:c r="BE258" s="82" t="s"/>
      <x:c r="BF258" s="82" t="s"/>
      <x:c r="BG258" s="82" t="s"/>
      <x:c r="BH258" s="82" t="s"/>
      <x:c r="BI258" s="82" t="s"/>
      <x:c r="BJ258" s="82" t="s"/>
      <x:c r="BK258" s="82" t="s"/>
      <x:c r="BL258" s="82" t="s"/>
      <x:c r="BM258" s="82" t="s"/>
      <x:c r="BN258" s="82" t="s"/>
      <x:c r="BO258" s="82" t="s"/>
      <x:c r="BP258" s="82" t="s"/>
      <x:c r="BQ258" s="82" t="s"/>
      <x:c r="BR258" s="82" t="s"/>
    </x:row>
    <x:row r="259" spans="1:70" x14ac:dyDescent="0.25">
      <x:c r="A259" s="82" t="s">
        <x:v>106</x:v>
      </x:c>
      <x:c r="B259" s="82" t="s">
        <x:v>107</x:v>
      </x:c>
      <x:c r="C259" s="82" t="s">
        <x:v>117</x:v>
      </x:c>
      <x:c r="D259" s="85">
        <x:v>42107</x:v>
      </x:c>
      <x:c r="E259" s="82" t="n">
        <x:v>29774</x:v>
      </x:c>
      <x:c r="F259" s="82" t="n">
        <x:v>1</x:v>
      </x:c>
      <x:c r="G259" s="82" t="n">
        <x:v>1</x:v>
      </x:c>
      <x:c r="H259" s="82" t="s"/>
      <x:c r="I259" s="82" t="s"/>
      <x:c r="J259" s="82" t="s"/>
      <x:c r="K259" s="82" t="s"/>
      <x:c r="L259" s="82" t="s"/>
      <x:c r="M259" s="82" t="s"/>
      <x:c r="N259" s="82" t="s"/>
      <x:c r="O259" s="82" t="s"/>
      <x:c r="P259" s="82" t="s"/>
      <x:c r="Q259" s="82" t="s"/>
      <x:c r="R259" s="82" t="s"/>
      <x:c r="S259" s="82" t="s"/>
      <x:c r="T259" s="82" t="s"/>
      <x:c r="U259" s="82" t="s"/>
      <x:c r="V259" s="82" t="s"/>
      <x:c r="W259" s="82" t="s"/>
      <x:c r="X259" s="82" t="s"/>
      <x:c r="Y259" s="82" t="s"/>
      <x:c r="Z259" s="82" t="s"/>
      <x:c r="AA259" s="82" t="s"/>
      <x:c r="AB259" s="82" t="s"/>
      <x:c r="AC259" s="82" t="s"/>
      <x:c r="AD259" s="82" t="s"/>
      <x:c r="AE259" s="82" t="s"/>
      <x:c r="AF259" s="82" t="s"/>
      <x:c r="AG259" s="82" t="s"/>
      <x:c r="AH259" s="82" t="s"/>
      <x:c r="AI259" s="82" t="s"/>
      <x:c r="AJ259" s="82" t="s"/>
      <x:c r="AK259" s="82" t="s"/>
      <x:c r="AL259" s="82" t="s"/>
      <x:c r="AM259" s="82" t="s"/>
      <x:c r="AN259" s="82" t="s"/>
      <x:c r="AO259" s="82" t="s"/>
      <x:c r="AP259" s="82" t="s"/>
      <x:c r="AQ259" s="82" t="s"/>
      <x:c r="AR259" s="82" t="s"/>
      <x:c r="AS259" s="82" t="s"/>
      <x:c r="AT259" s="82" t="s"/>
      <x:c r="AU259" s="82" t="s"/>
      <x:c r="AV259" s="82" t="s"/>
      <x:c r="AW259" s="82" t="s"/>
      <x:c r="AX259" s="82" t="s"/>
      <x:c r="AY259" s="82" t="s"/>
      <x:c r="AZ259" s="82" t="s"/>
      <x:c r="BA259" s="82" t="s"/>
      <x:c r="BB259" s="82" t="s"/>
      <x:c r="BC259" s="82" t="s"/>
      <x:c r="BD259" s="82" t="s"/>
      <x:c r="BE259" s="82" t="s"/>
      <x:c r="BF259" s="82" t="s"/>
      <x:c r="BG259" s="82" t="s"/>
      <x:c r="BH259" s="82" t="s"/>
      <x:c r="BI259" s="82" t="s"/>
      <x:c r="BJ259" s="82" t="s"/>
      <x:c r="BK259" s="82" t="s"/>
      <x:c r="BL259" s="82" t="s"/>
      <x:c r="BM259" s="82" t="s"/>
      <x:c r="BN259" s="82" t="s"/>
      <x:c r="BO259" s="82" t="s"/>
      <x:c r="BP259" s="82" t="s"/>
      <x:c r="BQ259" s="82" t="s"/>
      <x:c r="BR259" s="82" t="s"/>
    </x:row>
    <x:row r="260" spans="1:70" x14ac:dyDescent="0.25">
      <x:c r="A260" s="82" t="s">
        <x:v>106</x:v>
      </x:c>
      <x:c r="B260" s="82" t="s">
        <x:v>107</x:v>
      </x:c>
      <x:c r="C260" s="82" t="s">
        <x:v>118</x:v>
      </x:c>
      <x:c r="D260" s="85">
        <x:v>42107</x:v>
      </x:c>
      <x:c r="E260" s="82" t="n">
        <x:v>29774</x:v>
      </x:c>
      <x:c r="F260" s="90" t="n">
        <x:v>102.4</x:v>
      </x:c>
      <x:c r="G260" s="90" t="n">
        <x:v>105.2</x:v>
      </x:c>
      <x:c r="H260" s="82" t="s"/>
      <x:c r="I260" s="82" t="s"/>
      <x:c r="J260" s="82" t="s"/>
      <x:c r="K260" s="82" t="s"/>
      <x:c r="L260" s="82" t="s"/>
      <x:c r="M260" s="82" t="s"/>
      <x:c r="N260" s="82" t="s"/>
      <x:c r="O260" s="82" t="s"/>
      <x:c r="P260" s="82" t="s"/>
      <x:c r="Q260" s="82" t="s"/>
      <x:c r="R260" s="82" t="s"/>
      <x:c r="S260" s="82" t="s"/>
      <x:c r="T260" s="82" t="s"/>
      <x:c r="U260" s="82" t="s"/>
      <x:c r="V260" s="82" t="s"/>
      <x:c r="W260" s="82" t="s"/>
      <x:c r="X260" s="82" t="s"/>
      <x:c r="Y260" s="82" t="s"/>
      <x:c r="Z260" s="82" t="s"/>
      <x:c r="AA260" s="82" t="s"/>
      <x:c r="AB260" s="82" t="s"/>
      <x:c r="AC260" s="82" t="s"/>
      <x:c r="AD260" s="82" t="s"/>
      <x:c r="AE260" s="82" t="s"/>
      <x:c r="AF260" s="82" t="s"/>
      <x:c r="AG260" s="82" t="s"/>
      <x:c r="AH260" s="82" t="s"/>
      <x:c r="AI260" s="82" t="s"/>
      <x:c r="AJ260" s="82" t="s"/>
      <x:c r="AK260" s="82" t="s"/>
      <x:c r="AL260" s="82" t="s"/>
      <x:c r="AM260" s="82" t="s"/>
      <x:c r="AN260" s="82" t="s"/>
      <x:c r="AO260" s="82" t="s"/>
      <x:c r="AP260" s="82" t="s"/>
      <x:c r="AQ260" s="82" t="s"/>
      <x:c r="AR260" s="82" t="s"/>
      <x:c r="AS260" s="82" t="s"/>
      <x:c r="AT260" s="82" t="s"/>
      <x:c r="AU260" s="82" t="s"/>
      <x:c r="AV260" s="82" t="s"/>
      <x:c r="AW260" s="82" t="s"/>
      <x:c r="AX260" s="82" t="s"/>
      <x:c r="AY260" s="82" t="s"/>
      <x:c r="AZ260" s="82" t="s"/>
      <x:c r="BA260" s="82" t="s"/>
      <x:c r="BB260" s="82" t="s"/>
      <x:c r="BC260" s="82" t="s"/>
      <x:c r="BD260" s="82" t="s"/>
      <x:c r="BE260" s="82" t="s"/>
      <x:c r="BF260" s="82" t="s"/>
      <x:c r="BG260" s="82" t="s"/>
      <x:c r="BH260" s="82" t="s"/>
      <x:c r="BI260" s="82" t="s"/>
      <x:c r="BJ260" s="82" t="s"/>
      <x:c r="BK260" s="82" t="s"/>
      <x:c r="BL260" s="82" t="s"/>
      <x:c r="BM260" s="82" t="s"/>
      <x:c r="BN260" s="82" t="s"/>
      <x:c r="BO260" s="82" t="s"/>
      <x:c r="BP260" s="82" t="s"/>
      <x:c r="BQ260" s="82" t="s"/>
      <x:c r="BR260" s="82" t="s"/>
    </x:row>
    <x:row r="261" spans="1:70" x14ac:dyDescent="0.25">
      <x:c r="A261" s="82" t="s">
        <x:v>106</x:v>
      </x:c>
      <x:c r="B261" s="82" t="s">
        <x:v>107</x:v>
      </x:c>
      <x:c r="C261" s="82" t="s">
        <x:v>119</x:v>
      </x:c>
      <x:c r="D261" s="85">
        <x:v>42107</x:v>
      </x:c>
      <x:c r="E261" s="82" t="n">
        <x:v>29774</x:v>
      </x:c>
      <x:c r="F261" s="90" t="n">
        <x:v>98.96</x:v>
      </x:c>
      <x:c r="G261" s="90" t="n">
        <x:v>100.5</x:v>
      </x:c>
      <x:c r="H261" s="82" t="s"/>
      <x:c r="I261" s="82" t="s"/>
      <x:c r="J261" s="82" t="s"/>
      <x:c r="K261" s="82" t="s"/>
      <x:c r="L261" s="82" t="s"/>
      <x:c r="M261" s="82" t="s"/>
      <x:c r="N261" s="82" t="s"/>
      <x:c r="O261" s="82" t="s"/>
      <x:c r="P261" s="82" t="s"/>
      <x:c r="Q261" s="82" t="s"/>
      <x:c r="R261" s="82" t="s"/>
      <x:c r="S261" s="82" t="s"/>
      <x:c r="T261" s="82" t="s"/>
      <x:c r="U261" s="82" t="s"/>
      <x:c r="V261" s="82" t="s"/>
      <x:c r="W261" s="82" t="s"/>
      <x:c r="X261" s="82" t="s"/>
      <x:c r="Y261" s="82" t="s"/>
      <x:c r="Z261" s="82" t="s"/>
      <x:c r="AA261" s="82" t="s"/>
      <x:c r="AB261" s="82" t="s"/>
      <x:c r="AC261" s="82" t="s"/>
      <x:c r="AD261" s="82" t="s"/>
      <x:c r="AE261" s="82" t="s"/>
      <x:c r="AF261" s="82" t="s"/>
      <x:c r="AG261" s="82" t="s"/>
      <x:c r="AH261" s="82" t="s"/>
      <x:c r="AI261" s="82" t="s"/>
      <x:c r="AJ261" s="82" t="s"/>
      <x:c r="AK261" s="82" t="s"/>
      <x:c r="AL261" s="82" t="s"/>
      <x:c r="AM261" s="82" t="s"/>
      <x:c r="AN261" s="82" t="s"/>
      <x:c r="AO261" s="82" t="s"/>
      <x:c r="AP261" s="82" t="s"/>
      <x:c r="AQ261" s="82" t="s"/>
      <x:c r="AR261" s="82" t="s"/>
      <x:c r="AS261" s="82" t="s"/>
      <x:c r="AT261" s="82" t="s"/>
      <x:c r="AU261" s="82" t="s"/>
      <x:c r="AV261" s="82" t="s"/>
      <x:c r="AW261" s="82" t="s"/>
      <x:c r="AX261" s="82" t="s"/>
      <x:c r="AY261" s="82" t="s"/>
      <x:c r="AZ261" s="82" t="s"/>
      <x:c r="BA261" s="82" t="s"/>
      <x:c r="BB261" s="82" t="s"/>
      <x:c r="BC261" s="82" t="s"/>
      <x:c r="BD261" s="82" t="s"/>
      <x:c r="BE261" s="82" t="s"/>
      <x:c r="BF261" s="82" t="s"/>
      <x:c r="BG261" s="82" t="s"/>
      <x:c r="BH261" s="82" t="s"/>
      <x:c r="BI261" s="82" t="s"/>
      <x:c r="BJ261" s="82" t="s"/>
      <x:c r="BK261" s="82" t="s"/>
      <x:c r="BL261" s="82" t="s"/>
      <x:c r="BM261" s="82" t="s"/>
      <x:c r="BN261" s="82" t="s"/>
      <x:c r="BO261" s="82" t="s"/>
      <x:c r="BP261" s="82" t="s"/>
      <x:c r="BQ261" s="82" t="s"/>
      <x:c r="BR261" s="82" t="s"/>
    </x:row>
    <x:row r="262" spans="1:70" x14ac:dyDescent="0.25">
      <x:c r="A262" s="82" t="s">
        <x:v>106</x:v>
      </x:c>
      <x:c r="B262" s="82" t="s">
        <x:v>107</x:v>
      </x:c>
      <x:c r="C262" s="82" t="s">
        <x:v>120</x:v>
      </x:c>
      <x:c r="D262" s="85">
        <x:v>42107</x:v>
      </x:c>
      <x:c r="E262" s="82" t="n">
        <x:v>29774</x:v>
      </x:c>
      <x:c r="F262" s="90" t="n">
        <x:v>-3.44000000000001</x:v>
      </x:c>
      <x:c r="G262" s="90" t="n">
        <x:v>-4.7</x:v>
      </x:c>
      <x:c r="H262" s="82" t="s"/>
      <x:c r="I262" s="82" t="s"/>
      <x:c r="J262" s="82" t="s"/>
      <x:c r="K262" s="82" t="s"/>
      <x:c r="L262" s="82" t="s"/>
      <x:c r="M262" s="82" t="s"/>
      <x:c r="N262" s="82" t="s"/>
      <x:c r="O262" s="82" t="s"/>
      <x:c r="P262" s="82" t="s"/>
      <x:c r="Q262" s="82" t="s"/>
      <x:c r="R262" s="82" t="s"/>
      <x:c r="S262" s="82" t="s"/>
      <x:c r="T262" s="82" t="s"/>
      <x:c r="U262" s="82" t="s"/>
      <x:c r="V262" s="82" t="s"/>
      <x:c r="W262" s="82" t="s"/>
      <x:c r="X262" s="82" t="s"/>
      <x:c r="Y262" s="82" t="s"/>
      <x:c r="Z262" s="82" t="s"/>
      <x:c r="AA262" s="82" t="s"/>
      <x:c r="AB262" s="82" t="s"/>
      <x:c r="AC262" s="82" t="s"/>
      <x:c r="AD262" s="82" t="s"/>
      <x:c r="AE262" s="82" t="s"/>
      <x:c r="AF262" s="82" t="s"/>
      <x:c r="AG262" s="82" t="s"/>
      <x:c r="AH262" s="82" t="s"/>
      <x:c r="AI262" s="82" t="s"/>
      <x:c r="AJ262" s="82" t="s"/>
      <x:c r="AK262" s="82" t="s"/>
      <x:c r="AL262" s="82" t="s"/>
      <x:c r="AM262" s="82" t="s"/>
      <x:c r="AN262" s="82" t="s"/>
      <x:c r="AO262" s="82" t="s"/>
      <x:c r="AP262" s="82" t="s"/>
      <x:c r="AQ262" s="82" t="s"/>
      <x:c r="AR262" s="82" t="s"/>
      <x:c r="AS262" s="82" t="s"/>
      <x:c r="AT262" s="82" t="s"/>
      <x:c r="AU262" s="82" t="s"/>
      <x:c r="AV262" s="82" t="s"/>
      <x:c r="AW262" s="82" t="s"/>
      <x:c r="AX262" s="82" t="s"/>
      <x:c r="AY262" s="82" t="s"/>
      <x:c r="AZ262" s="82" t="s"/>
      <x:c r="BA262" s="82" t="s"/>
      <x:c r="BB262" s="82" t="s"/>
      <x:c r="BC262" s="82" t="s"/>
      <x:c r="BD262" s="82" t="s"/>
      <x:c r="BE262" s="82" t="s"/>
      <x:c r="BF262" s="82" t="s"/>
      <x:c r="BG262" s="82" t="s"/>
      <x:c r="BH262" s="82" t="s"/>
      <x:c r="BI262" s="82" t="s"/>
      <x:c r="BJ262" s="82" t="s"/>
      <x:c r="BK262" s="82" t="s"/>
      <x:c r="BL262" s="82" t="s"/>
      <x:c r="BM262" s="82" t="s"/>
      <x:c r="BN262" s="82" t="s"/>
      <x:c r="BO262" s="82" t="s"/>
      <x:c r="BP262" s="82" t="s"/>
      <x:c r="BQ262" s="82" t="s"/>
      <x:c r="BR262" s="82" t="s"/>
    </x:row>
    <x:row r="263" spans="1:70" customFormat="1" ht="15.75" customHeight="1" thickBot="1" x14ac:dyDescent="0.3">
      <x:c r="A263" s="106" t="s">
        <x:v>106</x:v>
      </x:c>
      <x:c r="B263" s="106" t="s">
        <x:v>107</x:v>
      </x:c>
      <x:c r="C263" s="106" t="s">
        <x:v>121</x:v>
      </x:c>
      <x:c r="D263" s="105">
        <x:v>42107</x:v>
      </x:c>
      <x:c r="E263" s="106" t="n">
        <x:v>29774</x:v>
      </x:c>
      <x:c r="F263" s="126" t="n">
        <x:v>105.3</x:v>
      </x:c>
      <x:c r="G263" s="126" t="n">
        <x:v>110.6</x:v>
      </x:c>
      <x:c r="H263" s="106" t="s"/>
      <x:c r="I263" s="106" t="s"/>
      <x:c r="J263" s="82" t="s"/>
      <x:c r="K263" s="82" t="s"/>
      <x:c r="L263" s="82" t="s"/>
      <x:c r="M263" s="82" t="s"/>
      <x:c r="N263" s="82" t="s"/>
      <x:c r="O263" s="82" t="s"/>
      <x:c r="P263" s="82" t="s"/>
      <x:c r="Q263" s="82" t="s"/>
      <x:c r="R263" s="82" t="s"/>
      <x:c r="S263" s="82" t="s"/>
      <x:c r="T263" s="82" t="s"/>
      <x:c r="U263" s="82" t="s"/>
      <x:c r="V263" s="82" t="s"/>
      <x:c r="W263" s="82" t="s"/>
      <x:c r="X263" s="82" t="s"/>
      <x:c r="Y263" s="82" t="s"/>
      <x:c r="Z263" s="82" t="s"/>
      <x:c r="AA263" s="82" t="s"/>
      <x:c r="AB263" s="82" t="s"/>
      <x:c r="AC263" s="82" t="s"/>
      <x:c r="AD263" s="82" t="s"/>
      <x:c r="AE263" s="82" t="s"/>
      <x:c r="AF263" s="82" t="s"/>
      <x:c r="AG263" s="82" t="s"/>
      <x:c r="AH263" s="82" t="s"/>
      <x:c r="AI263" s="82" t="s"/>
      <x:c r="AJ263" s="82" t="s"/>
      <x:c r="AK263" s="82" t="s"/>
      <x:c r="AL263" s="82" t="s"/>
      <x:c r="AM263" s="82" t="s"/>
      <x:c r="AN263" s="82" t="s"/>
      <x:c r="AO263" s="82" t="s"/>
      <x:c r="AP263" s="82" t="s"/>
      <x:c r="AQ263" s="82" t="s"/>
      <x:c r="AR263" s="82" t="s"/>
      <x:c r="AS263" s="82" t="s"/>
      <x:c r="AT263" s="82" t="s"/>
      <x:c r="AU263" s="82" t="s"/>
      <x:c r="AV263" s="82" t="s"/>
      <x:c r="AW263" s="82" t="s"/>
      <x:c r="AX263" s="82" t="s"/>
      <x:c r="AY263" s="82" t="s"/>
      <x:c r="AZ263" s="82" t="s"/>
      <x:c r="BA263" s="82" t="s"/>
      <x:c r="BB263" s="82" t="s"/>
      <x:c r="BC263" s="82" t="s"/>
      <x:c r="BD263" s="82" t="s"/>
      <x:c r="BE263" s="82" t="s"/>
      <x:c r="BF263" s="82" t="s"/>
      <x:c r="BG263" s="82" t="s"/>
      <x:c r="BH263" s="82" t="s"/>
      <x:c r="BI263" s="82" t="s"/>
      <x:c r="BJ263" s="82" t="s"/>
      <x:c r="BK263" s="82" t="s"/>
      <x:c r="BL263" s="82" t="s"/>
      <x:c r="BM263" s="82" t="s"/>
      <x:c r="BN263" s="82" t="s"/>
      <x:c r="BO263" s="82" t="s"/>
      <x:c r="BP263" s="82" t="s"/>
      <x:c r="BQ263" s="82" t="s"/>
      <x:c r="BR263" s="82" t="s"/>
    </x:row>
    <x:row r="264" spans="1:70" x14ac:dyDescent="0.25">
      <x:c r="A264" s="82" t="s"/>
      <x:c r="B264" s="82" t="s"/>
      <x:c r="C264" s="82" t="s"/>
      <x:c r="D264" s="82" t="s"/>
      <x:c r="E264" s="82" t="s"/>
      <x:c r="F264" s="82" t="s"/>
      <x:c r="G264" s="82" t="s"/>
      <x:c r="H264" s="82" t="s"/>
      <x:c r="I264" s="82" t="s"/>
      <x:c r="J264" s="82" t="s"/>
      <x:c r="K264" s="82" t="s"/>
      <x:c r="L264" s="82" t="s"/>
      <x:c r="M264" s="82" t="s"/>
      <x:c r="N264" s="82" t="s"/>
      <x:c r="O264" s="82" t="s"/>
      <x:c r="P264" s="82" t="s"/>
      <x:c r="Q264" s="82" t="s"/>
      <x:c r="R264" s="82" t="s"/>
      <x:c r="S264" s="82" t="s"/>
      <x:c r="T264" s="82" t="s"/>
      <x:c r="U264" s="82" t="s"/>
      <x:c r="V264" s="82" t="s"/>
      <x:c r="W264" s="82" t="s"/>
      <x:c r="X264" s="82" t="s"/>
      <x:c r="Y264" s="82" t="s"/>
      <x:c r="Z264" s="82" t="s"/>
      <x:c r="AA264" s="82" t="s"/>
      <x:c r="AB264" s="82" t="s"/>
      <x:c r="AC264" s="82" t="s"/>
      <x:c r="AD264" s="82" t="s"/>
      <x:c r="AE264" s="82" t="s"/>
      <x:c r="AF264" s="82" t="s"/>
      <x:c r="AG264" s="82" t="s"/>
      <x:c r="AH264" s="82" t="s"/>
      <x:c r="AI264" s="82" t="s"/>
      <x:c r="AJ264" s="82" t="s"/>
      <x:c r="AK264" s="82" t="s"/>
      <x:c r="AL264" s="82" t="s"/>
      <x:c r="AM264" s="82" t="s"/>
      <x:c r="AN264" s="82" t="s"/>
      <x:c r="AO264" s="82" t="s"/>
      <x:c r="AP264" s="82" t="s"/>
      <x:c r="AQ264" s="82" t="s"/>
      <x:c r="AR264" s="82" t="s"/>
      <x:c r="AS264" s="82" t="s"/>
      <x:c r="AT264" s="82" t="s"/>
      <x:c r="AU264" s="82" t="s"/>
      <x:c r="AV264" s="82" t="s"/>
      <x:c r="AW264" s="82" t="s"/>
      <x:c r="AX264" s="82" t="s"/>
      <x:c r="AY264" s="82" t="s"/>
      <x:c r="AZ264" s="82" t="s"/>
      <x:c r="BA264" s="82" t="s"/>
      <x:c r="BB264" s="82" t="s"/>
      <x:c r="BC264" s="82" t="s"/>
      <x:c r="BD264" s="82" t="s"/>
      <x:c r="BE264" s="82" t="s"/>
      <x:c r="BF264" s="82" t="s"/>
      <x:c r="BG264" s="82" t="s"/>
      <x:c r="BH264" s="82" t="s"/>
      <x:c r="BI264" s="82" t="s"/>
      <x:c r="BJ264" s="82" t="s"/>
      <x:c r="BK264" s="82" t="s"/>
      <x:c r="BL264" s="82" t="s"/>
      <x:c r="BM264" s="82" t="s"/>
      <x:c r="BN264" s="82" t="s"/>
      <x:c r="BO264" s="82" t="s"/>
      <x:c r="BP264" s="82" t="s"/>
      <x:c r="BQ264" s="82" t="s"/>
      <x:c r="BR264" s="82" t="s"/>
    </x:row>
    <x:row r="265" spans="1:70" x14ac:dyDescent="0.25">
      <x:c r="A265" s="82" t="s"/>
      <x:c r="B265" s="82" t="s"/>
      <x:c r="C265" s="82" t="s"/>
      <x:c r="D265" s="82" t="s"/>
      <x:c r="E265" s="82" t="s"/>
      <x:c r="F265" s="82" t="s"/>
      <x:c r="G265" s="82" t="s"/>
      <x:c r="H265" s="82" t="s"/>
      <x:c r="I265" s="82" t="s"/>
      <x:c r="J265" s="82" t="s"/>
      <x:c r="K265" s="82" t="s"/>
      <x:c r="L265" s="82" t="s"/>
      <x:c r="M265" s="82" t="s"/>
      <x:c r="N265" s="82" t="s"/>
      <x:c r="O265" s="82" t="s"/>
      <x:c r="P265" s="82" t="s"/>
      <x:c r="Q265" s="82" t="s"/>
      <x:c r="R265" s="82" t="s"/>
      <x:c r="S265" s="82" t="s"/>
      <x:c r="T265" s="82" t="s"/>
      <x:c r="U265" s="82" t="s"/>
      <x:c r="V265" s="82" t="s"/>
      <x:c r="W265" s="82" t="s"/>
      <x:c r="X265" s="82" t="s"/>
      <x:c r="Y265" s="82" t="s"/>
      <x:c r="Z265" s="82" t="s"/>
      <x:c r="AA265" s="82" t="s"/>
      <x:c r="AB265" s="82" t="s"/>
      <x:c r="AC265" s="82" t="s"/>
      <x:c r="AD265" s="82" t="s"/>
      <x:c r="AE265" s="82" t="s"/>
      <x:c r="AF265" s="82" t="s"/>
      <x:c r="AG265" s="82" t="s"/>
      <x:c r="AH265" s="82" t="s"/>
      <x:c r="AI265" s="82" t="s"/>
      <x:c r="AJ265" s="82" t="s"/>
      <x:c r="AK265" s="82" t="s"/>
      <x:c r="AL265" s="82" t="s"/>
      <x:c r="AM265" s="82" t="s"/>
      <x:c r="AN265" s="82" t="s"/>
      <x:c r="AO265" s="82" t="s"/>
      <x:c r="AP265" s="82" t="s"/>
      <x:c r="AQ265" s="82" t="s"/>
      <x:c r="AR265" s="82" t="s"/>
      <x:c r="AS265" s="82" t="s"/>
      <x:c r="AT265" s="82" t="s"/>
      <x:c r="AU265" s="82" t="s"/>
      <x:c r="AV265" s="82" t="s"/>
      <x:c r="AW265" s="82" t="s"/>
      <x:c r="AX265" s="82" t="s"/>
      <x:c r="AY265" s="82" t="s"/>
      <x:c r="AZ265" s="82" t="s"/>
      <x:c r="BA265" s="82" t="s"/>
      <x:c r="BB265" s="82" t="s"/>
      <x:c r="BC265" s="82" t="s"/>
      <x:c r="BD265" s="82" t="s"/>
      <x:c r="BE265" s="82" t="s"/>
      <x:c r="BF265" s="82" t="s"/>
      <x:c r="BG265" s="82" t="s"/>
      <x:c r="BH265" s="82" t="s"/>
      <x:c r="BI265" s="82" t="s"/>
      <x:c r="BJ265" s="82" t="s"/>
      <x:c r="BK265" s="82" t="s"/>
      <x:c r="BL265" s="82" t="s"/>
      <x:c r="BM265" s="82" t="s"/>
      <x:c r="BN265" s="82" t="s"/>
      <x:c r="BO265" s="82" t="s"/>
      <x:c r="BP265" s="82" t="s"/>
      <x:c r="BQ265" s="82" t="s"/>
      <x:c r="BR265" s="82" t="s"/>
    </x:row>
    <x:row r="266" spans="1:70" x14ac:dyDescent="0.25">
      <x:c r="A266" s="82" t="s"/>
      <x:c r="B266" s="82" t="s"/>
      <x:c r="C266" s="82" t="s"/>
      <x:c r="D266" s="82" t="s"/>
      <x:c r="E266" s="82" t="s"/>
      <x:c r="F266" s="82" t="s"/>
      <x:c r="G266" s="82" t="s"/>
      <x:c r="H266" s="82" t="s"/>
      <x:c r="I266" s="82" t="s"/>
      <x:c r="J266" s="82" t="s"/>
      <x:c r="K266" s="82" t="s"/>
      <x:c r="L266" s="82" t="s"/>
      <x:c r="M266" s="82" t="s"/>
      <x:c r="N266" s="82" t="s"/>
      <x:c r="O266" s="82" t="s"/>
      <x:c r="P266" s="82" t="s"/>
      <x:c r="Q266" s="82" t="s"/>
      <x:c r="R266" s="82" t="s"/>
      <x:c r="S266" s="82" t="s"/>
      <x:c r="T266" s="82" t="s"/>
      <x:c r="U266" s="82" t="s"/>
      <x:c r="V266" s="82" t="s"/>
      <x:c r="W266" s="82" t="s"/>
      <x:c r="X266" s="82" t="s"/>
      <x:c r="Y266" s="82" t="s"/>
      <x:c r="Z266" s="82" t="s"/>
      <x:c r="AA266" s="82" t="s"/>
      <x:c r="AB266" s="82" t="s"/>
      <x:c r="AC266" s="82" t="s"/>
      <x:c r="AD266" s="82" t="s"/>
      <x:c r="AE266" s="82" t="s"/>
      <x:c r="AF266" s="82" t="s"/>
      <x:c r="AG266" s="82" t="s"/>
      <x:c r="AH266" s="82" t="s"/>
      <x:c r="AI266" s="82" t="s"/>
      <x:c r="AJ266" s="82" t="s"/>
      <x:c r="AK266" s="82" t="s"/>
      <x:c r="AL266" s="82" t="s"/>
      <x:c r="AM266" s="82" t="s"/>
      <x:c r="AN266" s="82" t="s"/>
      <x:c r="AO266" s="82" t="s"/>
      <x:c r="AP266" s="82" t="s"/>
      <x:c r="AQ266" s="82" t="s"/>
      <x:c r="AR266" s="82" t="s"/>
      <x:c r="AS266" s="82" t="s"/>
      <x:c r="AT266" s="82" t="s"/>
      <x:c r="AU266" s="82" t="s"/>
      <x:c r="AV266" s="82" t="s"/>
      <x:c r="AW266" s="82" t="s"/>
      <x:c r="AX266" s="82" t="s"/>
      <x:c r="AY266" s="82" t="s"/>
      <x:c r="AZ266" s="82" t="s"/>
      <x:c r="BA266" s="82" t="s"/>
      <x:c r="BB266" s="82" t="s"/>
      <x:c r="BC266" s="82" t="s"/>
      <x:c r="BD266" s="82" t="s"/>
      <x:c r="BE266" s="82" t="s"/>
      <x:c r="BF266" s="82" t="s"/>
      <x:c r="BG266" s="82" t="s"/>
      <x:c r="BH266" s="82" t="s"/>
      <x:c r="BI266" s="82" t="s"/>
      <x:c r="BJ266" s="82" t="s"/>
      <x:c r="BK266" s="82" t="s"/>
      <x:c r="BL266" s="82" t="s"/>
      <x:c r="BM266" s="82" t="s"/>
      <x:c r="BN266" s="82" t="s"/>
      <x:c r="BO266" s="82" t="s"/>
      <x:c r="BP266" s="82" t="s"/>
      <x:c r="BQ266" s="82" t="s"/>
      <x:c r="BR266" s="82" t="s"/>
    </x:row>
    <x:row r="267" spans="1:70" x14ac:dyDescent="0.25">
      <x:c r="A267" s="82" t="s"/>
      <x:c r="B267" s="82" t="s"/>
      <x:c r="C267" s="82" t="s"/>
      <x:c r="D267" s="82" t="s"/>
      <x:c r="E267" s="82" t="s"/>
      <x:c r="F267" s="82" t="s"/>
      <x:c r="G267" s="82" t="s"/>
      <x:c r="H267" s="82" t="s"/>
      <x:c r="I267" s="82" t="s"/>
      <x:c r="J267" s="82" t="s"/>
      <x:c r="K267" s="82" t="s"/>
      <x:c r="L267" s="82" t="s"/>
      <x:c r="M267" s="82" t="s"/>
      <x:c r="N267" s="82" t="s"/>
      <x:c r="O267" s="82" t="s"/>
      <x:c r="P267" s="82" t="s"/>
      <x:c r="Q267" s="82" t="s"/>
      <x:c r="R267" s="82" t="s"/>
      <x:c r="S267" s="82" t="s"/>
      <x:c r="T267" s="82" t="s"/>
      <x:c r="U267" s="82" t="s"/>
      <x:c r="V267" s="82" t="s"/>
      <x:c r="W267" s="82" t="s"/>
      <x:c r="X267" s="82" t="s"/>
      <x:c r="Y267" s="82" t="s"/>
      <x:c r="Z267" s="82" t="s"/>
      <x:c r="AA267" s="82" t="s"/>
      <x:c r="AB267" s="82" t="s"/>
      <x:c r="AC267" s="82" t="s"/>
      <x:c r="AD267" s="82" t="s"/>
      <x:c r="AE267" s="82" t="s"/>
      <x:c r="AF267" s="82" t="s"/>
      <x:c r="AG267" s="82" t="s"/>
      <x:c r="AH267" s="82" t="s"/>
      <x:c r="AI267" s="82" t="s"/>
      <x:c r="AJ267" s="82" t="s"/>
      <x:c r="AK267" s="82" t="s"/>
      <x:c r="AL267" s="82" t="s"/>
      <x:c r="AM267" s="82" t="s"/>
      <x:c r="AN267" s="82" t="s"/>
      <x:c r="AO267" s="82" t="s"/>
      <x:c r="AP267" s="82" t="s"/>
      <x:c r="AQ267" s="82" t="s"/>
      <x:c r="AR267" s="82" t="s"/>
      <x:c r="AS267" s="82" t="s"/>
      <x:c r="AT267" s="82" t="s"/>
      <x:c r="AU267" s="82" t="s"/>
      <x:c r="AV267" s="82" t="s"/>
      <x:c r="AW267" s="82" t="s"/>
      <x:c r="AX267" s="82" t="s"/>
      <x:c r="AY267" s="82" t="s"/>
      <x:c r="AZ267" s="82" t="s"/>
      <x:c r="BA267" s="82" t="s"/>
      <x:c r="BB267" s="82" t="s"/>
      <x:c r="BC267" s="82" t="s"/>
      <x:c r="BD267" s="82" t="s"/>
      <x:c r="BE267" s="82" t="s"/>
      <x:c r="BF267" s="82" t="s"/>
      <x:c r="BG267" s="82" t="s"/>
      <x:c r="BH267" s="82" t="s"/>
      <x:c r="BI267" s="82" t="s"/>
      <x:c r="BJ267" s="82" t="s"/>
      <x:c r="BK267" s="82" t="s"/>
      <x:c r="BL267" s="82" t="s"/>
      <x:c r="BM267" s="82" t="s"/>
      <x:c r="BN267" s="82" t="s"/>
      <x:c r="BO267" s="82" t="s"/>
      <x:c r="BP267" s="82" t="s"/>
      <x:c r="BQ267" s="82" t="s"/>
      <x:c r="BR267" s="82" t="s"/>
    </x:row>
    <x:row r="268" spans="1:70" x14ac:dyDescent="0.25">
      <x:c r="A268" s="82" t="s"/>
      <x:c r="B268" s="82" t="s"/>
      <x:c r="C268" s="82" t="s"/>
      <x:c r="D268" s="82" t="s"/>
      <x:c r="E268" s="82" t="s"/>
      <x:c r="F268" s="82" t="s"/>
      <x:c r="G268" s="82" t="s"/>
      <x:c r="H268" s="82" t="s"/>
      <x:c r="I268" s="82" t="s"/>
      <x:c r="J268" s="82" t="s"/>
      <x:c r="K268" s="82" t="s"/>
      <x:c r="L268" s="82" t="s"/>
      <x:c r="M268" s="82" t="s"/>
      <x:c r="N268" s="82" t="s"/>
      <x:c r="O268" s="82" t="s"/>
      <x:c r="P268" s="82" t="s"/>
      <x:c r="Q268" s="82" t="s"/>
      <x:c r="R268" s="82" t="s"/>
      <x:c r="S268" s="82" t="s"/>
      <x:c r="T268" s="82" t="s"/>
      <x:c r="U268" s="82" t="s"/>
      <x:c r="V268" s="82" t="s"/>
      <x:c r="W268" s="82" t="s"/>
      <x:c r="X268" s="82" t="s"/>
      <x:c r="Y268" s="82" t="s"/>
      <x:c r="Z268" s="82" t="s"/>
      <x:c r="AA268" s="82" t="s"/>
      <x:c r="AB268" s="82" t="s"/>
      <x:c r="AC268" s="82" t="s"/>
      <x:c r="AD268" s="82" t="s"/>
      <x:c r="AE268" s="82" t="s"/>
      <x:c r="AF268" s="82" t="s"/>
      <x:c r="AG268" s="82" t="s"/>
      <x:c r="AH268" s="82" t="s"/>
      <x:c r="AI268" s="82" t="s"/>
      <x:c r="AJ268" s="82" t="s"/>
      <x:c r="AK268" s="82" t="s"/>
      <x:c r="AL268" s="82" t="s"/>
      <x:c r="AM268" s="82" t="s"/>
      <x:c r="AN268" s="82" t="s"/>
      <x:c r="AO268" s="82" t="s"/>
      <x:c r="AP268" s="82" t="s"/>
      <x:c r="AQ268" s="82" t="s"/>
      <x:c r="AR268" s="82" t="s"/>
      <x:c r="AS268" s="82" t="s"/>
      <x:c r="AT268" s="82" t="s"/>
      <x:c r="AU268" s="82" t="s"/>
      <x:c r="AV268" s="82" t="s"/>
      <x:c r="AW268" s="82" t="s"/>
      <x:c r="AX268" s="82" t="s"/>
      <x:c r="AY268" s="82" t="s"/>
      <x:c r="AZ268" s="82" t="s"/>
      <x:c r="BA268" s="82" t="s"/>
      <x:c r="BB268" s="82" t="s"/>
      <x:c r="BC268" s="82" t="s"/>
      <x:c r="BD268" s="82" t="s"/>
      <x:c r="BE268" s="82" t="s"/>
      <x:c r="BF268" s="82" t="s"/>
      <x:c r="BG268" s="82" t="s"/>
      <x:c r="BH268" s="82" t="s"/>
      <x:c r="BI268" s="82" t="s"/>
      <x:c r="BJ268" s="82" t="s"/>
      <x:c r="BK268" s="82" t="s"/>
      <x:c r="BL268" s="82" t="s"/>
      <x:c r="BM268" s="82" t="s"/>
      <x:c r="BN268" s="82" t="s"/>
      <x:c r="BO268" s="82" t="s"/>
      <x:c r="BP268" s="82" t="s"/>
      <x:c r="BQ268" s="82" t="s"/>
      <x:c r="BR268" s="82" t="s"/>
    </x:row>
    <x:row r="269" spans="1:70" x14ac:dyDescent="0.25">
      <x:c r="A269" s="82" t="s"/>
      <x:c r="B269" s="82" t="s"/>
      <x:c r="C269" s="82" t="s"/>
      <x:c r="D269" s="82" t="s"/>
      <x:c r="E269" s="82" t="s"/>
      <x:c r="F269" s="82" t="s"/>
      <x:c r="G269" s="82" t="s"/>
      <x:c r="H269" s="82" t="s"/>
      <x:c r="I269" s="82" t="s"/>
      <x:c r="J269" s="82" t="s"/>
      <x:c r="K269" s="82" t="s"/>
      <x:c r="L269" s="82" t="s"/>
      <x:c r="M269" s="82" t="s"/>
      <x:c r="N269" s="82" t="s"/>
      <x:c r="O269" s="82" t="s"/>
      <x:c r="P269" s="82" t="s"/>
      <x:c r="Q269" s="82" t="s"/>
      <x:c r="R269" s="82" t="s"/>
      <x:c r="S269" s="82" t="s"/>
      <x:c r="T269" s="82" t="s"/>
      <x:c r="U269" s="82" t="s"/>
      <x:c r="V269" s="82" t="s"/>
      <x:c r="W269" s="82" t="s"/>
      <x:c r="X269" s="82" t="s"/>
      <x:c r="Y269" s="82" t="s"/>
      <x:c r="Z269" s="82" t="s"/>
      <x:c r="AA269" s="82" t="s"/>
      <x:c r="AB269" s="82" t="s"/>
      <x:c r="AC269" s="82" t="s"/>
      <x:c r="AD269" s="82" t="s"/>
      <x:c r="AE269" s="82" t="s"/>
      <x:c r="AF269" s="82" t="s"/>
      <x:c r="AG269" s="82" t="s"/>
      <x:c r="AH269" s="82" t="s"/>
      <x:c r="AI269" s="82" t="s"/>
      <x:c r="AJ269" s="82" t="s"/>
      <x:c r="AK269" s="82" t="s"/>
      <x:c r="AL269" s="82" t="s"/>
      <x:c r="AM269" s="82" t="s"/>
      <x:c r="AN269" s="82" t="s"/>
      <x:c r="AO269" s="82" t="s"/>
      <x:c r="AP269" s="82" t="s"/>
      <x:c r="AQ269" s="82" t="s"/>
      <x:c r="AR269" s="82" t="s"/>
      <x:c r="AS269" s="82" t="s"/>
      <x:c r="AT269" s="82" t="s"/>
      <x:c r="AU269" s="82" t="s"/>
      <x:c r="AV269" s="82" t="s"/>
      <x:c r="AW269" s="82" t="s"/>
      <x:c r="AX269" s="82" t="s"/>
      <x:c r="AY269" s="82" t="s"/>
      <x:c r="AZ269" s="82" t="s"/>
      <x:c r="BA269" s="82" t="s"/>
      <x:c r="BB269" s="82" t="s"/>
      <x:c r="BC269" s="82" t="s"/>
      <x:c r="BD269" s="82" t="s"/>
      <x:c r="BE269" s="82" t="s"/>
      <x:c r="BF269" s="82" t="s"/>
      <x:c r="BG269" s="82" t="s"/>
      <x:c r="BH269" s="82" t="s"/>
      <x:c r="BI269" s="82" t="s"/>
      <x:c r="BJ269" s="82" t="s"/>
      <x:c r="BK269" s="82" t="s"/>
      <x:c r="BL269" s="82" t="s"/>
      <x:c r="BM269" s="82" t="s"/>
      <x:c r="BN269" s="82" t="s"/>
      <x:c r="BO269" s="82" t="s"/>
      <x:c r="BP269" s="82" t="s"/>
      <x:c r="BQ269" s="82" t="s"/>
      <x:c r="BR269" s="82" t="s"/>
    </x:row>
    <x:row r="270" spans="1:70" x14ac:dyDescent="0.25">
      <x:c r="A270" s="82" t="s"/>
      <x:c r="B270" s="82" t="s"/>
      <x:c r="C270" s="82" t="s"/>
      <x:c r="D270" s="82" t="s"/>
      <x:c r="E270" s="82" t="s"/>
      <x:c r="F270" s="82" t="s"/>
      <x:c r="G270" s="82" t="s"/>
      <x:c r="H270" s="82" t="s"/>
      <x:c r="I270" s="82" t="s"/>
      <x:c r="J270" s="82" t="s"/>
      <x:c r="K270" s="82" t="s"/>
      <x:c r="L270" s="82" t="s"/>
      <x:c r="M270" s="82" t="s"/>
      <x:c r="N270" s="82" t="s"/>
      <x:c r="O270" s="82" t="s"/>
      <x:c r="P270" s="82" t="s"/>
      <x:c r="Q270" s="82" t="s"/>
      <x:c r="R270" s="82" t="s"/>
      <x:c r="S270" s="82" t="s"/>
      <x:c r="T270" s="82" t="s"/>
      <x:c r="U270" s="82" t="s"/>
      <x:c r="V270" s="82" t="s"/>
      <x:c r="W270" s="82" t="s"/>
      <x:c r="X270" s="82" t="s"/>
      <x:c r="Y270" s="82" t="s"/>
      <x:c r="Z270" s="82" t="s"/>
      <x:c r="AA270" s="82" t="s"/>
      <x:c r="AB270" s="82" t="s"/>
      <x:c r="AC270" s="82" t="s"/>
      <x:c r="AD270" s="82" t="s"/>
      <x:c r="AE270" s="82" t="s"/>
      <x:c r="AF270" s="82" t="s"/>
      <x:c r="AG270" s="82" t="s"/>
      <x:c r="AH270" s="82" t="s"/>
      <x:c r="AI270" s="82" t="s"/>
      <x:c r="AJ270" s="82" t="s"/>
      <x:c r="AK270" s="82" t="s"/>
      <x:c r="AL270" s="82" t="s"/>
      <x:c r="AM270" s="82" t="s"/>
      <x:c r="AN270" s="82" t="s"/>
      <x:c r="AO270" s="82" t="s"/>
      <x:c r="AP270" s="82" t="s"/>
      <x:c r="AQ270" s="82" t="s"/>
      <x:c r="AR270" s="82" t="s"/>
      <x:c r="AS270" s="82" t="s"/>
      <x:c r="AT270" s="82" t="s"/>
      <x:c r="AU270" s="82" t="s"/>
      <x:c r="AV270" s="82" t="s"/>
      <x:c r="AW270" s="82" t="s"/>
      <x:c r="AX270" s="82" t="s"/>
      <x:c r="AY270" s="82" t="s"/>
      <x:c r="AZ270" s="82" t="s"/>
      <x:c r="BA270" s="82" t="s"/>
      <x:c r="BB270" s="82" t="s"/>
      <x:c r="BC270" s="82" t="s"/>
      <x:c r="BD270" s="82" t="s"/>
      <x:c r="BE270" s="82" t="s"/>
      <x:c r="BF270" s="82" t="s"/>
      <x:c r="BG270" s="82" t="s"/>
      <x:c r="BH270" s="82" t="s"/>
      <x:c r="BI270" s="82" t="s"/>
      <x:c r="BJ270" s="82" t="s"/>
      <x:c r="BK270" s="82" t="s"/>
      <x:c r="BL270" s="82" t="s"/>
      <x:c r="BM270" s="82" t="s"/>
      <x:c r="BN270" s="82" t="s"/>
      <x:c r="BO270" s="82" t="s"/>
      <x:c r="BP270" s="82" t="s"/>
      <x:c r="BQ270" s="82" t="s"/>
      <x:c r="BR270" s="82" t="s"/>
    </x:row>
    <x:row r="271" spans="1:70" x14ac:dyDescent="0.25">
      <x:c r="A271" s="82" t="s"/>
      <x:c r="B271" s="82" t="s"/>
      <x:c r="C271" s="82" t="s"/>
      <x:c r="D271" s="82" t="s"/>
      <x:c r="E271" s="82" t="s"/>
      <x:c r="F271" s="82" t="s"/>
      <x:c r="G271" s="82" t="s"/>
      <x:c r="H271" s="82" t="s"/>
      <x:c r="I271" s="82" t="s"/>
      <x:c r="J271" s="82" t="s"/>
      <x:c r="K271" s="82" t="s"/>
      <x:c r="L271" s="82" t="s"/>
      <x:c r="M271" s="82" t="s"/>
      <x:c r="N271" s="82" t="s"/>
      <x:c r="O271" s="82" t="s"/>
      <x:c r="P271" s="82" t="s"/>
      <x:c r="Q271" s="82" t="s"/>
      <x:c r="R271" s="82" t="s"/>
      <x:c r="S271" s="82" t="s"/>
      <x:c r="T271" s="82" t="s"/>
      <x:c r="U271" s="82" t="s"/>
      <x:c r="V271" s="82" t="s"/>
      <x:c r="W271" s="82" t="s"/>
      <x:c r="X271" s="82" t="s"/>
      <x:c r="Y271" s="82" t="s"/>
      <x:c r="Z271" s="82" t="s"/>
      <x:c r="AA271" s="82" t="s"/>
      <x:c r="AB271" s="82" t="s"/>
      <x:c r="AC271" s="82" t="s"/>
      <x:c r="AD271" s="82" t="s"/>
      <x:c r="AE271" s="82" t="s"/>
      <x:c r="AF271" s="82" t="s"/>
      <x:c r="AG271" s="82" t="s"/>
      <x:c r="AH271" s="82" t="s"/>
      <x:c r="AI271" s="82" t="s"/>
      <x:c r="AJ271" s="82" t="s"/>
      <x:c r="AK271" s="82" t="s"/>
      <x:c r="AL271" s="82" t="s"/>
      <x:c r="AM271" s="82" t="s"/>
      <x:c r="AN271" s="82" t="s"/>
      <x:c r="AO271" s="82" t="s"/>
      <x:c r="AP271" s="82" t="s"/>
      <x:c r="AQ271" s="82" t="s"/>
      <x:c r="AR271" s="82" t="s"/>
      <x:c r="AS271" s="82" t="s"/>
      <x:c r="AT271" s="82" t="s"/>
      <x:c r="AU271" s="82" t="s"/>
      <x:c r="AV271" s="82" t="s"/>
      <x:c r="AW271" s="82" t="s"/>
      <x:c r="AX271" s="82" t="s"/>
      <x:c r="AY271" s="82" t="s"/>
      <x:c r="AZ271" s="82" t="s"/>
      <x:c r="BA271" s="82" t="s"/>
      <x:c r="BB271" s="82" t="s"/>
      <x:c r="BC271" s="82" t="s"/>
      <x:c r="BD271" s="82" t="s"/>
      <x:c r="BE271" s="82" t="s"/>
      <x:c r="BF271" s="82" t="s"/>
      <x:c r="BG271" s="82" t="s"/>
      <x:c r="BH271" s="82" t="s"/>
      <x:c r="BI271" s="82" t="s"/>
      <x:c r="BJ271" s="82" t="s"/>
      <x:c r="BK271" s="82" t="s"/>
      <x:c r="BL271" s="82" t="s"/>
      <x:c r="BM271" s="82" t="s"/>
      <x:c r="BN271" s="82" t="s"/>
      <x:c r="BO271" s="82" t="s"/>
      <x:c r="BP271" s="82" t="s"/>
      <x:c r="BQ271" s="82" t="s"/>
      <x:c r="BR271" s="82" t="s"/>
    </x:row>
    <x:row r="272" spans="1:70" x14ac:dyDescent="0.25">
      <x:c r="A272" s="82" t="s"/>
      <x:c r="B272" s="82" t="s"/>
      <x:c r="C272" s="82" t="s"/>
      <x:c r="D272" s="82" t="s"/>
      <x:c r="E272" s="82" t="s"/>
      <x:c r="F272" s="82" t="s"/>
      <x:c r="G272" s="82" t="s"/>
      <x:c r="H272" s="82" t="s"/>
      <x:c r="I272" s="82" t="s"/>
      <x:c r="J272" s="82" t="s"/>
      <x:c r="K272" s="82" t="s"/>
      <x:c r="L272" s="82" t="s"/>
      <x:c r="M272" s="82" t="s"/>
      <x:c r="N272" s="82" t="s"/>
      <x:c r="O272" s="82" t="s"/>
      <x:c r="P272" s="82" t="s"/>
      <x:c r="Q272" s="82" t="s"/>
      <x:c r="R272" s="82" t="s"/>
      <x:c r="S272" s="82" t="s"/>
      <x:c r="T272" s="82" t="s"/>
      <x:c r="U272" s="82" t="s"/>
      <x:c r="V272" s="82" t="s"/>
      <x:c r="W272" s="82" t="s"/>
      <x:c r="X272" s="82" t="s"/>
      <x:c r="Y272" s="82" t="s"/>
      <x:c r="Z272" s="82" t="s"/>
      <x:c r="AA272" s="82" t="s"/>
      <x:c r="AB272" s="82" t="s"/>
      <x:c r="AC272" s="82" t="s"/>
      <x:c r="AD272" s="82" t="s"/>
      <x:c r="AE272" s="82" t="s"/>
      <x:c r="AF272" s="82" t="s"/>
      <x:c r="AG272" s="82" t="s"/>
      <x:c r="AH272" s="82" t="s"/>
      <x:c r="AI272" s="82" t="s"/>
      <x:c r="AJ272" s="82" t="s"/>
      <x:c r="AK272" s="82" t="s"/>
      <x:c r="AL272" s="82" t="s"/>
      <x:c r="AM272" s="82" t="s"/>
      <x:c r="AN272" s="82" t="s"/>
      <x:c r="AO272" s="82" t="s"/>
      <x:c r="AP272" s="82" t="s"/>
      <x:c r="AQ272" s="82" t="s"/>
      <x:c r="AR272" s="82" t="s"/>
      <x:c r="AS272" s="82" t="s"/>
      <x:c r="AT272" s="82" t="s"/>
      <x:c r="AU272" s="82" t="s"/>
      <x:c r="AV272" s="82" t="s"/>
      <x:c r="AW272" s="82" t="s"/>
      <x:c r="AX272" s="82" t="s"/>
      <x:c r="AY272" s="82" t="s"/>
      <x:c r="AZ272" s="82" t="s"/>
      <x:c r="BA272" s="82" t="s"/>
      <x:c r="BB272" s="82" t="s"/>
      <x:c r="BC272" s="82" t="s"/>
      <x:c r="BD272" s="82" t="s"/>
      <x:c r="BE272" s="82" t="s"/>
      <x:c r="BF272" s="82" t="s"/>
      <x:c r="BG272" s="82" t="s"/>
      <x:c r="BH272" s="82" t="s"/>
      <x:c r="BI272" s="82" t="s"/>
      <x:c r="BJ272" s="82" t="s"/>
      <x:c r="BK272" s="82" t="s"/>
      <x:c r="BL272" s="82" t="s"/>
      <x:c r="BM272" s="82" t="s"/>
      <x:c r="BN272" s="82" t="s"/>
      <x:c r="BO272" s="82" t="s"/>
      <x:c r="BP272" s="82" t="s"/>
      <x:c r="BQ272" s="82" t="s"/>
      <x:c r="BR272" s="82" t="s"/>
    </x:row>
    <x:row r="273" spans="1:70" x14ac:dyDescent="0.25">
      <x:c r="A273" s="82" t="s"/>
      <x:c r="B273" s="82" t="s"/>
      <x:c r="C273" s="82" t="s"/>
      <x:c r="D273" s="82" t="s"/>
      <x:c r="E273" s="82" t="s"/>
      <x:c r="F273" s="82" t="s"/>
      <x:c r="G273" s="82" t="s"/>
      <x:c r="H273" s="82" t="s"/>
      <x:c r="I273" s="82" t="s"/>
      <x:c r="J273" s="82" t="s"/>
      <x:c r="K273" s="82" t="s"/>
      <x:c r="L273" s="82" t="s"/>
      <x:c r="M273" s="82" t="s"/>
      <x:c r="N273" s="82" t="s"/>
      <x:c r="O273" s="82" t="s"/>
      <x:c r="P273" s="82" t="s"/>
      <x:c r="Q273" s="82" t="s"/>
      <x:c r="R273" s="82" t="s"/>
      <x:c r="S273" s="82" t="s"/>
      <x:c r="T273" s="82" t="s"/>
      <x:c r="U273" s="82" t="s"/>
      <x:c r="V273" s="82" t="s"/>
      <x:c r="W273" s="82" t="s"/>
      <x:c r="X273" s="82" t="s"/>
      <x:c r="Y273" s="82" t="s"/>
      <x:c r="Z273" s="82" t="s"/>
      <x:c r="AA273" s="82" t="s"/>
      <x:c r="AB273" s="82" t="s"/>
      <x:c r="AC273" s="82" t="s"/>
      <x:c r="AD273" s="82" t="s"/>
      <x:c r="AE273" s="82" t="s"/>
      <x:c r="AF273" s="82" t="s"/>
      <x:c r="AG273" s="82" t="s"/>
      <x:c r="AH273" s="82" t="s"/>
      <x:c r="AI273" s="82" t="s"/>
      <x:c r="AJ273" s="82" t="s"/>
      <x:c r="AK273" s="82" t="s"/>
      <x:c r="AL273" s="82" t="s"/>
      <x:c r="AM273" s="82" t="s"/>
      <x:c r="AN273" s="82" t="s"/>
      <x:c r="AO273" s="82" t="s"/>
      <x:c r="AP273" s="82" t="s"/>
      <x:c r="AQ273" s="82" t="s"/>
      <x:c r="AR273" s="82" t="s"/>
      <x:c r="AS273" s="82" t="s"/>
      <x:c r="AT273" s="82" t="s"/>
      <x:c r="AU273" s="82" t="s"/>
      <x:c r="AV273" s="82" t="s"/>
      <x:c r="AW273" s="82" t="s"/>
      <x:c r="AX273" s="82" t="s"/>
      <x:c r="AY273" s="82" t="s"/>
      <x:c r="AZ273" s="82" t="s"/>
      <x:c r="BA273" s="82" t="s"/>
      <x:c r="BB273" s="82" t="s"/>
      <x:c r="BC273" s="82" t="s"/>
      <x:c r="BD273" s="82" t="s"/>
      <x:c r="BE273" s="82" t="s"/>
      <x:c r="BF273" s="82" t="s"/>
      <x:c r="BG273" s="82" t="s"/>
      <x:c r="BH273" s="82" t="s"/>
      <x:c r="BI273" s="82" t="s"/>
      <x:c r="BJ273" s="82" t="s"/>
      <x:c r="BK273" s="82" t="s"/>
      <x:c r="BL273" s="82" t="s"/>
      <x:c r="BM273" s="82" t="s"/>
      <x:c r="BN273" s="82" t="s"/>
      <x:c r="BO273" s="82" t="s"/>
      <x:c r="BP273" s="82" t="s"/>
      <x:c r="BQ273" s="82" t="s"/>
      <x:c r="BR273" s="82" t="s"/>
    </x:row>
    <x:row r="274" spans="1:70" x14ac:dyDescent="0.25">
      <x:c r="A274" s="82" t="s"/>
      <x:c r="B274" s="82" t="s"/>
      <x:c r="C274" s="82" t="s"/>
      <x:c r="D274" s="82" t="s"/>
      <x:c r="E274" s="82" t="s"/>
      <x:c r="F274" s="82" t="s"/>
      <x:c r="G274" s="82" t="s"/>
      <x:c r="H274" s="82" t="s"/>
      <x:c r="I274" s="82" t="s"/>
      <x:c r="J274" s="82" t="s"/>
      <x:c r="K274" s="82" t="s"/>
      <x:c r="L274" s="82" t="s"/>
      <x:c r="M274" s="82" t="s"/>
      <x:c r="N274" s="82" t="s"/>
      <x:c r="O274" s="82" t="s"/>
      <x:c r="P274" s="82" t="s"/>
      <x:c r="Q274" s="82" t="s"/>
      <x:c r="R274" s="82" t="s"/>
      <x:c r="S274" s="82" t="s"/>
      <x:c r="T274" s="82" t="s"/>
      <x:c r="U274" s="82" t="s"/>
      <x:c r="V274" s="82" t="s"/>
      <x:c r="W274" s="82" t="s"/>
      <x:c r="X274" s="82" t="s"/>
      <x:c r="Y274" s="82" t="s"/>
      <x:c r="Z274" s="82" t="s"/>
      <x:c r="AA274" s="82" t="s"/>
      <x:c r="AB274" s="82" t="s"/>
      <x:c r="AC274" s="82" t="s"/>
      <x:c r="AD274" s="82" t="s"/>
      <x:c r="AE274" s="82" t="s"/>
      <x:c r="AF274" s="82" t="s"/>
      <x:c r="AG274" s="82" t="s"/>
      <x:c r="AH274" s="82" t="s"/>
      <x:c r="AI274" s="82" t="s"/>
      <x:c r="AJ274" s="82" t="s"/>
      <x:c r="AK274" s="82" t="s"/>
      <x:c r="AL274" s="82" t="s"/>
      <x:c r="AM274" s="82" t="s"/>
      <x:c r="AN274" s="82" t="s"/>
      <x:c r="AO274" s="82" t="s"/>
      <x:c r="AP274" s="82" t="s"/>
      <x:c r="AQ274" s="82" t="s"/>
      <x:c r="AR274" s="82" t="s"/>
      <x:c r="AS274" s="82" t="s"/>
      <x:c r="AT274" s="82" t="s"/>
      <x:c r="AU274" s="82" t="s"/>
      <x:c r="AV274" s="82" t="s"/>
      <x:c r="AW274" s="82" t="s"/>
      <x:c r="AX274" s="82" t="s"/>
      <x:c r="AY274" s="82" t="s"/>
      <x:c r="AZ274" s="82" t="s"/>
      <x:c r="BA274" s="82" t="s"/>
      <x:c r="BB274" s="82" t="s"/>
      <x:c r="BC274" s="82" t="s"/>
      <x:c r="BD274" s="82" t="s"/>
      <x:c r="BE274" s="82" t="s"/>
      <x:c r="BF274" s="82" t="s"/>
      <x:c r="BG274" s="82" t="s"/>
      <x:c r="BH274" s="82" t="s"/>
      <x:c r="BI274" s="82" t="s"/>
      <x:c r="BJ274" s="82" t="s"/>
      <x:c r="BK274" s="82" t="s"/>
      <x:c r="BL274" s="82" t="s"/>
      <x:c r="BM274" s="82" t="s"/>
      <x:c r="BN274" s="82" t="s"/>
      <x:c r="BO274" s="82" t="s"/>
      <x:c r="BP274" s="82" t="s"/>
      <x:c r="BQ274" s="82" t="s"/>
      <x:c r="BR274" s="82" t="s"/>
    </x:row>
    <x:row r="275" spans="1:70" x14ac:dyDescent="0.25">
      <x:c r="A275" s="82" t="s"/>
      <x:c r="B275" s="82" t="s"/>
      <x:c r="C275" s="82" t="s"/>
      <x:c r="D275" s="82" t="s"/>
      <x:c r="E275" s="82" t="s"/>
      <x:c r="F275" s="82" t="s"/>
      <x:c r="G275" s="82" t="s"/>
      <x:c r="H275" s="82" t="s"/>
      <x:c r="I275" s="82" t="s"/>
      <x:c r="J275" s="82" t="s"/>
      <x:c r="K275" s="82" t="s"/>
      <x:c r="L275" s="82" t="s"/>
      <x:c r="M275" s="82" t="s"/>
      <x:c r="N275" s="82" t="s"/>
      <x:c r="O275" s="82" t="s"/>
      <x:c r="P275" s="82" t="s"/>
      <x:c r="Q275" s="82" t="s"/>
      <x:c r="R275" s="82" t="s"/>
      <x:c r="S275" s="82" t="s"/>
      <x:c r="T275" s="82" t="s"/>
      <x:c r="U275" s="82" t="s"/>
      <x:c r="V275" s="82" t="s"/>
      <x:c r="W275" s="82" t="s"/>
      <x:c r="X275" s="82" t="s"/>
      <x:c r="Y275" s="82" t="s"/>
      <x:c r="Z275" s="82" t="s"/>
      <x:c r="AA275" s="82" t="s"/>
      <x:c r="AB275" s="82" t="s"/>
      <x:c r="AC275" s="82" t="s"/>
      <x:c r="AD275" s="82" t="s"/>
      <x:c r="AE275" s="82" t="s"/>
      <x:c r="AF275" s="82" t="s"/>
      <x:c r="AG275" s="82" t="s"/>
      <x:c r="AH275" s="82" t="s"/>
      <x:c r="AI275" s="82" t="s"/>
      <x:c r="AJ275" s="82" t="s"/>
      <x:c r="AK275" s="82" t="s"/>
      <x:c r="AL275" s="82" t="s"/>
      <x:c r="AM275" s="82" t="s"/>
      <x:c r="AN275" s="82" t="s"/>
      <x:c r="AO275" s="82" t="s"/>
      <x:c r="AP275" s="82" t="s"/>
      <x:c r="AQ275" s="82" t="s"/>
      <x:c r="AR275" s="82" t="s"/>
      <x:c r="AS275" s="82" t="s"/>
      <x:c r="AT275" s="82" t="s"/>
      <x:c r="AU275" s="82" t="s"/>
      <x:c r="AV275" s="82" t="s"/>
      <x:c r="AW275" s="82" t="s"/>
      <x:c r="AX275" s="82" t="s"/>
      <x:c r="AY275" s="82" t="s"/>
      <x:c r="AZ275" s="82" t="s"/>
      <x:c r="BA275" s="82" t="s"/>
      <x:c r="BB275" s="82" t="s"/>
      <x:c r="BC275" s="82" t="s"/>
      <x:c r="BD275" s="82" t="s"/>
      <x:c r="BE275" s="82" t="s"/>
      <x:c r="BF275" s="82" t="s"/>
      <x:c r="BG275" s="82" t="s"/>
      <x:c r="BH275" s="82" t="s"/>
      <x:c r="BI275" s="82" t="s"/>
      <x:c r="BJ275" s="82" t="s"/>
      <x:c r="BK275" s="82" t="s"/>
      <x:c r="BL275" s="82" t="s"/>
      <x:c r="BM275" s="82" t="s"/>
      <x:c r="BN275" s="82" t="s"/>
      <x:c r="BO275" s="82" t="s"/>
      <x:c r="BP275" s="82" t="s"/>
      <x:c r="BQ275" s="82" t="s"/>
      <x:c r="BR275" s="82" t="s"/>
    </x:row>
    <x:row r="276" spans="1:70" x14ac:dyDescent="0.25">
      <x:c r="A276" s="82" t="s"/>
      <x:c r="B276" s="82" t="s"/>
      <x:c r="C276" s="82" t="s"/>
      <x:c r="D276" s="82" t="s"/>
      <x:c r="E276" s="82" t="s"/>
      <x:c r="F276" s="82" t="s"/>
      <x:c r="G276" s="82" t="s"/>
      <x:c r="H276" s="82" t="s"/>
      <x:c r="I276" s="82" t="s"/>
      <x:c r="J276" s="82" t="s"/>
      <x:c r="K276" s="82" t="s"/>
      <x:c r="L276" s="82" t="s"/>
      <x:c r="M276" s="82" t="s"/>
      <x:c r="N276" s="82" t="s"/>
      <x:c r="O276" s="82" t="s"/>
      <x:c r="P276" s="82" t="s"/>
      <x:c r="Q276" s="82" t="s"/>
      <x:c r="R276" s="82" t="s"/>
      <x:c r="S276" s="82" t="s"/>
      <x:c r="T276" s="82" t="s"/>
      <x:c r="U276" s="82" t="s"/>
      <x:c r="V276" s="82" t="s"/>
      <x:c r="W276" s="82" t="s"/>
      <x:c r="X276" s="82" t="s"/>
      <x:c r="Y276" s="82" t="s"/>
      <x:c r="Z276" s="82" t="s"/>
      <x:c r="AA276" s="82" t="s"/>
      <x:c r="AB276" s="82" t="s"/>
      <x:c r="AC276" s="82" t="s"/>
      <x:c r="AD276" s="82" t="s"/>
      <x:c r="AE276" s="82" t="s"/>
      <x:c r="AF276" s="82" t="s"/>
      <x:c r="AG276" s="82" t="s"/>
      <x:c r="AH276" s="82" t="s"/>
      <x:c r="AI276" s="82" t="s"/>
      <x:c r="AJ276" s="82" t="s"/>
      <x:c r="AK276" s="82" t="s"/>
      <x:c r="AL276" s="82" t="s"/>
      <x:c r="AM276" s="82" t="s"/>
      <x:c r="AN276" s="82" t="s"/>
      <x:c r="AO276" s="82" t="s"/>
      <x:c r="AP276" s="82" t="s"/>
      <x:c r="AQ276" s="82" t="s"/>
      <x:c r="AR276" s="82" t="s"/>
      <x:c r="AS276" s="82" t="s"/>
      <x:c r="AT276" s="82" t="s"/>
      <x:c r="AU276" s="82" t="s"/>
      <x:c r="AV276" s="82" t="s"/>
      <x:c r="AW276" s="82" t="s"/>
      <x:c r="AX276" s="82" t="s"/>
      <x:c r="AY276" s="82" t="s"/>
      <x:c r="AZ276" s="82" t="s"/>
      <x:c r="BA276" s="82" t="s"/>
      <x:c r="BB276" s="82" t="s"/>
      <x:c r="BC276" s="82" t="s"/>
      <x:c r="BD276" s="82" t="s"/>
      <x:c r="BE276" s="82" t="s"/>
      <x:c r="BF276" s="82" t="s"/>
      <x:c r="BG276" s="82" t="s"/>
      <x:c r="BH276" s="82" t="s"/>
      <x:c r="BI276" s="82" t="s"/>
      <x:c r="BJ276" s="82" t="s"/>
      <x:c r="BK276" s="82" t="s"/>
      <x:c r="BL276" s="82" t="s"/>
      <x:c r="BM276" s="82" t="s"/>
      <x:c r="BN276" s="82" t="s"/>
      <x:c r="BO276" s="82" t="s"/>
      <x:c r="BP276" s="82" t="s"/>
      <x:c r="BQ276" s="82" t="s"/>
      <x:c r="BR276" s="82" t="s"/>
    </x:row>
    <x:row r="277" spans="1:70" x14ac:dyDescent="0.25">
      <x:c r="A277" s="82" t="s"/>
      <x:c r="B277" s="82" t="s"/>
      <x:c r="C277" s="82" t="s"/>
      <x:c r="D277" s="82" t="s"/>
      <x:c r="E277" s="82" t="s"/>
      <x:c r="F277" s="82" t="s"/>
      <x:c r="G277" s="82" t="s"/>
      <x:c r="H277" s="82" t="s"/>
      <x:c r="I277" s="82" t="s"/>
      <x:c r="J277" s="82" t="s"/>
      <x:c r="K277" s="82" t="s"/>
      <x:c r="L277" s="82" t="s"/>
      <x:c r="M277" s="82" t="s"/>
      <x:c r="N277" s="82" t="s"/>
      <x:c r="O277" s="82" t="s"/>
      <x:c r="P277" s="82" t="s"/>
      <x:c r="Q277" s="82" t="s"/>
      <x:c r="R277" s="82" t="s"/>
      <x:c r="S277" s="82" t="s"/>
      <x:c r="T277" s="82" t="s"/>
      <x:c r="U277" s="82" t="s"/>
      <x:c r="V277" s="82" t="s"/>
      <x:c r="W277" s="82" t="s"/>
      <x:c r="X277" s="82" t="s"/>
      <x:c r="Y277" s="82" t="s"/>
      <x:c r="Z277" s="82" t="s"/>
      <x:c r="AA277" s="82" t="s"/>
      <x:c r="AB277" s="82" t="s"/>
      <x:c r="AC277" s="82" t="s"/>
      <x:c r="AD277" s="82" t="s"/>
      <x:c r="AE277" s="82" t="s"/>
      <x:c r="AF277" s="82" t="s"/>
      <x:c r="AG277" s="82" t="s"/>
      <x:c r="AH277" s="82" t="s"/>
      <x:c r="AI277" s="82" t="s"/>
      <x:c r="AJ277" s="82" t="s"/>
      <x:c r="AK277" s="82" t="s"/>
      <x:c r="AL277" s="82" t="s"/>
      <x:c r="AM277" s="82" t="s"/>
      <x:c r="AN277" s="82" t="s"/>
      <x:c r="AO277" s="82" t="s"/>
      <x:c r="AP277" s="82" t="s"/>
      <x:c r="AQ277" s="82" t="s"/>
      <x:c r="AR277" s="82" t="s"/>
      <x:c r="AS277" s="82" t="s"/>
      <x:c r="AT277" s="82" t="s"/>
      <x:c r="AU277" s="82" t="s"/>
      <x:c r="AV277" s="82" t="s"/>
      <x:c r="AW277" s="82" t="s"/>
      <x:c r="AX277" s="82" t="s"/>
      <x:c r="AY277" s="82" t="s"/>
      <x:c r="AZ277" s="82" t="s"/>
      <x:c r="BA277" s="82" t="s"/>
      <x:c r="BB277" s="82" t="s"/>
      <x:c r="BC277" s="82" t="s"/>
      <x:c r="BD277" s="82" t="s"/>
      <x:c r="BE277" s="82" t="s"/>
      <x:c r="BF277" s="82" t="s"/>
      <x:c r="BG277" s="82" t="s"/>
      <x:c r="BH277" s="82" t="s"/>
      <x:c r="BI277" s="82" t="s"/>
      <x:c r="BJ277" s="82" t="s"/>
      <x:c r="BK277" s="82" t="s"/>
      <x:c r="BL277" s="82" t="s"/>
      <x:c r="BM277" s="82" t="s"/>
      <x:c r="BN277" s="82" t="s"/>
      <x:c r="BO277" s="82" t="s"/>
      <x:c r="BP277" s="82" t="s"/>
      <x:c r="BQ277" s="82" t="s"/>
      <x:c r="BR277" s="82" t="s"/>
    </x:row>
    <x:row r="278" spans="1:70" x14ac:dyDescent="0.25">
      <x:c r="A278" s="82" t="s"/>
      <x:c r="B278" s="82" t="s"/>
      <x:c r="C278" s="82" t="s"/>
      <x:c r="D278" s="82" t="s"/>
      <x:c r="E278" s="82" t="s"/>
      <x:c r="F278" s="82" t="s"/>
      <x:c r="G278" s="82" t="s"/>
      <x:c r="H278" s="82" t="s"/>
      <x:c r="I278" s="82" t="s"/>
      <x:c r="J278" s="82" t="s"/>
      <x:c r="K278" s="82" t="s"/>
      <x:c r="L278" s="82" t="s"/>
      <x:c r="M278" s="82" t="s"/>
      <x:c r="N278" s="82" t="s"/>
      <x:c r="O278" s="82" t="s"/>
      <x:c r="P278" s="82" t="s"/>
      <x:c r="Q278" s="82" t="s"/>
      <x:c r="R278" s="82" t="s"/>
      <x:c r="S278" s="82" t="s"/>
      <x:c r="T278" s="82" t="s"/>
      <x:c r="U278" s="82" t="s"/>
      <x:c r="V278" s="82" t="s"/>
      <x:c r="W278" s="82" t="s"/>
      <x:c r="X278" s="82" t="s"/>
      <x:c r="Y278" s="82" t="s"/>
      <x:c r="Z278" s="82" t="s"/>
      <x:c r="AA278" s="82" t="s"/>
      <x:c r="AB278" s="82" t="s"/>
      <x:c r="AC278" s="82" t="s"/>
      <x:c r="AD278" s="82" t="s"/>
      <x:c r="AE278" s="82" t="s"/>
      <x:c r="AF278" s="82" t="s"/>
      <x:c r="AG278" s="82" t="s"/>
      <x:c r="AH278" s="82" t="s"/>
      <x:c r="AI278" s="82" t="s"/>
      <x:c r="AJ278" s="82" t="s"/>
      <x:c r="AK278" s="82" t="s"/>
      <x:c r="AL278" s="82" t="s"/>
      <x:c r="AM278" s="82" t="s"/>
      <x:c r="AN278" s="82" t="s"/>
      <x:c r="AO278" s="82" t="s"/>
      <x:c r="AP278" s="82" t="s"/>
      <x:c r="AQ278" s="82" t="s"/>
      <x:c r="AR278" s="82" t="s"/>
      <x:c r="AS278" s="82" t="s"/>
      <x:c r="AT278" s="82" t="s"/>
      <x:c r="AU278" s="82" t="s"/>
      <x:c r="AV278" s="82" t="s"/>
      <x:c r="AW278" s="82" t="s"/>
      <x:c r="AX278" s="82" t="s"/>
      <x:c r="AY278" s="82" t="s"/>
      <x:c r="AZ278" s="82" t="s"/>
      <x:c r="BA278" s="82" t="s"/>
      <x:c r="BB278" s="82" t="s"/>
      <x:c r="BC278" s="82" t="s"/>
      <x:c r="BD278" s="82" t="s"/>
      <x:c r="BE278" s="82" t="s"/>
      <x:c r="BF278" s="82" t="s"/>
      <x:c r="BG278" s="82" t="s"/>
      <x:c r="BH278" s="82" t="s"/>
      <x:c r="BI278" s="82" t="s"/>
      <x:c r="BJ278" s="82" t="s"/>
      <x:c r="BK278" s="82" t="s"/>
      <x:c r="BL278" s="82" t="s"/>
      <x:c r="BM278" s="82" t="s"/>
      <x:c r="BN278" s="82" t="s"/>
      <x:c r="BO278" s="82" t="s"/>
      <x:c r="BP278" s="82" t="s"/>
      <x:c r="BQ278" s="82" t="s"/>
      <x:c r="BR278" s="82" t="s"/>
    </x:row>
    <x:row r="279" spans="1:70" x14ac:dyDescent="0.25">
      <x:c r="A279" s="82" t="s"/>
      <x:c r="B279" s="82" t="s"/>
      <x:c r="C279" s="82" t="s"/>
      <x:c r="D279" s="82" t="s"/>
      <x:c r="E279" s="82" t="s"/>
      <x:c r="F279" s="82" t="s"/>
      <x:c r="G279" s="82" t="s"/>
      <x:c r="H279" s="82" t="s"/>
      <x:c r="I279" s="82" t="s"/>
      <x:c r="J279" s="82" t="s"/>
      <x:c r="K279" s="82" t="s"/>
      <x:c r="L279" s="82" t="s"/>
      <x:c r="M279" s="82" t="s"/>
      <x:c r="N279" s="82" t="s"/>
      <x:c r="O279" s="82" t="s"/>
      <x:c r="P279" s="82" t="s"/>
      <x:c r="Q279" s="82" t="s"/>
      <x:c r="R279" s="82" t="s"/>
      <x:c r="S279" s="82" t="s"/>
      <x:c r="T279" s="82" t="s"/>
      <x:c r="U279" s="82" t="s"/>
      <x:c r="V279" s="82" t="s"/>
      <x:c r="W279" s="82" t="s"/>
      <x:c r="X279" s="82" t="s"/>
      <x:c r="Y279" s="82" t="s"/>
      <x:c r="Z279" s="82" t="s"/>
      <x:c r="AA279" s="82" t="s"/>
      <x:c r="AB279" s="82" t="s"/>
      <x:c r="AC279" s="82" t="s"/>
      <x:c r="AD279" s="82" t="s"/>
      <x:c r="AE279" s="82" t="s"/>
      <x:c r="AF279" s="82" t="s"/>
      <x:c r="AG279" s="82" t="s"/>
      <x:c r="AH279" s="82" t="s"/>
      <x:c r="AI279" s="82" t="s"/>
      <x:c r="AJ279" s="82" t="s"/>
      <x:c r="AK279" s="82" t="s"/>
      <x:c r="AL279" s="82" t="s"/>
      <x:c r="AM279" s="82" t="s"/>
      <x:c r="AN279" s="82" t="s"/>
      <x:c r="AO279" s="82" t="s"/>
      <x:c r="AP279" s="82" t="s"/>
      <x:c r="AQ279" s="82" t="s"/>
      <x:c r="AR279" s="82" t="s"/>
      <x:c r="AS279" s="82" t="s"/>
      <x:c r="AT279" s="82" t="s"/>
      <x:c r="AU279" s="82" t="s"/>
      <x:c r="AV279" s="82" t="s"/>
      <x:c r="AW279" s="82" t="s"/>
      <x:c r="AX279" s="82" t="s"/>
      <x:c r="AY279" s="82" t="s"/>
      <x:c r="AZ279" s="82" t="s"/>
      <x:c r="BA279" s="82" t="s"/>
      <x:c r="BB279" s="82" t="s"/>
      <x:c r="BC279" s="82" t="s"/>
      <x:c r="BD279" s="82" t="s"/>
      <x:c r="BE279" s="82" t="s"/>
      <x:c r="BF279" s="82" t="s"/>
      <x:c r="BG279" s="82" t="s"/>
      <x:c r="BH279" s="82" t="s"/>
      <x:c r="BI279" s="82" t="s"/>
      <x:c r="BJ279" s="82" t="s"/>
      <x:c r="BK279" s="82" t="s"/>
      <x:c r="BL279" s="82" t="s"/>
      <x:c r="BM279" s="82" t="s"/>
      <x:c r="BN279" s="82" t="s"/>
      <x:c r="BO279" s="82" t="s"/>
      <x:c r="BP279" s="82" t="s"/>
      <x:c r="BQ279" s="82" t="s"/>
      <x:c r="BR279" s="82" t="s"/>
    </x:row>
    <x:row r="280" spans="1:70" x14ac:dyDescent="0.25">
      <x:c r="A280" s="82" t="s"/>
      <x:c r="B280" s="82" t="s"/>
      <x:c r="C280" s="82" t="s"/>
      <x:c r="D280" s="82" t="s"/>
      <x:c r="E280" s="82" t="s"/>
      <x:c r="F280" s="82" t="s"/>
      <x:c r="G280" s="82" t="s"/>
      <x:c r="H280" s="82" t="s"/>
      <x:c r="I280" s="82" t="s"/>
      <x:c r="J280" s="82" t="s"/>
      <x:c r="K280" s="82" t="s"/>
      <x:c r="L280" s="82" t="s"/>
      <x:c r="M280" s="82" t="s"/>
      <x:c r="N280" s="82" t="s"/>
      <x:c r="O280" s="82" t="s"/>
      <x:c r="P280" s="82" t="s"/>
      <x:c r="Q280" s="82" t="s"/>
      <x:c r="R280" s="82" t="s"/>
      <x:c r="S280" s="82" t="s"/>
      <x:c r="T280" s="82" t="s"/>
      <x:c r="U280" s="82" t="s"/>
      <x:c r="V280" s="82" t="s"/>
      <x:c r="W280" s="82" t="s"/>
      <x:c r="X280" s="82" t="s"/>
      <x:c r="Y280" s="82" t="s"/>
      <x:c r="Z280" s="82" t="s"/>
      <x:c r="AA280" s="82" t="s"/>
      <x:c r="AB280" s="82" t="s"/>
      <x:c r="AC280" s="82" t="s"/>
      <x:c r="AD280" s="82" t="s"/>
      <x:c r="AE280" s="82" t="s"/>
      <x:c r="AF280" s="82" t="s"/>
      <x:c r="AG280" s="82" t="s"/>
      <x:c r="AH280" s="82" t="s"/>
      <x:c r="AI280" s="82" t="s"/>
      <x:c r="AJ280" s="82" t="s"/>
      <x:c r="AK280" s="82" t="s"/>
      <x:c r="AL280" s="82" t="s"/>
      <x:c r="AM280" s="82" t="s"/>
      <x:c r="AN280" s="82" t="s"/>
      <x:c r="AO280" s="82" t="s"/>
      <x:c r="AP280" s="82" t="s"/>
      <x:c r="AQ280" s="82" t="s"/>
      <x:c r="AR280" s="82" t="s"/>
      <x:c r="AS280" s="82" t="s"/>
      <x:c r="AT280" s="82" t="s"/>
      <x:c r="AU280" s="82" t="s"/>
      <x:c r="AV280" s="82" t="s"/>
      <x:c r="AW280" s="82" t="s"/>
      <x:c r="AX280" s="82" t="s"/>
      <x:c r="AY280" s="82" t="s"/>
      <x:c r="AZ280" s="82" t="s"/>
      <x:c r="BA280" s="82" t="s"/>
      <x:c r="BB280" s="82" t="s"/>
      <x:c r="BC280" s="82" t="s"/>
      <x:c r="BD280" s="82" t="s"/>
      <x:c r="BE280" s="82" t="s"/>
      <x:c r="BF280" s="82" t="s"/>
      <x:c r="BG280" s="82" t="s"/>
      <x:c r="BH280" s="82" t="s"/>
      <x:c r="BI280" s="82" t="s"/>
      <x:c r="BJ280" s="82" t="s"/>
      <x:c r="BK280" s="82" t="s"/>
      <x:c r="BL280" s="82" t="s"/>
      <x:c r="BM280" s="82" t="s"/>
      <x:c r="BN280" s="82" t="s"/>
      <x:c r="BO280" s="82" t="s"/>
      <x:c r="BP280" s="82" t="s"/>
      <x:c r="BQ280" s="82" t="s"/>
      <x:c r="BR280" s="82" t="s"/>
    </x:row>
    <x:row r="281" spans="1:70" x14ac:dyDescent="0.25">
      <x:c r="A281" s="82" t="s"/>
      <x:c r="B281" s="82" t="s"/>
      <x:c r="C281" s="82" t="s"/>
      <x:c r="D281" s="82" t="s"/>
      <x:c r="E281" s="82" t="s"/>
      <x:c r="F281" s="82" t="s"/>
      <x:c r="G281" s="82" t="s"/>
      <x:c r="H281" s="82" t="s"/>
      <x:c r="I281" s="82" t="s"/>
      <x:c r="J281" s="82" t="s"/>
      <x:c r="K281" s="82" t="s"/>
      <x:c r="L281" s="82" t="s"/>
      <x:c r="M281" s="82" t="s"/>
      <x:c r="N281" s="82" t="s"/>
      <x:c r="O281" s="82" t="s"/>
      <x:c r="P281" s="82" t="s"/>
      <x:c r="Q281" s="82" t="s"/>
      <x:c r="R281" s="82" t="s"/>
      <x:c r="S281" s="82" t="s"/>
      <x:c r="T281" s="82" t="s"/>
      <x:c r="U281" s="82" t="s"/>
      <x:c r="V281" s="82" t="s"/>
      <x:c r="W281" s="82" t="s"/>
      <x:c r="X281" s="82" t="s"/>
      <x:c r="Y281" s="82" t="s"/>
      <x:c r="Z281" s="82" t="s"/>
      <x:c r="AA281" s="82" t="s"/>
      <x:c r="AB281" s="82" t="s"/>
      <x:c r="AC281" s="82" t="s"/>
      <x:c r="AD281" s="82" t="s"/>
      <x:c r="AE281" s="82" t="s"/>
      <x:c r="AF281" s="82" t="s"/>
      <x:c r="AG281" s="82" t="s"/>
      <x:c r="AH281" s="82" t="s"/>
      <x:c r="AI281" s="82" t="s"/>
      <x:c r="AJ281" s="82" t="s"/>
      <x:c r="AK281" s="82" t="s"/>
      <x:c r="AL281" s="82" t="s"/>
      <x:c r="AM281" s="82" t="s"/>
      <x:c r="AN281" s="82" t="s"/>
      <x:c r="AO281" s="82" t="s"/>
      <x:c r="AP281" s="82" t="s"/>
      <x:c r="AQ281" s="82" t="s"/>
      <x:c r="AR281" s="82" t="s"/>
      <x:c r="AS281" s="82" t="s"/>
      <x:c r="AT281" s="82" t="s"/>
      <x:c r="AU281" s="82" t="s"/>
      <x:c r="AV281" s="82" t="s"/>
      <x:c r="AW281" s="82" t="s"/>
      <x:c r="AX281" s="82" t="s"/>
      <x:c r="AY281" s="82" t="s"/>
      <x:c r="AZ281" s="82" t="s"/>
      <x:c r="BA281" s="82" t="s"/>
      <x:c r="BB281" s="82" t="s"/>
      <x:c r="BC281" s="82" t="s"/>
      <x:c r="BD281" s="82" t="s"/>
      <x:c r="BE281" s="82" t="s"/>
      <x:c r="BF281" s="82" t="s"/>
      <x:c r="BG281" s="82" t="s"/>
      <x:c r="BH281" s="82" t="s"/>
      <x:c r="BI281" s="82" t="s"/>
      <x:c r="BJ281" s="82" t="s"/>
      <x:c r="BK281" s="82" t="s"/>
      <x:c r="BL281" s="82" t="s"/>
      <x:c r="BM281" s="82" t="s"/>
      <x:c r="BN281" s="82" t="s"/>
      <x:c r="BO281" s="82" t="s"/>
      <x:c r="BP281" s="82" t="s"/>
      <x:c r="BQ281" s="82" t="s"/>
      <x:c r="BR281" s="82" t="s"/>
    </x:row>
    <x:row r="282" spans="1:70" x14ac:dyDescent="0.25">
      <x:c r="A282" s="82" t="s"/>
      <x:c r="B282" s="82" t="s"/>
      <x:c r="C282" s="82" t="s"/>
      <x:c r="D282" s="82" t="s"/>
      <x:c r="E282" s="82" t="s"/>
      <x:c r="F282" s="82" t="s"/>
      <x:c r="G282" s="82" t="s"/>
      <x:c r="H282" s="82" t="s"/>
      <x:c r="I282" s="82" t="s"/>
      <x:c r="J282" s="82" t="s"/>
      <x:c r="K282" s="82" t="s"/>
      <x:c r="L282" s="82" t="s"/>
      <x:c r="M282" s="82" t="s"/>
      <x:c r="N282" s="82" t="s"/>
      <x:c r="O282" s="82" t="s"/>
      <x:c r="P282" s="82" t="s"/>
      <x:c r="Q282" s="82" t="s"/>
      <x:c r="R282" s="82" t="s"/>
      <x:c r="S282" s="82" t="s"/>
      <x:c r="T282" s="82" t="s"/>
      <x:c r="U282" s="82" t="s"/>
      <x:c r="V282" s="82" t="s"/>
      <x:c r="W282" s="82" t="s"/>
      <x:c r="X282" s="82" t="s"/>
      <x:c r="Y282" s="82" t="s"/>
      <x:c r="Z282" s="82" t="s"/>
      <x:c r="AA282" s="82" t="s"/>
      <x:c r="AB282" s="82" t="s"/>
      <x:c r="AC282" s="82" t="s"/>
      <x:c r="AD282" s="82" t="s"/>
      <x:c r="AE282" s="82" t="s"/>
      <x:c r="AF282" s="82" t="s"/>
      <x:c r="AG282" s="82" t="s"/>
      <x:c r="AH282" s="82" t="s"/>
      <x:c r="AI282" s="82" t="s"/>
      <x:c r="AJ282" s="82" t="s"/>
      <x:c r="AK282" s="82" t="s"/>
      <x:c r="AL282" s="82" t="s"/>
      <x:c r="AM282" s="82" t="s"/>
      <x:c r="AN282" s="82" t="s"/>
      <x:c r="AO282" s="82" t="s"/>
      <x:c r="AP282" s="82" t="s"/>
      <x:c r="AQ282" s="82" t="s"/>
      <x:c r="AR282" s="82" t="s"/>
      <x:c r="AS282" s="82" t="s"/>
      <x:c r="AT282" s="82" t="s"/>
      <x:c r="AU282" s="82" t="s"/>
      <x:c r="AV282" s="82" t="s"/>
      <x:c r="AW282" s="82" t="s"/>
      <x:c r="AX282" s="82" t="s"/>
      <x:c r="AY282" s="82" t="s"/>
      <x:c r="AZ282" s="82" t="s"/>
      <x:c r="BA282" s="82" t="s"/>
      <x:c r="BB282" s="82" t="s"/>
      <x:c r="BC282" s="82" t="s"/>
      <x:c r="BD282" s="82" t="s"/>
      <x:c r="BE282" s="82" t="s"/>
      <x:c r="BF282" s="82" t="s"/>
      <x:c r="BG282" s="82" t="s"/>
      <x:c r="BH282" s="82" t="s"/>
      <x:c r="BI282" s="82" t="s"/>
      <x:c r="BJ282" s="82" t="s"/>
      <x:c r="BK282" s="82" t="s"/>
      <x:c r="BL282" s="82" t="s"/>
      <x:c r="BM282" s="82" t="s"/>
      <x:c r="BN282" s="82" t="s"/>
      <x:c r="BO282" s="82" t="s"/>
      <x:c r="BP282" s="82" t="s"/>
      <x:c r="BQ282" s="82" t="s"/>
      <x:c r="BR282" s="82" t="s"/>
    </x:row>
    <x:row r="283" spans="1:70" x14ac:dyDescent="0.25">
      <x:c r="A283" s="82" t="s"/>
      <x:c r="B283" s="82" t="s"/>
      <x:c r="C283" s="82" t="s"/>
      <x:c r="D283" s="82" t="s"/>
      <x:c r="E283" s="82" t="s"/>
      <x:c r="F283" s="82" t="s"/>
      <x:c r="G283" s="82" t="s"/>
      <x:c r="H283" s="82" t="s"/>
      <x:c r="I283" s="82" t="s"/>
      <x:c r="J283" s="82" t="s"/>
      <x:c r="K283" s="82" t="s"/>
      <x:c r="L283" s="82" t="s"/>
      <x:c r="M283" s="82" t="s"/>
      <x:c r="N283" s="82" t="s"/>
      <x:c r="O283" s="82" t="s"/>
      <x:c r="P283" s="82" t="s"/>
      <x:c r="Q283" s="82" t="s"/>
      <x:c r="R283" s="82" t="s"/>
      <x:c r="S283" s="82" t="s"/>
      <x:c r="T283" s="82" t="s"/>
      <x:c r="U283" s="82" t="s"/>
      <x:c r="V283" s="82" t="s"/>
      <x:c r="W283" s="82" t="s"/>
      <x:c r="X283" s="82" t="s"/>
      <x:c r="Y283" s="82" t="s"/>
      <x:c r="Z283" s="82" t="s"/>
      <x:c r="AA283" s="82" t="s"/>
      <x:c r="AB283" s="82" t="s"/>
      <x:c r="AC283" s="82" t="s"/>
      <x:c r="AD283" s="82" t="s"/>
      <x:c r="AE283" s="82" t="s"/>
      <x:c r="AF283" s="82" t="s"/>
      <x:c r="AG283" s="82" t="s"/>
      <x:c r="AH283" s="82" t="s"/>
      <x:c r="AI283" s="82" t="s"/>
      <x:c r="AJ283" s="82" t="s"/>
      <x:c r="AK283" s="82" t="s"/>
      <x:c r="AL283" s="82" t="s"/>
      <x:c r="AM283" s="82" t="s"/>
      <x:c r="AN283" s="82" t="s"/>
      <x:c r="AO283" s="82" t="s"/>
      <x:c r="AP283" s="82" t="s"/>
      <x:c r="AQ283" s="82" t="s"/>
      <x:c r="AR283" s="82" t="s"/>
      <x:c r="AS283" s="82" t="s"/>
      <x:c r="AT283" s="82" t="s"/>
      <x:c r="AU283" s="82" t="s"/>
      <x:c r="AV283" s="82" t="s"/>
      <x:c r="AW283" s="82" t="s"/>
      <x:c r="AX283" s="82" t="s"/>
      <x:c r="AY283" s="82" t="s"/>
      <x:c r="AZ283" s="82" t="s"/>
      <x:c r="BA283" s="82" t="s"/>
      <x:c r="BB283" s="82" t="s"/>
      <x:c r="BC283" s="82" t="s"/>
      <x:c r="BD283" s="82" t="s"/>
      <x:c r="BE283" s="82" t="s"/>
      <x:c r="BF283" s="82" t="s"/>
      <x:c r="BG283" s="82" t="s"/>
      <x:c r="BH283" s="82" t="s"/>
      <x:c r="BI283" s="82" t="s"/>
      <x:c r="BJ283" s="82" t="s"/>
      <x:c r="BK283" s="82" t="s"/>
      <x:c r="BL283" s="82" t="s"/>
      <x:c r="BM283" s="82" t="s"/>
      <x:c r="BN283" s="82" t="s"/>
      <x:c r="BO283" s="82" t="s"/>
      <x:c r="BP283" s="82" t="s"/>
      <x:c r="BQ283" s="82" t="s"/>
      <x:c r="BR283" s="82" t="s"/>
    </x:row>
    <x:row r="284" spans="1:70" x14ac:dyDescent="0.25">
      <x:c r="A284" s="82" t="s"/>
      <x:c r="B284" s="82" t="s"/>
      <x:c r="C284" s="82" t="s"/>
      <x:c r="D284" s="82" t="s"/>
      <x:c r="E284" s="82" t="s"/>
      <x:c r="F284" s="82" t="s"/>
      <x:c r="G284" s="82" t="s"/>
      <x:c r="H284" s="82" t="s"/>
      <x:c r="I284" s="82" t="s"/>
      <x:c r="J284" s="82" t="s"/>
      <x:c r="K284" s="82" t="s"/>
      <x:c r="L284" s="82" t="s"/>
      <x:c r="M284" s="82" t="s"/>
      <x:c r="N284" s="82" t="s"/>
      <x:c r="O284" s="82" t="s"/>
      <x:c r="P284" s="82" t="s"/>
      <x:c r="Q284" s="82" t="s"/>
      <x:c r="R284" s="82" t="s"/>
      <x:c r="S284" s="82" t="s"/>
      <x:c r="T284" s="82" t="s"/>
      <x:c r="U284" s="82" t="s"/>
      <x:c r="V284" s="82" t="s"/>
      <x:c r="W284" s="82" t="s"/>
      <x:c r="X284" s="82" t="s"/>
      <x:c r="Y284" s="82" t="s"/>
      <x:c r="Z284" s="82" t="s"/>
      <x:c r="AA284" s="82" t="s"/>
      <x:c r="AB284" s="82" t="s"/>
      <x:c r="AC284" s="82" t="s"/>
      <x:c r="AD284" s="82" t="s"/>
      <x:c r="AE284" s="82" t="s"/>
      <x:c r="AF284" s="82" t="s"/>
      <x:c r="AG284" s="82" t="s"/>
      <x:c r="AH284" s="82" t="s"/>
      <x:c r="AI284" s="82" t="s"/>
      <x:c r="AJ284" s="82" t="s"/>
      <x:c r="AK284" s="82" t="s"/>
      <x:c r="AL284" s="82" t="s"/>
      <x:c r="AM284" s="82" t="s"/>
      <x:c r="AN284" s="82" t="s"/>
      <x:c r="AO284" s="82" t="s"/>
      <x:c r="AP284" s="82" t="s"/>
      <x:c r="AQ284" s="82" t="s"/>
      <x:c r="AR284" s="82" t="s"/>
      <x:c r="AS284" s="82" t="s"/>
      <x:c r="AT284" s="82" t="s"/>
      <x:c r="AU284" s="82" t="s"/>
      <x:c r="AV284" s="82" t="s"/>
      <x:c r="AW284" s="82" t="s"/>
      <x:c r="AX284" s="82" t="s"/>
      <x:c r="AY284" s="82" t="s"/>
      <x:c r="AZ284" s="82" t="s"/>
      <x:c r="BA284" s="82" t="s"/>
      <x:c r="BB284" s="82" t="s"/>
      <x:c r="BC284" s="82" t="s"/>
      <x:c r="BD284" s="82" t="s"/>
      <x:c r="BE284" s="82" t="s"/>
      <x:c r="BF284" s="82" t="s"/>
      <x:c r="BG284" s="82" t="s"/>
      <x:c r="BH284" s="82" t="s"/>
      <x:c r="BI284" s="82" t="s"/>
      <x:c r="BJ284" s="82" t="s"/>
      <x:c r="BK284" s="82" t="s"/>
      <x:c r="BL284" s="82" t="s"/>
      <x:c r="BM284" s="82" t="s"/>
      <x:c r="BN284" s="82" t="s"/>
      <x:c r="BO284" s="82" t="s"/>
      <x:c r="BP284" s="82" t="s"/>
      <x:c r="BQ284" s="82" t="s"/>
      <x:c r="BR284" s="82" t="s"/>
    </x:row>
    <x:row r="285" spans="1:70" x14ac:dyDescent="0.25">
      <x:c r="A285" s="82" t="s"/>
      <x:c r="B285" s="82" t="s"/>
      <x:c r="C285" s="82" t="s"/>
    </x:row>
  </x:sheetData>
  <x:sortState ref="A2:I133">
    <x:sortCondition ref="F2:F133"/>
  </x:sortState>
  <x:conditionalFormatting sqref="F3:F3">
    <x:cfRule type="duplicateValues" dxfId="1520" priority="1"/>
  </x:conditionalFormatting>
  <x:conditionalFormatting sqref="F4:I4">
    <x:cfRule type="duplicateValues" dxfId="1520" priority="2"/>
  </x:conditionalFormatting>
  <x:conditionalFormatting sqref="F5:I5">
    <x:cfRule type="duplicateValues" dxfId="1520" priority="3"/>
  </x:conditionalFormatting>
  <x:conditionalFormatting sqref="F3:I3">
    <x:cfRule type="duplicateValues" dxfId="1520" priority="4"/>
  </x:conditionalFormatting>
  <x:conditionalFormatting sqref="F7:G7">
    <x:cfRule type="duplicateValues" dxfId="1520" priority="5"/>
    <x:cfRule type="duplicateValues" dxfId="1520" priority="5"/>
    <x:cfRule type="duplicateValues" dxfId="1520" priority="5"/>
    <x:cfRule type="duplicateValues" dxfId="1520" priority="5"/>
    <x:cfRule type="duplicateValues" dxfId="1520" priority="5"/>
    <x:cfRule type="duplicateValues" dxfId="1520" priority="5"/>
    <x:cfRule type="duplicateValues" dxfId="1520" priority="5"/>
    <x:cfRule type="duplicateValues" dxfId="1520" priority="5"/>
    <x:cfRule type="duplicateValues" dxfId="1520" priority="5"/>
  </x:conditionalFormatting>
  <x:conditionalFormatting sqref="F10:F10">
    <x:cfRule type="duplicateValues" dxfId="1520" priority="6"/>
  </x:conditionalFormatting>
  <x:conditionalFormatting sqref="F9:G9">
    <x:cfRule type="duplicateValues" dxfId="1520" priority="7"/>
    <x:cfRule type="duplicateValues" dxfId="1520" priority="7"/>
    <x:cfRule type="duplicateValues" dxfId="1520" priority="7"/>
    <x:cfRule type="duplicateValues" dxfId="1520" priority="7"/>
    <x:cfRule type="duplicateValues" dxfId="1520" priority="7"/>
    <x:cfRule type="duplicateValues" dxfId="1520" priority="7"/>
  </x:conditionalFormatting>
  <x:conditionalFormatting sqref="F11:G11">
    <x:cfRule type="duplicateValues" dxfId="1520" priority="8"/>
  </x:conditionalFormatting>
  <x:conditionalFormatting sqref="F13:G13">
    <x:cfRule type="duplicateValues" dxfId="1520" priority="9"/>
  </x:conditionalFormatting>
  <x:conditionalFormatting sqref="F15:G15">
    <x:cfRule type="duplicateValues" dxfId="1520" priority="10"/>
  </x:conditionalFormatting>
  <x:conditionalFormatting sqref="F16:G16">
    <x:cfRule type="duplicateValues" dxfId="1520" priority="11"/>
    <x:cfRule type="duplicateValues" dxfId="1520" priority="11"/>
    <x:cfRule type="duplicateValues" dxfId="1520" priority="11"/>
  </x:conditionalFormatting>
  <x:conditionalFormatting sqref="F18:G18">
    <x:cfRule type="duplicateValues" dxfId="1520" priority="12"/>
    <x:cfRule type="duplicateValues" dxfId="1520" priority="12"/>
    <x:cfRule type="duplicateValues" dxfId="1520" priority="12"/>
  </x:conditionalFormatting>
  <x:conditionalFormatting sqref="F21:G21">
    <x:cfRule type="duplicateValues" dxfId="1520" priority="13"/>
  </x:conditionalFormatting>
  <x:conditionalFormatting sqref="F25:F25">
    <x:cfRule type="duplicateValues" dxfId="1520" priority="14"/>
  </x:conditionalFormatting>
  <x:conditionalFormatting sqref="F25:I25">
    <x:cfRule type="duplicateValues" dxfId="1520" priority="15"/>
  </x:conditionalFormatting>
  <x:conditionalFormatting sqref="F27:I27">
    <x:cfRule type="duplicateValues" dxfId="1520" priority="16"/>
  </x:conditionalFormatting>
  <x:conditionalFormatting sqref="F26:I26">
    <x:cfRule type="duplicateValues" dxfId="1520" priority="17"/>
    <x:cfRule type="duplicateValues" dxfId="1520" priority="17"/>
    <x:cfRule type="duplicateValues" dxfId="1520" priority="17"/>
    <x:cfRule type="duplicateValues" dxfId="1520" priority="17"/>
    <x:cfRule type="duplicateValues" dxfId="1520" priority="17"/>
    <x:cfRule type="duplicateValues" dxfId="1520" priority="17"/>
  </x:conditionalFormatting>
  <x:conditionalFormatting sqref="F29:G29"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  <x:cfRule type="duplicateValues" dxfId="1520" priority="18"/>
  </x:conditionalFormatting>
  <x:conditionalFormatting sqref="F30:G30">
    <x:cfRule type="duplicateValues" dxfId="1520" priority="19"/>
  </x:conditionalFormatting>
  <x:conditionalFormatting sqref="F32:F32">
    <x:cfRule type="duplicateValues" dxfId="1520" priority="20"/>
  </x:conditionalFormatting>
  <x:conditionalFormatting sqref="F31:G31">
    <x:cfRule type="duplicateValues" dxfId="1520" priority="21"/>
    <x:cfRule type="duplicateValues" dxfId="1520" priority="21"/>
    <x:cfRule type="duplicateValues" dxfId="1520" priority="21"/>
    <x:cfRule type="duplicateValues" dxfId="1520" priority="21"/>
    <x:cfRule type="duplicateValues" dxfId="1520" priority="21"/>
    <x:cfRule type="duplicateValues" dxfId="1520" priority="21"/>
  </x:conditionalFormatting>
  <x:conditionalFormatting sqref="F33:G33">
    <x:cfRule type="duplicateValues" dxfId="1520" priority="22"/>
  </x:conditionalFormatting>
  <x:conditionalFormatting sqref="F36:G36">
    <x:cfRule type="duplicateValues" dxfId="1520" priority="23"/>
  </x:conditionalFormatting>
  <x:conditionalFormatting sqref="F35:G35">
    <x:cfRule type="duplicateValues" dxfId="1520" priority="24"/>
  </x:conditionalFormatting>
  <x:conditionalFormatting sqref="F37:G37">
    <x:cfRule type="duplicateValues" dxfId="1520" priority="25"/>
  </x:conditionalFormatting>
  <x:conditionalFormatting sqref="F38:G38">
    <x:cfRule type="duplicateValues" dxfId="1520" priority="26"/>
    <x:cfRule type="duplicateValues" dxfId="1520" priority="26"/>
    <x:cfRule type="duplicateValues" dxfId="1520" priority="26"/>
  </x:conditionalFormatting>
  <x:conditionalFormatting sqref="F40:G40">
    <x:cfRule type="duplicateValues" dxfId="1520" priority="27"/>
    <x:cfRule type="duplicateValues" dxfId="1520" priority="27"/>
    <x:cfRule type="duplicateValues" dxfId="1520" priority="27"/>
  </x:conditionalFormatting>
  <x:conditionalFormatting sqref="F43:G43">
    <x:cfRule type="duplicateValues" dxfId="1520" priority="28"/>
  </x:conditionalFormatting>
  <x:conditionalFormatting sqref="F47:F47">
    <x:cfRule type="duplicateValues" dxfId="1520" priority="29"/>
  </x:conditionalFormatting>
  <x:conditionalFormatting sqref="F48:I48">
    <x:cfRule type="duplicateValues" dxfId="1520" priority="30"/>
  </x:conditionalFormatting>
  <x:conditionalFormatting sqref="F49:I49">
    <x:cfRule type="duplicateValues" dxfId="1520" priority="31"/>
  </x:conditionalFormatting>
  <x:conditionalFormatting sqref="F47:I47">
    <x:cfRule type="duplicateValues" dxfId="1520" priority="32"/>
  </x:conditionalFormatting>
  <x:conditionalFormatting sqref="F54:F54">
    <x:cfRule type="duplicateValues" dxfId="1520" priority="33"/>
  </x:conditionalFormatting>
  <x:conditionalFormatting sqref="F53:G53">
    <x:cfRule type="duplicateValues" dxfId="1520" priority="34"/>
    <x:cfRule type="duplicateValues" dxfId="1520" priority="34"/>
    <x:cfRule type="duplicateValues" dxfId="1520" priority="34"/>
    <x:cfRule type="duplicateValues" dxfId="1520" priority="34"/>
    <x:cfRule type="duplicateValues" dxfId="1520" priority="34"/>
    <x:cfRule type="duplicateValues" dxfId="1520" priority="34"/>
  </x:conditionalFormatting>
  <x:conditionalFormatting sqref="F55:G55">
    <x:cfRule type="duplicateValues" dxfId="1520" priority="35"/>
  </x:conditionalFormatting>
  <x:conditionalFormatting sqref="F57:G57">
    <x:cfRule type="duplicateValues" dxfId="1520" priority="36"/>
  </x:conditionalFormatting>
  <x:conditionalFormatting sqref="F59:G59">
    <x:cfRule type="duplicateValues" dxfId="1520" priority="37"/>
  </x:conditionalFormatting>
  <x:conditionalFormatting sqref="F60:G60">
    <x:cfRule type="duplicateValues" dxfId="1520" priority="38"/>
    <x:cfRule type="duplicateValues" dxfId="1520" priority="38"/>
    <x:cfRule type="duplicateValues" dxfId="1520" priority="38"/>
  </x:conditionalFormatting>
  <x:conditionalFormatting sqref="F62:G62">
    <x:cfRule type="duplicateValues" dxfId="1520" priority="39"/>
    <x:cfRule type="duplicateValues" dxfId="1520" priority="39"/>
    <x:cfRule type="duplicateValues" dxfId="1520" priority="39"/>
  </x:conditionalFormatting>
  <x:conditionalFormatting sqref="F65:G65">
    <x:cfRule type="duplicateValues" dxfId="1520" priority="40"/>
  </x:conditionalFormatting>
  <x:conditionalFormatting sqref="F69:F69">
    <x:cfRule type="duplicateValues" dxfId="1520" priority="41"/>
  </x:conditionalFormatting>
  <x:conditionalFormatting sqref="F69:I69">
    <x:cfRule type="duplicateValues" dxfId="1520" priority="42"/>
  </x:conditionalFormatting>
  <x:conditionalFormatting sqref="F71:I71">
    <x:cfRule type="duplicateValues" dxfId="1520" priority="43"/>
  </x:conditionalFormatting>
  <x:conditionalFormatting sqref="F70:I70">
    <x:cfRule type="duplicateValues" dxfId="1520" priority="44"/>
    <x:cfRule type="duplicateValues" dxfId="1520" priority="44"/>
    <x:cfRule type="duplicateValues" dxfId="1520" priority="44"/>
    <x:cfRule type="duplicateValues" dxfId="1520" priority="44"/>
    <x:cfRule type="duplicateValues" dxfId="1520" priority="44"/>
    <x:cfRule type="duplicateValues" dxfId="1520" priority="44"/>
  </x:conditionalFormatting>
  <x:conditionalFormatting sqref="F73:G73"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  <x:cfRule type="duplicateValues" dxfId="1520" priority="45"/>
  </x:conditionalFormatting>
  <x:conditionalFormatting sqref="F74:G74">
    <x:cfRule type="duplicateValues" dxfId="1520" priority="46"/>
  </x:conditionalFormatting>
  <x:conditionalFormatting sqref="F76:F76">
    <x:cfRule type="duplicateValues" dxfId="1520" priority="47"/>
  </x:conditionalFormatting>
  <x:conditionalFormatting sqref="F75:G75">
    <x:cfRule type="duplicateValues" dxfId="1520" priority="48"/>
    <x:cfRule type="duplicateValues" dxfId="1520" priority="48"/>
    <x:cfRule type="duplicateValues" dxfId="1520" priority="48"/>
    <x:cfRule type="duplicateValues" dxfId="1520" priority="48"/>
    <x:cfRule type="duplicateValues" dxfId="1520" priority="48"/>
    <x:cfRule type="duplicateValues" dxfId="1520" priority="48"/>
  </x:conditionalFormatting>
  <x:conditionalFormatting sqref="F77:G77">
    <x:cfRule type="duplicateValues" dxfId="1520" priority="49"/>
  </x:conditionalFormatting>
  <x:conditionalFormatting sqref="F80:G80">
    <x:cfRule type="duplicateValues" dxfId="1520" priority="50"/>
  </x:conditionalFormatting>
  <x:conditionalFormatting sqref="F79:G79">
    <x:cfRule type="duplicateValues" dxfId="1520" priority="51"/>
  </x:conditionalFormatting>
  <x:conditionalFormatting sqref="F81:G81">
    <x:cfRule type="duplicateValues" dxfId="1520" priority="52"/>
  </x:conditionalFormatting>
  <x:conditionalFormatting sqref="F82:G82">
    <x:cfRule type="duplicateValues" dxfId="1520" priority="53"/>
    <x:cfRule type="duplicateValues" dxfId="1520" priority="53"/>
    <x:cfRule type="duplicateValues" dxfId="1520" priority="53"/>
  </x:conditionalFormatting>
  <x:conditionalFormatting sqref="F84:G84">
    <x:cfRule type="duplicateValues" dxfId="1520" priority="54"/>
    <x:cfRule type="duplicateValues" dxfId="1520" priority="54"/>
    <x:cfRule type="duplicateValues" dxfId="1520" priority="54"/>
  </x:conditionalFormatting>
  <x:conditionalFormatting sqref="F87:G87">
    <x:cfRule type="duplicateValues" dxfId="1520" priority="55"/>
  </x:conditionalFormatting>
  <x:conditionalFormatting sqref="H4:I4">
    <x:cfRule type="duplicateValues" dxfId="1520" priority="56"/>
    <x:cfRule type="duplicateValues" dxfId="1520" priority="56"/>
    <x:cfRule type="duplicateValues" dxfId="1520" priority="56"/>
    <x:cfRule type="duplicateValues" dxfId="1520" priority="56"/>
    <x:cfRule type="duplicateValues" dxfId="1520" priority="56"/>
    <x:cfRule type="duplicateValues" dxfId="1520" priority="56"/>
  </x:conditionalFormatting>
  <x:conditionalFormatting sqref="H5:I5">
    <x:cfRule type="duplicateValues" dxfId="1520" priority="57"/>
  </x:conditionalFormatting>
  <x:conditionalFormatting sqref="F8:G8">
    <x:cfRule type="duplicateValues" dxfId="1520" priority="58"/>
  </x:conditionalFormatting>
  <x:conditionalFormatting sqref="F14:G14">
    <x:cfRule type="duplicateValues" dxfId="1520" priority="59"/>
  </x:conditionalFormatting>
  <x:conditionalFormatting sqref="F17:G17">
    <x:cfRule type="duplicateValues" dxfId="1520" priority="60"/>
  </x:conditionalFormatting>
  <x:conditionalFormatting sqref="F22:G22">
    <x:cfRule type="duplicateValues" dxfId="1520" priority="61"/>
  </x:conditionalFormatting>
  <x:conditionalFormatting sqref="F29:F29">
    <x:cfRule type="duplicateValues" dxfId="1520" priority="62"/>
    <x:cfRule type="duplicateValues" dxfId="1520" priority="62"/>
  </x:conditionalFormatting>
  <x:conditionalFormatting sqref="F39:G39">
    <x:cfRule type="duplicateValues" dxfId="1520" priority="63"/>
  </x:conditionalFormatting>
  <x:conditionalFormatting sqref="F44:G44">
    <x:cfRule type="duplicateValues" dxfId="1520" priority="64"/>
  </x:conditionalFormatting>
  <x:conditionalFormatting sqref="H48:I48">
    <x:cfRule type="duplicateValues" dxfId="1520" priority="65"/>
    <x:cfRule type="duplicateValues" dxfId="1520" priority="65"/>
    <x:cfRule type="duplicateValues" dxfId="1520" priority="65"/>
    <x:cfRule type="duplicateValues" dxfId="1520" priority="65"/>
    <x:cfRule type="duplicateValues" dxfId="1520" priority="65"/>
    <x:cfRule type="duplicateValues" dxfId="1520" priority="65"/>
  </x:conditionalFormatting>
  <x:conditionalFormatting sqref="H49:I49">
    <x:cfRule type="duplicateValues" dxfId="1520" priority="66"/>
  </x:conditionalFormatting>
  <x:conditionalFormatting sqref="F51:G51"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  <x:cfRule type="duplicateValues" dxfId="1520" priority="67"/>
  </x:conditionalFormatting>
  <x:conditionalFormatting sqref="F52:G52">
    <x:cfRule type="duplicateValues" dxfId="1520" priority="68"/>
  </x:conditionalFormatting>
  <x:conditionalFormatting sqref="F58:G58">
    <x:cfRule type="duplicateValues" dxfId="1520" priority="69"/>
  </x:conditionalFormatting>
  <x:conditionalFormatting sqref="F61:G61">
    <x:cfRule type="duplicateValues" dxfId="1520" priority="70"/>
  </x:conditionalFormatting>
  <x:conditionalFormatting sqref="F66:G66">
    <x:cfRule type="duplicateValues" dxfId="1520" priority="71"/>
  </x:conditionalFormatting>
  <x:conditionalFormatting sqref="F73:F73">
    <x:cfRule type="duplicateValues" dxfId="1520" priority="72"/>
    <x:cfRule type="duplicateValues" dxfId="1520" priority="72"/>
  </x:conditionalFormatting>
  <x:conditionalFormatting sqref="F83:G83">
    <x:cfRule type="duplicateValues" dxfId="1520" priority="73"/>
  </x:conditionalFormatting>
  <x:conditionalFormatting sqref="F88:G88">
    <x:cfRule type="duplicateValues" dxfId="1520" priority="74"/>
  </x:conditionalFormatting>
  <x:conditionalFormatting sqref="F91:F91">
    <x:cfRule type="duplicateValues" dxfId="1520" priority="75"/>
  </x:conditionalFormatting>
  <x:conditionalFormatting sqref="H92:I92">
    <x:cfRule type="duplicateValues" dxfId="1520" priority="76"/>
    <x:cfRule type="duplicateValues" dxfId="1520" priority="76"/>
    <x:cfRule type="duplicateValues" dxfId="1520" priority="76"/>
    <x:cfRule type="duplicateValues" dxfId="1520" priority="76"/>
    <x:cfRule type="duplicateValues" dxfId="1520" priority="76"/>
    <x:cfRule type="duplicateValues" dxfId="1520" priority="76"/>
  </x:conditionalFormatting>
  <x:conditionalFormatting sqref="H93:I93">
    <x:cfRule type="duplicateValues" dxfId="1520" priority="77"/>
  </x:conditionalFormatting>
  <x:conditionalFormatting sqref="F91:I91">
    <x:cfRule type="duplicateValues" dxfId="1520" priority="78"/>
  </x:conditionalFormatting>
  <x:conditionalFormatting sqref="F93:I93">
    <x:cfRule type="duplicateValues" dxfId="1520" priority="79"/>
  </x:conditionalFormatting>
  <x:conditionalFormatting sqref="F92:I92">
    <x:cfRule type="duplicateValues" dxfId="1520" priority="80"/>
  </x:conditionalFormatting>
  <x:conditionalFormatting sqref="F95:G95">
    <x:cfRule type="duplicateValues" dxfId="1520" priority="81"/>
    <x:cfRule type="duplicateValues" dxfId="1520" priority="81"/>
    <x:cfRule type="duplicateValues" dxfId="1520" priority="81"/>
    <x:cfRule type="duplicateValues" dxfId="1520" priority="81"/>
    <x:cfRule type="duplicateValues" dxfId="1520" priority="81"/>
    <x:cfRule type="duplicateValues" dxfId="1520" priority="81"/>
    <x:cfRule type="duplicateValues" dxfId="1520" priority="81"/>
    <x:cfRule type="duplicateValues" dxfId="1520" priority="81"/>
    <x:cfRule type="duplicateValues" dxfId="1520" priority="81"/>
  </x:conditionalFormatting>
  <x:conditionalFormatting sqref="F96:G96">
    <x:cfRule type="duplicateValues" dxfId="1520" priority="82"/>
  </x:conditionalFormatting>
  <x:conditionalFormatting sqref="F98:F98">
    <x:cfRule type="duplicateValues" dxfId="1520" priority="83"/>
  </x:conditionalFormatting>
  <x:conditionalFormatting sqref="F97:G97">
    <x:cfRule type="duplicateValues" dxfId="1520" priority="84"/>
    <x:cfRule type="duplicateValues" dxfId="1520" priority="84"/>
    <x:cfRule type="duplicateValues" dxfId="1520" priority="84"/>
    <x:cfRule type="duplicateValues" dxfId="1520" priority="84"/>
    <x:cfRule type="duplicateValues" dxfId="1520" priority="84"/>
    <x:cfRule type="duplicateValues" dxfId="1520" priority="84"/>
  </x:conditionalFormatting>
  <x:conditionalFormatting sqref="F99:G99">
    <x:cfRule type="duplicateValues" dxfId="1520" priority="85"/>
  </x:conditionalFormatting>
  <x:conditionalFormatting sqref="F102:G102">
    <x:cfRule type="duplicateValues" dxfId="1520" priority="86"/>
  </x:conditionalFormatting>
  <x:conditionalFormatting sqref="F101:G101">
    <x:cfRule type="duplicateValues" dxfId="1520" priority="87"/>
  </x:conditionalFormatting>
  <x:conditionalFormatting sqref="F103:G103">
    <x:cfRule type="duplicateValues" dxfId="1520" priority="88"/>
  </x:conditionalFormatting>
  <x:conditionalFormatting sqref="F104:G104">
    <x:cfRule type="duplicateValues" dxfId="1520" priority="89"/>
    <x:cfRule type="duplicateValues" dxfId="1520" priority="89"/>
    <x:cfRule type="duplicateValues" dxfId="1520" priority="89"/>
  </x:conditionalFormatting>
  <x:conditionalFormatting sqref="F106:G106">
    <x:cfRule type="duplicateValues" dxfId="1520" priority="90"/>
    <x:cfRule type="duplicateValues" dxfId="1520" priority="90"/>
    <x:cfRule type="duplicateValues" dxfId="1520" priority="90"/>
  </x:conditionalFormatting>
  <x:conditionalFormatting sqref="F105:G105">
    <x:cfRule type="duplicateValues" dxfId="1520" priority="91"/>
  </x:conditionalFormatting>
  <x:conditionalFormatting sqref="F109:G109">
    <x:cfRule type="duplicateValues" dxfId="1520" priority="92"/>
  </x:conditionalFormatting>
  <x:conditionalFormatting sqref="F110:F110">
    <x:cfRule type="duplicateValues" dxfId="1520" priority="93"/>
  </x:conditionalFormatting>
  <x:conditionalFormatting sqref="F113:F113">
    <x:cfRule type="duplicateValues" dxfId="1520" priority="94"/>
  </x:conditionalFormatting>
  <x:conditionalFormatting sqref="F114:I114">
    <x:cfRule type="duplicateValues" dxfId="1520" priority="95"/>
    <x:cfRule type="duplicateValues" dxfId="1520" priority="95"/>
    <x:cfRule type="duplicateValues" dxfId="1520" priority="95"/>
    <x:cfRule type="duplicateValues" dxfId="1520" priority="95"/>
    <x:cfRule type="duplicateValues" dxfId="1520" priority="95"/>
    <x:cfRule type="duplicateValues" dxfId="1520" priority="95"/>
  </x:conditionalFormatting>
  <x:conditionalFormatting sqref="F115:I115">
    <x:cfRule type="duplicateValues" dxfId="1520" priority="96"/>
  </x:conditionalFormatting>
  <x:conditionalFormatting sqref="F113:I113">
    <x:cfRule type="duplicateValues" dxfId="1520" priority="97"/>
  </x:conditionalFormatting>
  <x:conditionalFormatting sqref="F117:F117">
    <x:cfRule type="duplicateValues" dxfId="1520" priority="98"/>
    <x:cfRule type="duplicateValues" dxfId="1520" priority="98"/>
  </x:conditionalFormatting>
  <x:conditionalFormatting sqref="F117:G117"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  <x:cfRule type="duplicateValues" dxfId="1520" priority="99"/>
  </x:conditionalFormatting>
  <x:conditionalFormatting sqref="F118:G118">
    <x:cfRule type="duplicateValues" dxfId="1520" priority="100"/>
  </x:conditionalFormatting>
  <x:conditionalFormatting sqref="F120:F120">
    <x:cfRule type="duplicateValues" dxfId="1520" priority="101"/>
  </x:conditionalFormatting>
  <x:conditionalFormatting sqref="G119:G119">
    <x:cfRule type="duplicateValues" dxfId="1520" priority="102"/>
    <x:cfRule type="duplicateValues" dxfId="1520" priority="102"/>
    <x:cfRule type="duplicateValues" dxfId="1520" priority="102"/>
    <x:cfRule type="duplicateValues" dxfId="1520" priority="102"/>
    <x:cfRule type="duplicateValues" dxfId="1520" priority="102"/>
    <x:cfRule type="duplicateValues" dxfId="1520" priority="102"/>
  </x:conditionalFormatting>
  <x:conditionalFormatting sqref="F119:F119">
    <x:cfRule type="duplicateValues" dxfId="1520" priority="103"/>
    <x:cfRule type="duplicateValues" dxfId="1520" priority="103"/>
    <x:cfRule type="duplicateValues" dxfId="1520" priority="103"/>
    <x:cfRule type="duplicateValues" dxfId="1520" priority="103"/>
    <x:cfRule type="duplicateValues" dxfId="1520" priority="103"/>
    <x:cfRule type="duplicateValues" dxfId="1520" priority="103"/>
  </x:conditionalFormatting>
  <x:conditionalFormatting sqref="F119:G119">
    <x:cfRule type="duplicateValues" dxfId="1520" priority="104"/>
    <x:cfRule type="duplicateValues" dxfId="1520" priority="104"/>
    <x:cfRule type="duplicateValues" dxfId="1520" priority="104"/>
    <x:cfRule type="duplicateValues" dxfId="1520" priority="104"/>
    <x:cfRule type="duplicateValues" dxfId="1520" priority="104"/>
    <x:cfRule type="duplicateValues" dxfId="1520" priority="104"/>
  </x:conditionalFormatting>
  <x:conditionalFormatting sqref="F121:G121">
    <x:cfRule type="duplicateValues" dxfId="1520" priority="105"/>
  </x:conditionalFormatting>
  <x:conditionalFormatting sqref="F123:G123">
    <x:cfRule type="duplicateValues" dxfId="1520" priority="106"/>
  </x:conditionalFormatting>
  <x:conditionalFormatting sqref="F125:G125">
    <x:cfRule type="duplicateValues" dxfId="1520" priority="107"/>
  </x:conditionalFormatting>
  <x:conditionalFormatting sqref="F126:G126">
    <x:cfRule type="duplicateValues" dxfId="1520" priority="108"/>
    <x:cfRule type="duplicateValues" dxfId="1520" priority="108"/>
    <x:cfRule type="duplicateValues" dxfId="1520" priority="108"/>
  </x:conditionalFormatting>
  <x:conditionalFormatting sqref="F128:G128">
    <x:cfRule type="duplicateValues" dxfId="1520" priority="109"/>
    <x:cfRule type="duplicateValues" dxfId="1520" priority="109"/>
    <x:cfRule type="duplicateValues" dxfId="1520" priority="109"/>
  </x:conditionalFormatting>
  <x:conditionalFormatting sqref="F124:G124">
    <x:cfRule type="duplicateValues" dxfId="1520" priority="110"/>
  </x:conditionalFormatting>
  <x:conditionalFormatting sqref="F127:G127">
    <x:cfRule type="duplicateValues" dxfId="1520" priority="111"/>
  </x:conditionalFormatting>
  <x:conditionalFormatting sqref="G131:G131">
    <x:cfRule type="duplicateValues" dxfId="1520" priority="112"/>
  </x:conditionalFormatting>
  <x:conditionalFormatting sqref="F132:G132">
    <x:cfRule type="duplicateValues" dxfId="1520" priority="113"/>
  </x:conditionalFormatting>
  <x:conditionalFormatting sqref="F135:F135">
    <x:cfRule type="duplicateValues" dxfId="1520" priority="114"/>
  </x:conditionalFormatting>
  <x:conditionalFormatting sqref="H136:I136">
    <x:cfRule type="duplicateValues" dxfId="1520" priority="115"/>
    <x:cfRule type="duplicateValues" dxfId="1520" priority="115"/>
    <x:cfRule type="duplicateValues" dxfId="1520" priority="115"/>
    <x:cfRule type="duplicateValues" dxfId="1520" priority="115"/>
    <x:cfRule type="duplicateValues" dxfId="1520" priority="115"/>
    <x:cfRule type="duplicateValues" dxfId="1520" priority="115"/>
  </x:conditionalFormatting>
  <x:conditionalFormatting sqref="H137:I137">
    <x:cfRule type="duplicateValues" dxfId="1520" priority="116"/>
  </x:conditionalFormatting>
  <x:conditionalFormatting sqref="F135:I135">
    <x:cfRule type="duplicateValues" dxfId="1520" priority="117"/>
  </x:conditionalFormatting>
  <x:conditionalFormatting sqref="F137:I137">
    <x:cfRule type="duplicateValues" dxfId="1520" priority="118"/>
  </x:conditionalFormatting>
  <x:conditionalFormatting sqref="F136:I136">
    <x:cfRule type="duplicateValues" dxfId="1520" priority="119"/>
  </x:conditionalFormatting>
  <x:conditionalFormatting sqref="F139:G139">
    <x:cfRule type="duplicateValues" dxfId="1520" priority="120"/>
    <x:cfRule type="duplicateValues" dxfId="1520" priority="120"/>
    <x:cfRule type="duplicateValues" dxfId="1520" priority="120"/>
    <x:cfRule type="duplicateValues" dxfId="1520" priority="120"/>
    <x:cfRule type="duplicateValues" dxfId="1520" priority="120"/>
    <x:cfRule type="duplicateValues" dxfId="1520" priority="120"/>
    <x:cfRule type="duplicateValues" dxfId="1520" priority="120"/>
    <x:cfRule type="duplicateValues" dxfId="1520" priority="120"/>
    <x:cfRule type="duplicateValues" dxfId="1520" priority="120"/>
  </x:conditionalFormatting>
  <x:conditionalFormatting sqref="F140:G140">
    <x:cfRule type="duplicateValues" dxfId="1520" priority="121"/>
  </x:conditionalFormatting>
  <x:conditionalFormatting sqref="F142:F142">
    <x:cfRule type="duplicateValues" dxfId="1520" priority="122"/>
  </x:conditionalFormatting>
  <x:conditionalFormatting sqref="F141:G141">
    <x:cfRule type="duplicateValues" dxfId="1520" priority="123"/>
    <x:cfRule type="duplicateValues" dxfId="1520" priority="123"/>
    <x:cfRule type="duplicateValues" dxfId="1520" priority="123"/>
    <x:cfRule type="duplicateValues" dxfId="1520" priority="123"/>
    <x:cfRule type="duplicateValues" dxfId="1520" priority="123"/>
    <x:cfRule type="duplicateValues" dxfId="1520" priority="123"/>
  </x:conditionalFormatting>
  <x:conditionalFormatting sqref="F143:G143">
    <x:cfRule type="duplicateValues" dxfId="1520" priority="124"/>
  </x:conditionalFormatting>
  <x:conditionalFormatting sqref="F146:G146">
    <x:cfRule type="duplicateValues" dxfId="1520" priority="125"/>
  </x:conditionalFormatting>
  <x:conditionalFormatting sqref="F145:G145">
    <x:cfRule type="duplicateValues" dxfId="1520" priority="126"/>
  </x:conditionalFormatting>
  <x:conditionalFormatting sqref="F147:G147">
    <x:cfRule type="duplicateValues" dxfId="1520" priority="127"/>
  </x:conditionalFormatting>
  <x:conditionalFormatting sqref="F148:G148">
    <x:cfRule type="duplicateValues" dxfId="1520" priority="128"/>
    <x:cfRule type="duplicateValues" dxfId="1520" priority="128"/>
    <x:cfRule type="duplicateValues" dxfId="1520" priority="128"/>
  </x:conditionalFormatting>
  <x:conditionalFormatting sqref="F150:G150">
    <x:cfRule type="duplicateValues" dxfId="1520" priority="129"/>
    <x:cfRule type="duplicateValues" dxfId="1520" priority="129"/>
    <x:cfRule type="duplicateValues" dxfId="1520" priority="129"/>
  </x:conditionalFormatting>
  <x:conditionalFormatting sqref="F149:G149">
    <x:cfRule type="duplicateValues" dxfId="1520" priority="130"/>
  </x:conditionalFormatting>
  <x:conditionalFormatting sqref="F153:G153">
    <x:cfRule type="duplicateValues" dxfId="1520" priority="131"/>
  </x:conditionalFormatting>
  <x:conditionalFormatting sqref="F154:G154">
    <x:cfRule type="duplicateValues" dxfId="1520" priority="132"/>
  </x:conditionalFormatting>
  <x:conditionalFormatting sqref="F156:F156">
    <x:cfRule type="duplicateValues" dxfId="1520" priority="133"/>
  </x:conditionalFormatting>
  <x:conditionalFormatting sqref="F157:I157">
    <x:cfRule type="duplicateValues" dxfId="1520" priority="134"/>
    <x:cfRule type="duplicateValues" dxfId="1520" priority="134"/>
    <x:cfRule type="duplicateValues" dxfId="1520" priority="134"/>
    <x:cfRule type="duplicateValues" dxfId="1520" priority="134"/>
    <x:cfRule type="duplicateValues" dxfId="1520" priority="134"/>
    <x:cfRule type="duplicateValues" dxfId="1520" priority="134"/>
  </x:conditionalFormatting>
  <x:conditionalFormatting sqref="F158:I158">
    <x:cfRule type="duplicateValues" dxfId="1520" priority="135"/>
  </x:conditionalFormatting>
  <x:conditionalFormatting sqref="F156:I156">
    <x:cfRule type="duplicateValues" dxfId="1520" priority="136"/>
  </x:conditionalFormatting>
  <x:conditionalFormatting sqref="F160:F160">
    <x:cfRule type="duplicateValues" dxfId="1520" priority="137"/>
    <x:cfRule type="duplicateValues" dxfId="1520" priority="137"/>
  </x:conditionalFormatting>
  <x:conditionalFormatting sqref="F160:G160"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  <x:cfRule type="duplicateValues" dxfId="1520" priority="138"/>
  </x:conditionalFormatting>
  <x:conditionalFormatting sqref="F161:G161">
    <x:cfRule type="duplicateValues" dxfId="1520" priority="139"/>
  </x:conditionalFormatting>
  <x:conditionalFormatting sqref="F163:F163">
    <x:cfRule type="duplicateValues" dxfId="1520" priority="140"/>
  </x:conditionalFormatting>
  <x:conditionalFormatting sqref="F162:G162">
    <x:cfRule type="duplicateValues" dxfId="1520" priority="141"/>
    <x:cfRule type="duplicateValues" dxfId="1520" priority="141"/>
    <x:cfRule type="duplicateValues" dxfId="1520" priority="141"/>
    <x:cfRule type="duplicateValues" dxfId="1520" priority="141"/>
    <x:cfRule type="duplicateValues" dxfId="1520" priority="141"/>
    <x:cfRule type="duplicateValues" dxfId="1520" priority="141"/>
  </x:conditionalFormatting>
  <x:conditionalFormatting sqref="F164:G164">
    <x:cfRule type="duplicateValues" dxfId="1520" priority="142"/>
  </x:conditionalFormatting>
  <x:conditionalFormatting sqref="F166:G166">
    <x:cfRule type="duplicateValues" dxfId="1520" priority="143"/>
  </x:conditionalFormatting>
  <x:conditionalFormatting sqref="F168:G168">
    <x:cfRule type="duplicateValues" dxfId="1520" priority="144"/>
  </x:conditionalFormatting>
  <x:conditionalFormatting sqref="F169:G169">
    <x:cfRule type="duplicateValues" dxfId="1520" priority="145"/>
    <x:cfRule type="duplicateValues" dxfId="1520" priority="145"/>
    <x:cfRule type="duplicateValues" dxfId="1520" priority="145"/>
  </x:conditionalFormatting>
  <x:conditionalFormatting sqref="F171:G171">
    <x:cfRule type="duplicateValues" dxfId="1520" priority="146"/>
    <x:cfRule type="duplicateValues" dxfId="1520" priority="146"/>
    <x:cfRule type="duplicateValues" dxfId="1520" priority="146"/>
  </x:conditionalFormatting>
  <x:conditionalFormatting sqref="F167:G167">
    <x:cfRule type="duplicateValues" dxfId="1520" priority="147"/>
  </x:conditionalFormatting>
  <x:conditionalFormatting sqref="F170:G170">
    <x:cfRule type="duplicateValues" dxfId="1520" priority="148"/>
  </x:conditionalFormatting>
  <x:conditionalFormatting sqref="F174:G174">
    <x:cfRule type="duplicateValues" dxfId="1520" priority="149"/>
  </x:conditionalFormatting>
  <x:conditionalFormatting sqref="F175:G175">
    <x:cfRule type="duplicateValues" dxfId="1520" priority="150"/>
  </x:conditionalFormatting>
  <x:conditionalFormatting sqref="F178:F178">
    <x:cfRule type="duplicateValues" dxfId="1520" priority="151"/>
  </x:conditionalFormatting>
  <x:conditionalFormatting sqref="H179:I179">
    <x:cfRule type="duplicateValues" dxfId="1520" priority="152"/>
    <x:cfRule type="duplicateValues" dxfId="1520" priority="152"/>
    <x:cfRule type="duplicateValues" dxfId="1520" priority="152"/>
    <x:cfRule type="duplicateValues" dxfId="1520" priority="152"/>
    <x:cfRule type="duplicateValues" dxfId="1520" priority="152"/>
    <x:cfRule type="duplicateValues" dxfId="1520" priority="152"/>
  </x:conditionalFormatting>
  <x:conditionalFormatting sqref="H180:I180">
    <x:cfRule type="duplicateValues" dxfId="1520" priority="153"/>
  </x:conditionalFormatting>
  <x:conditionalFormatting sqref="F178:I178">
    <x:cfRule type="duplicateValues" dxfId="1520" priority="154"/>
  </x:conditionalFormatting>
  <x:conditionalFormatting sqref="F180:I180">
    <x:cfRule type="duplicateValues" dxfId="1520" priority="155"/>
  </x:conditionalFormatting>
  <x:conditionalFormatting sqref="F179:I179">
    <x:cfRule type="duplicateValues" dxfId="1520" priority="156"/>
  </x:conditionalFormatting>
  <x:conditionalFormatting sqref="F182:G182">
    <x:cfRule type="duplicateValues" dxfId="1520" priority="157"/>
    <x:cfRule type="duplicateValues" dxfId="1520" priority="157"/>
    <x:cfRule type="duplicateValues" dxfId="1520" priority="157"/>
    <x:cfRule type="duplicateValues" dxfId="1520" priority="157"/>
    <x:cfRule type="duplicateValues" dxfId="1520" priority="157"/>
    <x:cfRule type="duplicateValues" dxfId="1520" priority="157"/>
    <x:cfRule type="duplicateValues" dxfId="1520" priority="157"/>
    <x:cfRule type="duplicateValues" dxfId="1520" priority="157"/>
    <x:cfRule type="duplicateValues" dxfId="1520" priority="157"/>
  </x:conditionalFormatting>
  <x:conditionalFormatting sqref="F183:G183">
    <x:cfRule type="duplicateValues" dxfId="1520" priority="158"/>
  </x:conditionalFormatting>
  <x:conditionalFormatting sqref="F185:F185">
    <x:cfRule type="duplicateValues" dxfId="1520" priority="159"/>
  </x:conditionalFormatting>
  <x:conditionalFormatting sqref="F184:G184">
    <x:cfRule type="duplicateValues" dxfId="1520" priority="160"/>
    <x:cfRule type="duplicateValues" dxfId="1520" priority="160"/>
    <x:cfRule type="duplicateValues" dxfId="1520" priority="160"/>
    <x:cfRule type="duplicateValues" dxfId="1520" priority="160"/>
    <x:cfRule type="duplicateValues" dxfId="1520" priority="160"/>
    <x:cfRule type="duplicateValues" dxfId="1520" priority="160"/>
  </x:conditionalFormatting>
  <x:conditionalFormatting sqref="F186:G186">
    <x:cfRule type="duplicateValues" dxfId="1520" priority="161"/>
  </x:conditionalFormatting>
  <x:conditionalFormatting sqref="F189:G189">
    <x:cfRule type="duplicateValues" dxfId="1520" priority="162"/>
  </x:conditionalFormatting>
  <x:conditionalFormatting sqref="F188:G188">
    <x:cfRule type="duplicateValues" dxfId="1520" priority="163"/>
  </x:conditionalFormatting>
  <x:conditionalFormatting sqref="F190:G190">
    <x:cfRule type="duplicateValues" dxfId="1520" priority="164"/>
  </x:conditionalFormatting>
  <x:conditionalFormatting sqref="F191:G191">
    <x:cfRule type="duplicateValues" dxfId="1520" priority="165"/>
    <x:cfRule type="duplicateValues" dxfId="1520" priority="165"/>
    <x:cfRule type="duplicateValues" dxfId="1520" priority="165"/>
  </x:conditionalFormatting>
  <x:conditionalFormatting sqref="F193:G193">
    <x:cfRule type="duplicateValues" dxfId="1520" priority="166"/>
    <x:cfRule type="duplicateValues" dxfId="1520" priority="166"/>
    <x:cfRule type="duplicateValues" dxfId="1520" priority="166"/>
  </x:conditionalFormatting>
  <x:conditionalFormatting sqref="F192:G192">
    <x:cfRule type="duplicateValues" dxfId="1520" priority="167"/>
  </x:conditionalFormatting>
  <x:conditionalFormatting sqref="F196:G196">
    <x:cfRule type="duplicateValues" dxfId="1520" priority="168"/>
  </x:conditionalFormatting>
  <x:conditionalFormatting sqref="F197:G197">
    <x:cfRule type="duplicateValues" dxfId="1520" priority="169"/>
  </x:conditionalFormatting>
  <x:conditionalFormatting sqref="F200:F200">
    <x:cfRule type="duplicateValues" dxfId="1520" priority="170"/>
  </x:conditionalFormatting>
  <x:conditionalFormatting sqref="F201:I201">
    <x:cfRule type="duplicateValues" dxfId="1520" priority="171"/>
    <x:cfRule type="duplicateValues" dxfId="1520" priority="171"/>
    <x:cfRule type="duplicateValues" dxfId="1520" priority="171"/>
    <x:cfRule type="duplicateValues" dxfId="1520" priority="171"/>
    <x:cfRule type="duplicateValues" dxfId="1520" priority="171"/>
    <x:cfRule type="duplicateValues" dxfId="1520" priority="171"/>
  </x:conditionalFormatting>
  <x:conditionalFormatting sqref="F202:I202">
    <x:cfRule type="duplicateValues" dxfId="1520" priority="172"/>
  </x:conditionalFormatting>
  <x:conditionalFormatting sqref="F200:I200">
    <x:cfRule type="duplicateValues" dxfId="1520" priority="173"/>
  </x:conditionalFormatting>
  <x:conditionalFormatting sqref="F204:F204">
    <x:cfRule type="duplicateValues" dxfId="1520" priority="174"/>
    <x:cfRule type="duplicateValues" dxfId="1520" priority="174"/>
  </x:conditionalFormatting>
  <x:conditionalFormatting sqref="F204:G204"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  <x:cfRule type="duplicateValues" dxfId="1520" priority="175"/>
  </x:conditionalFormatting>
  <x:conditionalFormatting sqref="F205:G205">
    <x:cfRule type="duplicateValues" dxfId="1520" priority="176"/>
  </x:conditionalFormatting>
  <x:conditionalFormatting sqref="F207:F207">
    <x:cfRule type="duplicateValues" dxfId="1520" priority="177"/>
  </x:conditionalFormatting>
  <x:conditionalFormatting sqref="F206:G206">
    <x:cfRule type="duplicateValues" dxfId="1520" priority="178"/>
    <x:cfRule type="duplicateValues" dxfId="1520" priority="178"/>
    <x:cfRule type="duplicateValues" dxfId="1520" priority="178"/>
    <x:cfRule type="duplicateValues" dxfId="1520" priority="178"/>
    <x:cfRule type="duplicateValues" dxfId="1520" priority="178"/>
    <x:cfRule type="duplicateValues" dxfId="1520" priority="178"/>
  </x:conditionalFormatting>
  <x:conditionalFormatting sqref="F208:G208">
    <x:cfRule type="duplicateValues" dxfId="1520" priority="179"/>
  </x:conditionalFormatting>
  <x:conditionalFormatting sqref="F210:G210">
    <x:cfRule type="duplicateValues" dxfId="1520" priority="180"/>
  </x:conditionalFormatting>
  <x:conditionalFormatting sqref="F212:G212">
    <x:cfRule type="duplicateValues" dxfId="1520" priority="181"/>
  </x:conditionalFormatting>
  <x:conditionalFormatting sqref="F213:G213">
    <x:cfRule type="duplicateValues" dxfId="1520" priority="182"/>
    <x:cfRule type="duplicateValues" dxfId="1520" priority="182"/>
    <x:cfRule type="duplicateValues" dxfId="1520" priority="182"/>
  </x:conditionalFormatting>
  <x:conditionalFormatting sqref="F215:G215">
    <x:cfRule type="duplicateValues" dxfId="1520" priority="183"/>
    <x:cfRule type="duplicateValues" dxfId="1520" priority="183"/>
    <x:cfRule type="duplicateValues" dxfId="1520" priority="183"/>
  </x:conditionalFormatting>
  <x:conditionalFormatting sqref="F211:G211">
    <x:cfRule type="duplicateValues" dxfId="1520" priority="184"/>
  </x:conditionalFormatting>
  <x:conditionalFormatting sqref="F214:G214">
    <x:cfRule type="duplicateValues" dxfId="1520" priority="185"/>
  </x:conditionalFormatting>
  <x:conditionalFormatting sqref="F218:G218">
    <x:cfRule type="duplicateValues" dxfId="1520" priority="186"/>
  </x:conditionalFormatting>
  <x:conditionalFormatting sqref="F219:G219">
    <x:cfRule type="duplicateValues" dxfId="1520" priority="187"/>
  </x:conditionalFormatting>
  <x:conditionalFormatting sqref="F221:F221">
    <x:cfRule type="duplicateValues" dxfId="1520" priority="188"/>
  </x:conditionalFormatting>
  <x:conditionalFormatting sqref="H222:I222">
    <x:cfRule type="duplicateValues" dxfId="1520" priority="189"/>
    <x:cfRule type="duplicateValues" dxfId="1520" priority="189"/>
    <x:cfRule type="duplicateValues" dxfId="1520" priority="189"/>
    <x:cfRule type="duplicateValues" dxfId="1520" priority="189"/>
    <x:cfRule type="duplicateValues" dxfId="1520" priority="189"/>
    <x:cfRule type="duplicateValues" dxfId="1520" priority="189"/>
  </x:conditionalFormatting>
  <x:conditionalFormatting sqref="H223:I223">
    <x:cfRule type="duplicateValues" dxfId="1520" priority="190"/>
  </x:conditionalFormatting>
  <x:conditionalFormatting sqref="F221:I221">
    <x:cfRule type="duplicateValues" dxfId="1520" priority="191"/>
    <x:cfRule type="duplicateValues" dxfId="1520" priority="191"/>
  </x:conditionalFormatting>
  <x:conditionalFormatting sqref="F223:I223">
    <x:cfRule type="duplicateValues" dxfId="1520" priority="192"/>
    <x:cfRule type="duplicateValues" dxfId="1520" priority="192"/>
  </x:conditionalFormatting>
  <x:conditionalFormatting sqref="F222:I222">
    <x:cfRule type="duplicateValues" dxfId="1520" priority="193"/>
  </x:conditionalFormatting>
  <x:conditionalFormatting sqref="F225:G225"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  <x:cfRule type="duplicateValues" dxfId="1520" priority="194"/>
  </x:conditionalFormatting>
  <x:conditionalFormatting sqref="F226:G226">
    <x:cfRule type="duplicateValues" dxfId="1520" priority="195"/>
    <x:cfRule type="duplicateValues" dxfId="1520" priority="195"/>
  </x:conditionalFormatting>
  <x:conditionalFormatting sqref="F228:F228">
    <x:cfRule type="duplicateValues" dxfId="1520" priority="196"/>
    <x:cfRule type="duplicateValues" dxfId="1520" priority="196"/>
  </x:conditionalFormatting>
  <x:conditionalFormatting sqref="F227:F227"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  <x:cfRule type="duplicateValues" dxfId="1520" priority="197"/>
  </x:conditionalFormatting>
  <x:conditionalFormatting sqref="F229:G229">
    <x:cfRule type="duplicateValues" dxfId="1520" priority="198"/>
    <x:cfRule type="duplicateValues" dxfId="1520" priority="198"/>
  </x:conditionalFormatting>
  <x:conditionalFormatting sqref="F232:G232">
    <x:cfRule type="duplicateValues" dxfId="1520" priority="199"/>
    <x:cfRule type="duplicateValues" dxfId="1520" priority="199"/>
  </x:conditionalFormatting>
  <x:conditionalFormatting sqref="F231:G231"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  <x:cfRule type="duplicateValues" dxfId="1520" priority="200"/>
  </x:conditionalFormatting>
  <x:conditionalFormatting sqref="F233:G233">
    <x:cfRule type="duplicateValues" dxfId="1520" priority="201"/>
    <x:cfRule type="duplicateValues" dxfId="1520" priority="201"/>
    <x:cfRule type="duplicateValues" dxfId="1520" priority="201"/>
    <x:cfRule type="duplicateValues" dxfId="1520" priority="201"/>
  </x:conditionalFormatting>
  <x:conditionalFormatting sqref="F234:G234">
    <x:cfRule type="duplicateValues" dxfId="1520" priority="202"/>
    <x:cfRule type="duplicateValues" dxfId="1520" priority="202"/>
    <x:cfRule type="duplicateValues" dxfId="1520" priority="202"/>
    <x:cfRule type="duplicateValues" dxfId="1520" priority="202"/>
    <x:cfRule type="duplicateValues" dxfId="1520" priority="202"/>
    <x:cfRule type="duplicateValues" dxfId="1520" priority="202"/>
    <x:cfRule type="duplicateValues" dxfId="1520" priority="202"/>
    <x:cfRule type="duplicateValues" dxfId="1520" priority="202"/>
  </x:conditionalFormatting>
  <x:conditionalFormatting sqref="F236:G236">
    <x:cfRule type="duplicateValues" dxfId="1520" priority="203"/>
    <x:cfRule type="duplicateValues" dxfId="1520" priority="203"/>
    <x:cfRule type="duplicateValues" dxfId="1520" priority="203"/>
    <x:cfRule type="duplicateValues" dxfId="1520" priority="203"/>
    <x:cfRule type="duplicateValues" dxfId="1520" priority="203"/>
  </x:conditionalFormatting>
  <x:conditionalFormatting sqref="F235:G235">
    <x:cfRule type="duplicateValues" dxfId="1520" priority="204"/>
  </x:conditionalFormatting>
  <x:conditionalFormatting sqref="F239:G239">
    <x:cfRule type="duplicateValues" dxfId="1520" priority="205"/>
    <x:cfRule type="duplicateValues" dxfId="1520" priority="205"/>
  </x:conditionalFormatting>
  <x:conditionalFormatting sqref="F240:G240">
    <x:cfRule type="duplicateValues" dxfId="1520" priority="206"/>
  </x:conditionalFormatting>
  <x:conditionalFormatting sqref="F243:F243">
    <x:cfRule type="duplicateValues" dxfId="1520" priority="207"/>
  </x:conditionalFormatting>
  <x:conditionalFormatting sqref="F244:I244">
    <x:cfRule type="duplicateValues" dxfId="1520" priority="208"/>
    <x:cfRule type="duplicateValues" dxfId="1520" priority="208"/>
    <x:cfRule type="duplicateValues" dxfId="1520" priority="208"/>
    <x:cfRule type="duplicateValues" dxfId="1520" priority="208"/>
    <x:cfRule type="duplicateValues" dxfId="1520" priority="208"/>
    <x:cfRule type="duplicateValues" dxfId="1520" priority="208"/>
    <x:cfRule type="duplicateValues" dxfId="1520" priority="208"/>
  </x:conditionalFormatting>
  <x:conditionalFormatting sqref="F245:I245">
    <x:cfRule type="duplicateValues" dxfId="1520" priority="209"/>
    <x:cfRule type="duplicateValues" dxfId="1520" priority="209"/>
    <x:cfRule type="duplicateValues" dxfId="1520" priority="209"/>
  </x:conditionalFormatting>
  <x:conditionalFormatting sqref="F243:I243">
    <x:cfRule type="duplicateValues" dxfId="1520" priority="210"/>
    <x:cfRule type="duplicateValues" dxfId="1520" priority="210"/>
  </x:conditionalFormatting>
  <x:conditionalFormatting sqref="F247:F247">
    <x:cfRule type="duplicateValues" dxfId="1520" priority="211"/>
    <x:cfRule type="duplicateValues" dxfId="1520" priority="211"/>
  </x:conditionalFormatting>
  <x:conditionalFormatting sqref="F247:G247"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  <x:cfRule type="duplicateValues" dxfId="1520" priority="212"/>
  </x:conditionalFormatting>
  <x:conditionalFormatting sqref="F248:G248">
    <x:cfRule type="duplicateValues" dxfId="1520" priority="213"/>
  </x:conditionalFormatting>
  <x:conditionalFormatting sqref="F250:F250">
    <x:cfRule type="duplicateValues" dxfId="1520" priority="214"/>
    <x:cfRule type="duplicateValues" dxfId="1520" priority="214"/>
  </x:conditionalFormatting>
  <x:conditionalFormatting sqref="G249:G249">
    <x:cfRule type="duplicateValues" dxfId="1520" priority="215"/>
    <x:cfRule type="duplicateValues" dxfId="1520" priority="215"/>
    <x:cfRule type="duplicateValues" dxfId="1520" priority="215"/>
    <x:cfRule type="duplicateValues" dxfId="1520" priority="215"/>
    <x:cfRule type="duplicateValues" dxfId="1520" priority="215"/>
    <x:cfRule type="duplicateValues" dxfId="1520" priority="215"/>
    <x:cfRule type="duplicateValues" dxfId="1520" priority="215"/>
    <x:cfRule type="duplicateValues" dxfId="1520" priority="215"/>
    <x:cfRule type="duplicateValues" dxfId="1520" priority="215"/>
  </x:conditionalFormatting>
  <x:conditionalFormatting sqref="F249:F249"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  <x:cfRule type="duplicateValues" dxfId="1520" priority="216"/>
  </x:conditionalFormatting>
  <x:conditionalFormatting sqref="F249:G249">
    <x:cfRule type="duplicateValues" dxfId="1520" priority="217"/>
    <x:cfRule type="duplicateValues" dxfId="1520" priority="217"/>
    <x:cfRule type="duplicateValues" dxfId="1520" priority="217"/>
    <x:cfRule type="duplicateValues" dxfId="1520" priority="217"/>
    <x:cfRule type="duplicateValues" dxfId="1520" priority="217"/>
    <x:cfRule type="duplicateValues" dxfId="1520" priority="217"/>
    <x:cfRule type="duplicateValues" dxfId="1520" priority="217"/>
    <x:cfRule type="duplicateValues" dxfId="1520" priority="217"/>
    <x:cfRule type="duplicateValues" dxfId="1520" priority="217"/>
  </x:conditionalFormatting>
  <x:conditionalFormatting sqref="F251:G251">
    <x:cfRule type="duplicateValues" dxfId="1520" priority="218"/>
    <x:cfRule type="duplicateValues" dxfId="1520" priority="218"/>
  </x:conditionalFormatting>
  <x:conditionalFormatting sqref="F253:G253">
    <x:cfRule type="duplicateValues" dxfId="1520" priority="219"/>
    <x:cfRule type="duplicateValues" dxfId="1520" priority="219"/>
    <x:cfRule type="duplicateValues" dxfId="1520" priority="219"/>
    <x:cfRule type="duplicateValues" dxfId="1520" priority="219"/>
    <x:cfRule type="duplicateValues" dxfId="1520" priority="219"/>
    <x:cfRule type="duplicateValues" dxfId="1520" priority="219"/>
  </x:conditionalFormatting>
  <x:conditionalFormatting sqref="F255:G255">
    <x:cfRule type="duplicateValues" dxfId="1520" priority="220"/>
    <x:cfRule type="duplicateValues" dxfId="1520" priority="220"/>
    <x:cfRule type="duplicateValues" dxfId="1520" priority="220"/>
    <x:cfRule type="duplicateValues" dxfId="1520" priority="220"/>
    <x:cfRule type="duplicateValues" dxfId="1520" priority="220"/>
    <x:cfRule type="duplicateValues" dxfId="1520" priority="220"/>
  </x:conditionalFormatting>
  <x:conditionalFormatting sqref="F256:G256">
    <x:cfRule type="duplicateValues" dxfId="1520" priority="221"/>
    <x:cfRule type="duplicateValues" dxfId="1520" priority="221"/>
    <x:cfRule type="duplicateValues" dxfId="1520" priority="221"/>
    <x:cfRule type="duplicateValues" dxfId="1520" priority="221"/>
    <x:cfRule type="duplicateValues" dxfId="1520" priority="221"/>
    <x:cfRule type="duplicateValues" dxfId="1520" priority="221"/>
  </x:conditionalFormatting>
  <x:conditionalFormatting sqref="F258:G258">
    <x:cfRule type="duplicateValues" dxfId="1520" priority="222"/>
    <x:cfRule type="duplicateValues" dxfId="1520" priority="222"/>
    <x:cfRule type="duplicateValues" dxfId="1520" priority="222"/>
    <x:cfRule type="duplicateValues" dxfId="1520" priority="222"/>
    <x:cfRule type="duplicateValues" dxfId="1520" priority="222"/>
  </x:conditionalFormatting>
  <x:conditionalFormatting sqref="F254:G254">
    <x:cfRule type="duplicateValues" dxfId="1520" priority="223"/>
  </x:conditionalFormatting>
  <x:conditionalFormatting sqref="F257:G257">
    <x:cfRule type="duplicateValues" dxfId="1520" priority="224"/>
  </x:conditionalFormatting>
  <x:conditionalFormatting sqref="G261:G261">
    <x:cfRule type="duplicateValues" dxfId="1520" priority="225"/>
    <x:cfRule type="duplicateValues" dxfId="1520" priority="225"/>
  </x:conditionalFormatting>
  <x:conditionalFormatting sqref="F262:G262">
    <x:cfRule type="duplicateValues" dxfId="1520" priority="226"/>
  </x:conditionalFormatting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4">
    <x:outlinePr summaryBelow="1" summaryRight="1"/>
  </x:sheetPr>
  <x:dimension ref="A1:J23"/>
  <x:sheetViews>
    <x:sheetView workbookViewId="0">
      <x:selection activeCell="A2" sqref="A2 A2:A23"/>
    </x:sheetView>
  </x:sheetViews>
  <x:sheetFormatPr defaultRowHeight="15" x14ac:dyDescent="0.25"/>
  <x:cols>
    <x:col min="1" max="1" width="23.5703125" style="82" bestFit="1" customWidth="1"/>
    <x:col min="2" max="2" width="32" style="82" bestFit="1" customWidth="1"/>
    <x:col min="3" max="3" width="27" style="82" bestFit="1" customWidth="1"/>
    <x:col min="4" max="4" width="14.42578125" style="82" bestFit="1" customWidth="1"/>
    <x:col min="5" max="5" width="17.28515625" style="82" bestFit="1" customWidth="1"/>
  </x:cols>
  <x:sheetData>
    <x:row r="1" spans="1:10" s="82" customFormat="1" ht="30" customHeight="1" x14ac:dyDescent="0.25">
      <x:c r="A1" s="120" t="s">
        <x:v>97</x:v>
      </x:c>
      <x:c r="B1" s="120" t="s">
        <x:v>98</x:v>
      </x:c>
      <x:c r="C1" s="120" t="s">
        <x:v>99</x:v>
      </x:c>
      <x:c r="D1" s="120" t="s">
        <x:v>100</x:v>
      </x:c>
      <x:c r="E1" s="120" t="s">
        <x:v>101</x:v>
      </x:c>
      <x:c r="F1" s="120" t="s">
        <x:v>102</x:v>
      </x:c>
      <x:c r="G1" s="120" t="s">
        <x:v>103</x:v>
      </x:c>
      <x:c r="H1" s="120" t="s">
        <x:v>104</x:v>
      </x:c>
      <x:c r="I1" s="120" t="s">
        <x:v>105</x:v>
      </x:c>
    </x:row>
    <x:row r="2" spans="1:10" customFormat="1" ht="15" customHeight="1" x14ac:dyDescent="0.25">
      <x:c r="A2" s="82" t="s">
        <x:v>106</x:v>
      </x:c>
      <x:c r="B2" s="82" t="s"/>
      <x:c r="C2" s="82" t="s">
        <x:v>108</x:v>
      </x:c>
      <x:c r="D2" s="128" t="s"/>
      <x:c r="E2" s="82" t="s"/>
      <x:c r="F2" s="82" t="s"/>
      <x:c r="G2" s="82" t="s"/>
      <x:c r="H2" s="82" t="s"/>
      <x:c r="I2" s="82" t="s"/>
      <x:c r="J2" s="82" t="s"/>
    </x:row>
    <x:row r="3" spans="1:10" customFormat="1" ht="15" customHeight="1" x14ac:dyDescent="0.25">
      <x:c r="A3" s="82" t="s">
        <x:v>106</x:v>
      </x:c>
      <x:c r="B3" s="82" t="s"/>
      <x:c r="C3" s="82" t="s">
        <x:v>109</x:v>
      </x:c>
      <x:c r="D3" s="128" t="s"/>
      <x:c r="E3" s="82" t="s"/>
      <x:c r="F3" s="82" t="s"/>
      <x:c r="G3" s="82" t="s"/>
      <x:c r="H3" s="82" t="s"/>
      <x:c r="I3" s="82" t="s"/>
      <x:c r="J3" s="82" t="s"/>
    </x:row>
    <x:row r="4" spans="1:10" customFormat="1" ht="15" customHeight="1" x14ac:dyDescent="0.25">
      <x:c r="A4" s="82" t="s">
        <x:v>106</x:v>
      </x:c>
      <x:c r="B4" s="82" t="s"/>
      <x:c r="C4" s="82" t="s">
        <x:v>110</x:v>
      </x:c>
      <x:c r="D4" s="128" t="s"/>
      <x:c r="E4" s="82" t="s"/>
      <x:c r="F4" s="82" t="s"/>
      <x:c r="G4" s="82" t="s"/>
      <x:c r="H4" s="82" t="s"/>
      <x:c r="I4" s="82" t="s"/>
      <x:c r="J4" s="82" t="s"/>
    </x:row>
    <x:row r="5" spans="1:10" customFormat="1" ht="15" customHeight="1" x14ac:dyDescent="0.25">
      <x:c r="A5" s="82" t="s">
        <x:v>106</x:v>
      </x:c>
      <x:c r="B5" s="82" t="s"/>
      <x:c r="C5" s="82" t="s">
        <x:v>111</x:v>
      </x:c>
      <x:c r="D5" s="128" t="s"/>
      <x:c r="E5" s="82" t="s"/>
      <x:c r="F5" s="82" t="s"/>
      <x:c r="G5" s="82" t="s"/>
      <x:c r="H5" s="82" t="s"/>
      <x:c r="I5" s="82" t="s"/>
      <x:c r="J5" s="82" t="s"/>
    </x:row>
    <x:row r="6" spans="1:10" customFormat="1" ht="15" customHeight="1" x14ac:dyDescent="0.25">
      <x:c r="A6" s="82" t="s">
        <x:v>106</x:v>
      </x:c>
      <x:c r="B6" s="82" t="s"/>
      <x:c r="C6" s="82" t="s">
        <x:v>112</x:v>
      </x:c>
      <x:c r="D6" s="128" t="s"/>
      <x:c r="E6" s="82" t="s"/>
      <x:c r="F6" s="82" t="s"/>
      <x:c r="G6" s="82" t="s"/>
      <x:c r="H6" s="82" t="s"/>
      <x:c r="I6" s="82" t="s"/>
      <x:c r="J6" s="82" t="s"/>
    </x:row>
    <x:row r="7" spans="1:10" customFormat="1" ht="15" customHeight="1" x14ac:dyDescent="0.25">
      <x:c r="A7" s="82" t="s">
        <x:v>106</x:v>
      </x:c>
      <x:c r="B7" s="82" t="s"/>
      <x:c r="C7" s="82" t="s">
        <x:v>113</x:v>
      </x:c>
      <x:c r="D7" s="128" t="s"/>
      <x:c r="E7" s="82" t="s"/>
      <x:c r="F7" s="82" t="s"/>
      <x:c r="G7" s="82" t="s"/>
      <x:c r="H7" s="82" t="s"/>
      <x:c r="I7" s="82" t="s"/>
      <x:c r="J7" s="82" t="s"/>
    </x:row>
    <x:row r="8" spans="1:10" customFormat="1" ht="15" customHeight="1" x14ac:dyDescent="0.25">
      <x:c r="A8" s="82" t="s">
        <x:v>106</x:v>
      </x:c>
      <x:c r="B8" s="82" t="s"/>
      <x:c r="C8" s="82" t="s">
        <x:v>114</x:v>
      </x:c>
      <x:c r="D8" s="128" t="s"/>
      <x:c r="E8" s="82" t="s"/>
      <x:c r="F8" s="82" t="s"/>
      <x:c r="G8" s="82" t="s"/>
      <x:c r="H8" s="82" t="s"/>
      <x:c r="I8" s="82" t="s"/>
      <x:c r="J8" s="82" t="s"/>
    </x:row>
    <x:row r="9" spans="1:10" customFormat="1" ht="15" customHeight="1" x14ac:dyDescent="0.25">
      <x:c r="A9" s="82" t="s">
        <x:v>106</x:v>
      </x:c>
      <x:c r="B9" s="82" t="s"/>
      <x:c r="C9" s="82" t="s">
        <x:v>115</x:v>
      </x:c>
      <x:c r="D9" s="128" t="s"/>
      <x:c r="E9" s="82" t="s"/>
      <x:c r="F9" s="82" t="s"/>
      <x:c r="G9" s="82" t="s"/>
      <x:c r="H9" s="82" t="s"/>
      <x:c r="I9" s="82" t="s"/>
      <x:c r="J9" s="82" t="s"/>
    </x:row>
    <x:row r="10" spans="1:10" customFormat="1" ht="15" customHeight="1" x14ac:dyDescent="0.25">
      <x:c r="A10" s="82" t="s">
        <x:v>106</x:v>
      </x:c>
      <x:c r="B10" s="82" t="s"/>
      <x:c r="C10" s="82" t="s">
        <x:v>116</x:v>
      </x:c>
      <x:c r="D10" s="128" t="s"/>
      <x:c r="E10" s="82" t="s"/>
      <x:c r="F10" s="82" t="s"/>
      <x:c r="G10" s="82" t="s"/>
      <x:c r="H10" s="82" t="s"/>
      <x:c r="I10" s="82" t="s"/>
      <x:c r="J10" s="82" t="s"/>
    </x:row>
    <x:row r="11" spans="1:10" customFormat="1" ht="15" customHeight="1" x14ac:dyDescent="0.25">
      <x:c r="A11" s="82" t="s">
        <x:v>106</x:v>
      </x:c>
      <x:c r="B11" s="82" t="s"/>
      <x:c r="C11" s="82" t="s">
        <x:v>17</x:v>
      </x:c>
      <x:c r="D11" s="128" t="s"/>
      <x:c r="E11" s="82" t="s"/>
      <x:c r="F11" s="82" t="s"/>
      <x:c r="G11" s="82" t="s"/>
      <x:c r="H11" s="82" t="s"/>
      <x:c r="I11" s="82" t="s"/>
      <x:c r="J11" s="82" t="s"/>
    </x:row>
    <x:row r="12" spans="1:10" customFormat="1" ht="15" customHeight="1" x14ac:dyDescent="0.25">
      <x:c r="A12" s="82" t="s">
        <x:v>106</x:v>
      </x:c>
      <x:c r="B12" s="82" t="s"/>
      <x:c r="C12" s="82" t="s">
        <x:v>18</x:v>
      </x:c>
      <x:c r="D12" s="128" t="s"/>
      <x:c r="E12" s="82" t="s"/>
      <x:c r="F12" s="82" t="s"/>
      <x:c r="G12" s="82" t="s"/>
      <x:c r="H12" s="82" t="s"/>
      <x:c r="I12" s="82" t="s"/>
      <x:c r="J12" s="82" t="s"/>
    </x:row>
    <x:row r="13" spans="1:10" customFormat="1" ht="15" customHeight="1" x14ac:dyDescent="0.25">
      <x:c r="A13" s="82" t="s">
        <x:v>106</x:v>
      </x:c>
      <x:c r="B13" s="82" t="s"/>
      <x:c r="C13" s="82" t="s">
        <x:v>19</x:v>
      </x:c>
      <x:c r="D13" s="128" t="s"/>
      <x:c r="E13" s="82" t="s"/>
      <x:c r="F13" s="82" t="s"/>
      <x:c r="G13" s="82" t="s"/>
      <x:c r="H13" s="82" t="s"/>
      <x:c r="I13" s="82" t="s"/>
      <x:c r="J13" s="82" t="s"/>
    </x:row>
    <x:row r="14" spans="1:10" customFormat="1" ht="15" customHeight="1" x14ac:dyDescent="0.25">
      <x:c r="A14" s="82" t="s">
        <x:v>106</x:v>
      </x:c>
      <x:c r="B14" s="82" t="s"/>
      <x:c r="C14" s="82" t="s">
        <x:v>20</x:v>
      </x:c>
      <x:c r="D14" s="128" t="s"/>
      <x:c r="E14" s="82" t="s"/>
      <x:c r="F14" s="82" t="s"/>
      <x:c r="G14" s="82" t="s"/>
      <x:c r="H14" s="82" t="s"/>
      <x:c r="I14" s="82" t="s"/>
      <x:c r="J14" s="82" t="s"/>
    </x:row>
    <x:row r="15" spans="1:10" customFormat="1" ht="15" customHeight="1" x14ac:dyDescent="0.25">
      <x:c r="A15" s="82" t="s">
        <x:v>106</x:v>
      </x:c>
      <x:c r="B15" s="82" t="s"/>
      <x:c r="C15" s="82" t="s">
        <x:v>21</x:v>
      </x:c>
      <x:c r="D15" s="128" t="s"/>
      <x:c r="E15" s="82" t="s"/>
      <x:c r="F15" s="82" t="s"/>
      <x:c r="G15" s="82" t="s"/>
      <x:c r="H15" s="82" t="s"/>
      <x:c r="I15" s="82" t="s"/>
      <x:c r="J15" s="82" t="s"/>
    </x:row>
    <x:row r="16" spans="1:10" customFormat="1" ht="15" customHeight="1" x14ac:dyDescent="0.25">
      <x:c r="A16" s="82" t="s">
        <x:v>106</x:v>
      </x:c>
      <x:c r="B16" s="82" t="s"/>
      <x:c r="C16" s="82" t="s">
        <x:v>22</x:v>
      </x:c>
      <x:c r="D16" s="128" t="s"/>
      <x:c r="E16" s="82" t="s"/>
      <x:c r="F16" s="82" t="s"/>
      <x:c r="G16" s="82" t="s"/>
      <x:c r="H16" s="82" t="s"/>
      <x:c r="I16" s="82" t="s"/>
      <x:c r="J16" s="82" t="s"/>
    </x:row>
    <x:row r="17" spans="1:10" customFormat="1" ht="15" customHeight="1" x14ac:dyDescent="0.25">
      <x:c r="A17" s="82" t="s">
        <x:v>106</x:v>
      </x:c>
      <x:c r="B17" s="82" t="s"/>
      <x:c r="C17" s="82" t="s">
        <x:v>23</x:v>
      </x:c>
      <x:c r="D17" s="128" t="s"/>
      <x:c r="E17" s="82" t="s"/>
      <x:c r="F17" s="82" t="s"/>
      <x:c r="G17" s="82" t="s"/>
      <x:c r="H17" s="82" t="s"/>
      <x:c r="I17" s="82" t="s"/>
      <x:c r="J17" s="82" t="s"/>
    </x:row>
    <x:row r="18" spans="1:10" customFormat="1" ht="15" customHeight="1" x14ac:dyDescent="0.25">
      <x:c r="A18" s="82" t="s">
        <x:v>106</x:v>
      </x:c>
      <x:c r="B18" s="82" t="s"/>
      <x:c r="C18" s="82" t="s">
        <x:v>24</x:v>
      </x:c>
      <x:c r="D18" s="128" t="s"/>
      <x:c r="E18" s="82" t="s"/>
      <x:c r="F18" s="82" t="s"/>
      <x:c r="G18" s="82" t="s"/>
      <x:c r="H18" s="82" t="s"/>
      <x:c r="I18" s="82" t="s"/>
      <x:c r="J18" s="82" t="s"/>
    </x:row>
    <x:row r="19" spans="1:10" customFormat="1" ht="15" customHeight="1" x14ac:dyDescent="0.25">
      <x:c r="A19" s="82" t="s">
        <x:v>106</x:v>
      </x:c>
      <x:c r="B19" s="82" t="s"/>
      <x:c r="C19" s="82" t="s">
        <x:v>117</x:v>
      </x:c>
      <x:c r="D19" s="128" t="s"/>
      <x:c r="E19" s="82" t="s"/>
      <x:c r="F19" s="82" t="s"/>
      <x:c r="G19" s="82" t="s"/>
      <x:c r="H19" s="82" t="s"/>
      <x:c r="I19" s="82" t="s"/>
      <x:c r="J19" s="82" t="s"/>
    </x:row>
    <x:row r="20" spans="1:10" customFormat="1" ht="15" customHeight="1" x14ac:dyDescent="0.25">
      <x:c r="A20" s="82" t="s">
        <x:v>106</x:v>
      </x:c>
      <x:c r="B20" s="82" t="s"/>
      <x:c r="C20" s="82" t="s">
        <x:v>118</x:v>
      </x:c>
      <x:c r="D20" s="128" t="s"/>
      <x:c r="E20" s="82" t="s"/>
      <x:c r="F20" s="82" t="s"/>
      <x:c r="G20" s="82" t="s"/>
      <x:c r="H20" s="82" t="s"/>
      <x:c r="I20" s="82" t="s"/>
      <x:c r="J20" s="82" t="s"/>
    </x:row>
    <x:row r="21" spans="1:10" customFormat="1" ht="15" customHeight="1" x14ac:dyDescent="0.25">
      <x:c r="A21" s="82" t="s">
        <x:v>106</x:v>
      </x:c>
      <x:c r="B21" s="82" t="s"/>
      <x:c r="C21" s="82" t="s">
        <x:v>119</x:v>
      </x:c>
      <x:c r="D21" s="128" t="s"/>
      <x:c r="E21" s="82" t="s"/>
      <x:c r="F21" s="82" t="s"/>
      <x:c r="G21" s="82" t="s"/>
      <x:c r="H21" s="82" t="s"/>
      <x:c r="I21" s="82" t="s"/>
      <x:c r="J21" s="82" t="s"/>
    </x:row>
    <x:row r="22" spans="1:10" customFormat="1" ht="15" customHeight="1" x14ac:dyDescent="0.25">
      <x:c r="A22" s="82" t="s">
        <x:v>106</x:v>
      </x:c>
      <x:c r="B22" s="82" t="s"/>
      <x:c r="C22" s="82" t="s">
        <x:v>120</x:v>
      </x:c>
      <x:c r="D22" s="128" t="s"/>
      <x:c r="E22" s="82" t="s"/>
      <x:c r="F22" s="82" t="s"/>
      <x:c r="G22" s="82" t="s"/>
      <x:c r="H22" s="82" t="s"/>
      <x:c r="I22" s="82" t="s"/>
      <x:c r="J22" s="82" t="s"/>
    </x:row>
    <x:row r="23" spans="1:10" customFormat="1" ht="15" customHeight="1" thickBot="1" x14ac:dyDescent="0.3">
      <x:c r="A23" s="106" t="s">
        <x:v>106</x:v>
      </x:c>
      <x:c r="B23" s="106" t="s"/>
      <x:c r="C23" s="106" t="s">
        <x:v>121</x:v>
      </x:c>
      <x:c r="D23" s="129" t="s"/>
      <x:c r="E23" s="106" t="s"/>
      <x:c r="F23" s="106" t="s"/>
      <x:c r="G23" s="106" t="s"/>
      <x:c r="H23" s="106" t="s"/>
      <x:c r="I23" s="106" t="s"/>
      <x:c r="J23" s="82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140</vt:i4>
      </vt:variant>
    </vt:vector>
  </ap:HeadingPairs>
  <ap:TitlesOfParts>
    <vt:vector baseType="lpstr" size="146">
      <vt:lpstr>Summary Table</vt:lpstr>
      <vt:lpstr>Automation</vt:lpstr>
      <vt:lpstr>Yield, Bubble Pinch</vt:lpstr>
      <vt:lpstr>Fract-Band</vt:lpstr>
      <vt:lpstr>SPTT Entry</vt:lpstr>
      <vt:lpstr>Template</vt:lpstr>
      <vt:lpstr>Summary Table!solver_cvg</vt:lpstr>
      <vt:lpstr>Summary Table!solver_drv</vt:lpstr>
      <vt:lpstr>Summary Table!solver_est</vt:lpstr>
      <vt:lpstr>Summary Table!solver_itr</vt:lpstr>
      <vt:lpstr>Summary Table!solver_lhs1</vt:lpstr>
      <vt:lpstr>Summary Table!solver_lhs2</vt:lpstr>
      <vt:lpstr>Summary Table!solver_lhs4</vt:lpstr>
      <vt:lpstr>Summary Table!solver_lin</vt:lpstr>
      <vt:lpstr>Summary Table!solver_neg</vt:lpstr>
      <vt:lpstr>Summary Table!solver_num</vt:lpstr>
      <vt:lpstr>Summary Table!solver_nwt</vt:lpstr>
      <vt:lpstr>Summary Table!solver_pre</vt:lpstr>
      <vt:lpstr>Summary Table!solver_rel1</vt:lpstr>
      <vt:lpstr>Summary Table!solver_rel2</vt:lpstr>
      <vt:lpstr>Summary Table!solver_rel3</vt:lpstr>
      <vt:lpstr>Summary Table!solver_rel4</vt:lpstr>
      <vt:lpstr>Summary Table!solver_rhs2</vt:lpstr>
      <vt:lpstr>Summary Table!solver_rhs3</vt:lpstr>
      <vt:lpstr>Summary Table!solver_rhs4</vt:lpstr>
      <vt:lpstr>Summary Table!solver_scl</vt:lpstr>
      <vt:lpstr>Summary Table!solver_sho</vt:lpstr>
      <vt:lpstr>Summary Table!solver_tim</vt:lpstr>
      <vt:lpstr>Summary Table!solver_tol</vt:lpstr>
      <vt:lpstr>Summary Table!solver_typ</vt:lpstr>
      <vt:lpstr>Summary Table!solver_val</vt:lpstr>
      <vt:lpstr>Summary Table!Print_Area</vt:lpstr>
      <vt:lpstr>Summary Table!Print_Titles</vt:lpstr>
      <vt:lpstr>Automation!solver_adj</vt:lpstr>
      <vt:lpstr>Automation!solver_cvg</vt:lpstr>
      <vt:lpstr>Automation!solver_drv</vt:lpstr>
      <vt:lpstr>Automation!solver_eng</vt:lpstr>
      <vt:lpstr>Automation!solver_est</vt:lpstr>
      <vt:lpstr>Automation!solver_itr</vt:lpstr>
      <vt:lpstr>Automation!solver_lhs1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Automation!solver_lhs3</vt:lpstr>
      <vt:lpstr>Automation!solver_lhs4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Automation!solver_lin</vt:lpstr>
      <vt:lpstr>Automation!solver_neg</vt:lpstr>
      <vt:lpstr>Automation!solver_num</vt:lpstr>
      <vt:lpstr>Automation!solver_nwt</vt:lpstr>
      <vt:lpstr>Automation!solver_opt</vt:lpstr>
      <vt:lpstr>Automation!solver_pre</vt:lpstr>
      <vt:lpstr>Automation!solver_rel1</vt:lpstr>
      <vt:lpstr>Automation!solver_rel10</vt:lpstr>
      <vt:lpstr>Automation!solver_rel11</vt:lpstr>
      <vt:lpstr>Automation!solver_rel12</vt:lpstr>
      <vt:lpstr>Automation!solver_rel13</vt:lpstr>
      <vt:lpstr>Automation!solver_rel14</vt:lpstr>
      <vt:lpstr>Automation!solver_rel15</vt:lpstr>
      <vt:lpstr>Automation!solver_rel16</vt:lpstr>
      <vt:lpstr>Automation!solver_rel17</vt:lpstr>
      <vt:lpstr>Automation!solver_rel18</vt:lpstr>
      <vt:lpstr>Automation!solver_rel19</vt:lpstr>
      <vt:lpstr>Automation!solver_rel2</vt:lpstr>
      <vt:lpstr>Automation!solver_rel20</vt:lpstr>
      <vt:lpstr>Automation!solver_rel21</vt:lpstr>
      <vt:lpstr>Automation!solver_rel22</vt:lpstr>
      <vt:lpstr>Automation!solver_rel23</vt:lpstr>
      <vt:lpstr>Automation!solver_rel24</vt:lpstr>
      <vt:lpstr>Automation!solver_rel25</vt:lpstr>
      <vt:lpstr>Automation!solver_rel26</vt:lpstr>
      <vt:lpstr>Automation!solver_rel27</vt:lpstr>
      <vt:lpstr>Automation!solver_rel28</vt:lpstr>
      <vt:lpstr>Automation!solver_rel3</vt:lpstr>
      <vt:lpstr>Automation!solver_rel4</vt:lpstr>
      <vt:lpstr>Automation!solver_rel5</vt:lpstr>
      <vt:lpstr>Automation!solver_rel6</vt:lpstr>
      <vt:lpstr>Automation!solver_rel7</vt:lpstr>
      <vt:lpstr>Automation!solver_rel8</vt:lpstr>
      <vt:lpstr>Automation!solver_rel9</vt:lpstr>
      <vt:lpstr>Automation!solver_rhs1</vt:lpstr>
      <vt:lpstr>Automation!solver_rhs10</vt:lpstr>
      <vt:lpstr>Automation!solver_rhs11</vt:lpstr>
      <vt:lpstr>Automation!solver_rhs12</vt:lpstr>
      <vt:lpstr>Automation!solver_rhs13</vt:lpstr>
      <vt:lpstr>Automation!solver_rhs14</vt:lpstr>
      <vt:lpstr>Automation!solver_rhs15</vt:lpstr>
      <vt:lpstr>Automation!solver_rhs16</vt:lpstr>
      <vt:lpstr>Automation!solver_rhs17</vt:lpstr>
      <vt:lpstr>Automation!solver_rhs18</vt:lpstr>
      <vt:lpstr>Automation!solver_rhs19</vt:lpstr>
      <vt:lpstr>Automation!solver_rhs2</vt:lpstr>
      <vt:lpstr>Automation!solver_rhs20</vt:lpstr>
      <vt:lpstr>Automation!solver_rhs21</vt:lpstr>
      <vt:lpstr>Automation!solver_rhs22</vt:lpstr>
      <vt:lpstr>Automation!solver_rhs23</vt:lpstr>
      <vt:lpstr>Automation!solver_rhs24</vt:lpstr>
      <vt:lpstr>Automation!solver_rhs25</vt:lpstr>
      <vt:lpstr>Automation!solver_rhs26</vt:lpstr>
      <vt:lpstr>Automation!solver_rhs27</vt:lpstr>
      <vt:lpstr>Automation!solver_rhs28</vt:lpstr>
      <vt:lpstr>Automation!solver_rhs3</vt:lpstr>
      <vt:lpstr>Automation!solver_rhs4</vt:lpstr>
      <vt:lpstr>Automation!solver_rhs5</vt:lpstr>
      <vt:lpstr>Automation!solver_rhs6</vt:lpstr>
      <vt:lpstr>Automation!solver_rhs7</vt:lpstr>
      <vt:lpstr>Automation!solver_rhs8</vt:lpstr>
      <vt:lpstr>Automation!solver_rhs9</vt:lpstr>
      <vt:lpstr>Automation!solver_scl</vt:lpstr>
      <vt:lpstr>Automation!solver_sho</vt:lpstr>
      <vt:lpstr>Automation!solver_tim</vt:lpstr>
      <vt:lpstr>Automation!solver_tol</vt:lpstr>
      <vt:lpstr>Automation!solver_typ</vt:lpstr>
      <vt:lpstr>Automation!solver_val</vt:lpstr>
      <vt:lpstr>Automation!solver_ver</vt:lpstr>
      <vt:lpstr>Automation!Print_Area</vt:lpstr>
      <vt:lpstr>Automation!Print_Titles</vt:lpstr>
      <vt:lpstr>Yield, Bubble Pinch!Print_Area</vt:lpstr>
      <vt:lpstr>Yield, Bubble Pinch!Print_Titles</vt:lpstr>
      <vt:lpstr>Fract-Band!Print_Area</vt:lpstr>
      <vt:lpstr>Fract-Band!Print_Titles</vt:lpstr>
      <vt:lpstr>SPTT Entry!Print_Area</vt:lpstr>
      <vt:lpstr>SPTT Entry!Print_Titles</vt:lpstr>
      <vt:lpstr>Template!Print_Area</vt:lpstr>
      <vt:lpstr>Template!Print_Titles</vt:lpstr>
    </vt:vector>
  </ap:TitlesOfParts>
  <ap:Company>Procter &amp; Gamble</ap:Company>
  <ap:LinksUpToDate>false</ap:LinksUpToDate>
  <ap:SharedDoc>false</ap:SharedDoc>
  <ap:HyperlinksChanged>false</ap:HyperlinksChanged>
  <ap:AppVersion>14.0300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Paul Lipic</dc:creator>
  <lastModifiedBy>Guy..Lister</lastModifiedBy>
  <lastPrinted>2014-10-27T20:32:30.0000000Z</lastPrinted>
  <dcterms:created xsi:type="dcterms:W3CDTF">2013-02-21T02:59:43.0000000Z</dcterms:created>
  <dcterms:modified xsi:type="dcterms:W3CDTF">2016-02-20T07:12:47.7293158Z</dcterms:modified>
</coreProperties>
</file>