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defaultThemeVersion="124226"/>
  <bookViews>
    <workbookView xWindow="10920" yWindow="2895" windowWidth="4470" windowHeight="4740" tabRatio="513" activeTab="2"/>
  </bookViews>
  <sheets>
    <sheet name="Summary Table" sheetId="1" r:id="rId1"/>
    <sheet name="Automation" sheetId="7" r:id="rId2"/>
    <sheet name="Yield, Bubble Pinch" sheetId="11" r:id="rId3"/>
    <sheet name="Fract-Band" sheetId="12" r:id="rId4"/>
    <sheet name="SPTT Entry" sheetId="15" r:id="rId5"/>
    <sheet name="Template" sheetId="16" r:id="rId6"/>
  </sheets>
  <definedNames>
    <definedName name="solver_adj" localSheetId="1" hidden="1">Automation!$M$4:$M$6</definedName>
    <definedName name="solver_cvg" localSheetId="1" hidden="1">0.0001</definedName>
    <definedName name="solver_cvg" localSheetId="0" hidden="1">0.0001</definedName>
    <definedName name="solver_drv" localSheetId="1" hidden="1">1</definedName>
    <definedName name="solver_drv" localSheetId="0" hidden="1">1</definedName>
    <definedName name="solver_eng" localSheetId="1" hidden="1">1</definedName>
    <definedName name="solver_est" localSheetId="1" hidden="1">1</definedName>
    <definedName name="solver_est" localSheetId="0" hidden="1">1</definedName>
    <definedName name="solver_itr" localSheetId="1" hidden="1">100</definedName>
    <definedName name="solver_itr" localSheetId="0" hidden="1">100</definedName>
    <definedName name="solver_lhs1" localSheetId="1" hidden="1">Automation!$M$5</definedName>
    <definedName name="solver_lhs1" localSheetId="0" hidden="1">'Summary Table'!$L$6</definedName>
    <definedName name="solver_lhs10" localSheetId="1" hidden="1">Automation!$M$5</definedName>
    <definedName name="solver_lhs11" localSheetId="1" hidden="1">Automation!$M$4</definedName>
    <definedName name="solver_lhs12" localSheetId="1" hidden="1">Automation!$M$6</definedName>
    <definedName name="solver_lhs13" localSheetId="1" hidden="1">Automation!$M$5</definedName>
    <definedName name="solver_lhs14" localSheetId="1" hidden="1">Automation!$M$5</definedName>
    <definedName name="solver_lhs15" localSheetId="1" hidden="1">Automation!$M$4</definedName>
    <definedName name="solver_lhs16" localSheetId="1" hidden="1">Automation!$M$6</definedName>
    <definedName name="solver_lhs17" localSheetId="1" hidden="1">Automation!$M$5</definedName>
    <definedName name="solver_lhs18" localSheetId="1" hidden="1">Automation!$M$5</definedName>
    <definedName name="solver_lhs19" localSheetId="1" hidden="1">Automation!$M$4</definedName>
    <definedName name="solver_lhs2" localSheetId="1" hidden="1">Automation!$M$5</definedName>
    <definedName name="solver_lhs2" localSheetId="0" hidden="1">'Summary Table'!$L$6</definedName>
    <definedName name="solver_lhs20" localSheetId="1" hidden="1">Automation!$M$6</definedName>
    <definedName name="solver_lhs21" localSheetId="1" hidden="1">Automation!$M$5</definedName>
    <definedName name="solver_lhs22" localSheetId="1" hidden="1">Automation!$M$5</definedName>
    <definedName name="solver_lhs23" localSheetId="1" hidden="1">Automation!$M$4</definedName>
    <definedName name="solver_lhs24" localSheetId="1" hidden="1">Automation!$M$6</definedName>
    <definedName name="solver_lhs25" localSheetId="1" hidden="1">Automation!$M$5</definedName>
    <definedName name="solver_lhs26" localSheetId="1" hidden="1">Automation!$M$5</definedName>
    <definedName name="solver_lhs27" localSheetId="1" hidden="1">Automation!$M$4</definedName>
    <definedName name="solver_lhs28" localSheetId="1" hidden="1">Automation!$M$6</definedName>
    <definedName name="solver_lhs3" localSheetId="1" hidden="1">Automation!$M$4</definedName>
    <definedName name="solver_lhs3" localSheetId="0" hidden="1">'Summary Table'!#REF!</definedName>
    <definedName name="solver_lhs4" localSheetId="1" hidden="1">Automation!$M$6</definedName>
    <definedName name="solver_lhs4" localSheetId="0" hidden="1">'Summary Table'!$L$7</definedName>
    <definedName name="solver_lhs5" localSheetId="1" hidden="1">Automation!$M$5</definedName>
    <definedName name="solver_lhs6" localSheetId="1" hidden="1">Automation!$M$5</definedName>
    <definedName name="solver_lhs7" localSheetId="1" hidden="1">Automation!$M$4</definedName>
    <definedName name="solver_lhs8" localSheetId="1" hidden="1">Automation!$M$6</definedName>
    <definedName name="solver_lhs9" localSheetId="1" hidden="1">Automation!$M$5</definedName>
    <definedName name="solver_lin" localSheetId="1" hidden="1">2</definedName>
    <definedName name="solver_lin" localSheetId="0" hidden="1">2</definedName>
    <definedName name="solver_neg" localSheetId="1" hidden="1">2</definedName>
    <definedName name="solver_neg" localSheetId="0" hidden="1">2</definedName>
    <definedName name="solver_num" localSheetId="1" hidden="1">4</definedName>
    <definedName name="solver_num" localSheetId="0" hidden="1">0</definedName>
    <definedName name="solver_nwt" localSheetId="1" hidden="1">1</definedName>
    <definedName name="solver_nwt" localSheetId="0" hidden="1">1</definedName>
    <definedName name="solver_opt" localSheetId="1" hidden="1">Automation!$M$3</definedName>
    <definedName name="solver_pre" localSheetId="1" hidden="1">0.000001</definedName>
    <definedName name="solver_pre" localSheetId="0" hidden="1">0.000001</definedName>
    <definedName name="solver_rel1" localSheetId="1" hidden="1">1</definedName>
    <definedName name="solver_rel1" localSheetId="0" hidden="1">1</definedName>
    <definedName name="solver_rel10" localSheetId="1" hidden="1">3</definedName>
    <definedName name="solver_rel11" localSheetId="1" hidden="1">3</definedName>
    <definedName name="solver_rel12" localSheetId="1" hidden="1">3</definedName>
    <definedName name="solver_rel13" localSheetId="1" hidden="1">1</definedName>
    <definedName name="solver_rel14" localSheetId="1" hidden="1">3</definedName>
    <definedName name="solver_rel15" localSheetId="1" hidden="1">3</definedName>
    <definedName name="solver_rel16" localSheetId="1" hidden="1">3</definedName>
    <definedName name="solver_rel17" localSheetId="1" hidden="1">1</definedName>
    <definedName name="solver_rel18" localSheetId="1" hidden="1">3</definedName>
    <definedName name="solver_rel19" localSheetId="1" hidden="1">3</definedName>
    <definedName name="solver_rel2" localSheetId="1" hidden="1">3</definedName>
    <definedName name="solver_rel2" localSheetId="0" hidden="1">3</definedName>
    <definedName name="solver_rel20" localSheetId="1" hidden="1">3</definedName>
    <definedName name="solver_rel21" localSheetId="1" hidden="1">1</definedName>
    <definedName name="solver_rel22" localSheetId="1" hidden="1">3</definedName>
    <definedName name="solver_rel23" localSheetId="1" hidden="1">3</definedName>
    <definedName name="solver_rel24" localSheetId="1" hidden="1">3</definedName>
    <definedName name="solver_rel25" localSheetId="1" hidden="1">1</definedName>
    <definedName name="solver_rel26" localSheetId="1" hidden="1">3</definedName>
    <definedName name="solver_rel27" localSheetId="1" hidden="1">3</definedName>
    <definedName name="solver_rel28" localSheetId="1" hidden="1">3</definedName>
    <definedName name="solver_rel3" localSheetId="1" hidden="1">3</definedName>
    <definedName name="solver_rel3" localSheetId="0" hidden="1">3</definedName>
    <definedName name="solver_rel4" localSheetId="1" hidden="1">3</definedName>
    <definedName name="solver_rel4" localSheetId="0" hidden="1">3</definedName>
    <definedName name="solver_rel5" localSheetId="1" hidden="1">1</definedName>
    <definedName name="solver_rel6" localSheetId="1" hidden="1">3</definedName>
    <definedName name="solver_rel7" localSheetId="1" hidden="1">3</definedName>
    <definedName name="solver_rel8" localSheetId="1" hidden="1">3</definedName>
    <definedName name="solver_rel9" localSheetId="1" hidden="1">1</definedName>
    <definedName name="solver_rhs1" localSheetId="1" hidden="1">Automation!$M$4</definedName>
    <definedName name="solver_rhs1" localSheetId="0" hidden="1">'Summary Table'!#REF!</definedName>
    <definedName name="solver_rhs10" localSheetId="1" hidden="1">0</definedName>
    <definedName name="solver_rhs11" localSheetId="1" hidden="1">0</definedName>
    <definedName name="solver_rhs12" localSheetId="1" hidden="1">0</definedName>
    <definedName name="solver_rhs13" localSheetId="1" hidden="1">Automation!$M$4</definedName>
    <definedName name="solver_rhs14" localSheetId="1" hidden="1">0</definedName>
    <definedName name="solver_rhs15" localSheetId="1" hidden="1">0</definedName>
    <definedName name="solver_rhs16" localSheetId="1" hidden="1">0</definedName>
    <definedName name="solver_rhs17" localSheetId="1" hidden="1">Automation!$M$4</definedName>
    <definedName name="solver_rhs18" localSheetId="1" hidden="1">0</definedName>
    <definedName name="solver_rhs19" localSheetId="1" hidden="1">0</definedName>
    <definedName name="solver_rhs2" localSheetId="1" hidden="1">0</definedName>
    <definedName name="solver_rhs2" localSheetId="0" hidden="1">0</definedName>
    <definedName name="solver_rhs20" localSheetId="1" hidden="1">0</definedName>
    <definedName name="solver_rhs21" localSheetId="1" hidden="1">Automation!$M$4</definedName>
    <definedName name="solver_rhs22" localSheetId="1" hidden="1">0</definedName>
    <definedName name="solver_rhs23" localSheetId="1" hidden="1">0</definedName>
    <definedName name="solver_rhs24" localSheetId="1" hidden="1">0</definedName>
    <definedName name="solver_rhs25" localSheetId="1" hidden="1">Automation!$M$4</definedName>
    <definedName name="solver_rhs26" localSheetId="1" hidden="1">0</definedName>
    <definedName name="solver_rhs27" localSheetId="1" hidden="1">0</definedName>
    <definedName name="solver_rhs28" localSheetId="1" hidden="1">0</definedName>
    <definedName name="solver_rhs3" localSheetId="1" hidden="1">0</definedName>
    <definedName name="solver_rhs3" localSheetId="0" hidden="1">0</definedName>
    <definedName name="solver_rhs4" localSheetId="1" hidden="1">0</definedName>
    <definedName name="solver_rhs4" localSheetId="0" hidden="1">0</definedName>
    <definedName name="solver_rhs5" localSheetId="1" hidden="1">Automation!$M$4</definedName>
    <definedName name="solver_rhs6" localSheetId="1" hidden="1">0</definedName>
    <definedName name="solver_rhs7" localSheetId="1" hidden="1">0</definedName>
    <definedName name="solver_rhs8" localSheetId="1" hidden="1">0</definedName>
    <definedName name="solver_rhs9" localSheetId="1" hidden="1">Automation!$M$4</definedName>
    <definedName name="solver_scl" localSheetId="1" hidden="1">2</definedName>
    <definedName name="solver_scl" localSheetId="0" hidden="1">2</definedName>
    <definedName name="solver_sho" localSheetId="1" hidden="1">2</definedName>
    <definedName name="solver_sho" localSheetId="0" hidden="1">2</definedName>
    <definedName name="solver_tim" localSheetId="1" hidden="1">100</definedName>
    <definedName name="solver_tim" localSheetId="0" hidden="1">100</definedName>
    <definedName name="solver_tol" localSheetId="1" hidden="1">0.05</definedName>
    <definedName name="solver_tol" localSheetId="0" hidden="1">0.05</definedName>
    <definedName name="solver_typ" localSheetId="1" hidden="1">2</definedName>
    <definedName name="solver_typ" localSheetId="0" hidden="1">1</definedName>
    <definedName name="solver_val" localSheetId="1" hidden="1">0</definedName>
    <definedName name="solver_val" localSheetId="0" hidden="1">0</definedName>
    <definedName name="solver_ver" localSheetId="1" hidden="1">3</definedName>
  </definedNames>
  <calcPr calcId="145621"/>
</workbook>
</file>

<file path=xl/calcChain.xml><?xml version="1.0" encoding="utf-8"?>
<calcChain xmlns="http://schemas.openxmlformats.org/spreadsheetml/2006/main">
  <c r="I24" i="11" l="1"/>
  <c r="H24" i="11"/>
  <c r="M30" i="11" l="1"/>
  <c r="H6" i="11"/>
  <c r="J51" i="1"/>
  <c r="J50" i="1"/>
  <c r="J49" i="1"/>
  <c r="N48" i="1"/>
  <c r="J48" i="1"/>
  <c r="J47" i="1"/>
  <c r="J46" i="1"/>
  <c r="J45" i="1"/>
  <c r="N44" i="1"/>
  <c r="J44" i="1"/>
  <c r="J43" i="1"/>
  <c r="J42" i="1"/>
  <c r="J41" i="1"/>
  <c r="N40" i="1"/>
  <c r="J40" i="1"/>
  <c r="J39" i="1"/>
  <c r="J38" i="1"/>
  <c r="J37" i="1"/>
  <c r="N36" i="1"/>
  <c r="J36" i="1"/>
  <c r="J35" i="1"/>
  <c r="J34" i="1"/>
  <c r="J33" i="1"/>
  <c r="N32" i="1"/>
  <c r="J32" i="1"/>
  <c r="J31" i="1"/>
  <c r="J30" i="1"/>
  <c r="J29" i="1"/>
  <c r="N28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24" i="11"/>
  <c r="K48" i="1" l="1"/>
  <c r="K44" i="1"/>
  <c r="K40" i="1"/>
  <c r="K36" i="1"/>
  <c r="K32" i="1"/>
  <c r="K28" i="1"/>
  <c r="N24" i="1"/>
  <c r="N20" i="1"/>
  <c r="N16" i="1"/>
  <c r="N12" i="1"/>
  <c r="K20" i="1" l="1"/>
  <c r="K16" i="1"/>
  <c r="K12" i="1"/>
  <c r="K24" i="1"/>
  <c r="M27" i="11"/>
  <c r="M28" i="11"/>
  <c r="M29" i="11"/>
  <c r="M31" i="11"/>
  <c r="M32" i="11"/>
  <c r="M33" i="11"/>
  <c r="M34" i="11"/>
  <c r="M35" i="11"/>
  <c r="M36" i="11"/>
  <c r="M37" i="11"/>
  <c r="M38" i="11"/>
  <c r="M39" i="11"/>
  <c r="M40" i="11"/>
  <c r="N8" i="1"/>
  <c r="AB4" i="7" a="1"/>
  <c r="AB4" i="7" s="1"/>
  <c r="AB5" i="7" a="1"/>
  <c r="AB5" i="7" s="1"/>
  <c r="AB6" i="7" a="1"/>
  <c r="AB6" i="7" s="1"/>
  <c r="AB7" i="7" a="1"/>
  <c r="AB7" i="7" s="1"/>
  <c r="AB8" i="7" a="1"/>
  <c r="AB8" i="7" s="1"/>
  <c r="AB9" i="7" a="1"/>
  <c r="AB9" i="7" s="1"/>
  <c r="AB10" i="7" a="1"/>
  <c r="AB10" i="7" s="1"/>
  <c r="AB11" i="7" a="1"/>
  <c r="AB11" i="7" s="1"/>
  <c r="AB12" i="7" a="1"/>
  <c r="AB12" i="7" s="1"/>
  <c r="AB13" i="7" a="1"/>
  <c r="AB13" i="7" s="1"/>
  <c r="AB14" i="7" a="1"/>
  <c r="AB14" i="7" s="1"/>
  <c r="AB15" i="7" a="1"/>
  <c r="AB15" i="7" s="1"/>
  <c r="AB16" i="7" a="1"/>
  <c r="AB16" i="7" s="1"/>
  <c r="AB17" i="7" a="1"/>
  <c r="AB17" i="7" s="1"/>
  <c r="AB18" i="7" a="1"/>
  <c r="AB18" i="7" s="1"/>
  <c r="AB19" i="7" a="1"/>
  <c r="AB19" i="7" s="1"/>
  <c r="AB20" i="7" a="1"/>
  <c r="AB20" i="7" s="1"/>
  <c r="AB21" i="7" a="1"/>
  <c r="AB21" i="7" s="1"/>
  <c r="AB22" i="7" a="1"/>
  <c r="AB22" i="7" s="1"/>
  <c r="AB23" i="7" a="1"/>
  <c r="AB23" i="7" s="1"/>
  <c r="AB24" i="7" a="1"/>
  <c r="AB24" i="7" s="1"/>
  <c r="AB25" i="7" a="1"/>
  <c r="AB25" i="7" s="1"/>
  <c r="AB26" i="7" a="1"/>
  <c r="AB26" i="7" s="1"/>
  <c r="AB27" i="7" a="1"/>
  <c r="AB27" i="7" s="1"/>
  <c r="AB28" i="7" a="1"/>
  <c r="AB28" i="7" s="1"/>
  <c r="AB29" i="7" a="1"/>
  <c r="AB29" i="7" s="1"/>
  <c r="AB30" i="7" a="1"/>
  <c r="AB30" i="7" s="1"/>
  <c r="AB31" i="7" a="1"/>
  <c r="AB31" i="7" s="1"/>
  <c r="AB32" i="7" a="1"/>
  <c r="AB32" i="7" s="1"/>
  <c r="AB33" i="7" a="1"/>
  <c r="AB33" i="7" s="1"/>
  <c r="AB34" i="7" a="1"/>
  <c r="AB34" i="7" s="1"/>
  <c r="AB35" i="7" a="1"/>
  <c r="AB35" i="7" s="1"/>
  <c r="AB36" i="7" a="1"/>
  <c r="AB36" i="7" s="1"/>
  <c r="AB37" i="7" a="1"/>
  <c r="AB37" i="7" s="1"/>
  <c r="AB38" i="7" a="1"/>
  <c r="AB38" i="7" s="1"/>
  <c r="AB39" i="7" a="1"/>
  <c r="AB39" i="7" s="1"/>
  <c r="AB40" i="7" a="1"/>
  <c r="AB40" i="7" s="1"/>
  <c r="AB41" i="7" a="1"/>
  <c r="AB41" i="7" s="1"/>
  <c r="AB42" i="7" a="1"/>
  <c r="AB42" i="7" s="1"/>
  <c r="AB43" i="7" a="1"/>
  <c r="AB43" i="7" s="1"/>
  <c r="AB44" i="7" a="1"/>
  <c r="AB44" i="7" s="1"/>
  <c r="AB45" i="7" a="1"/>
  <c r="AB45" i="7" s="1"/>
  <c r="AB46" i="7" a="1"/>
  <c r="AB46" i="7" s="1"/>
  <c r="AB47" i="7" a="1"/>
  <c r="AB47" i="7" s="1"/>
  <c r="AB48" i="7" a="1"/>
  <c r="AB48" i="7" s="1"/>
  <c r="AB49" i="7" a="1"/>
  <c r="AB49" i="7" s="1"/>
  <c r="AB50" i="7" a="1"/>
  <c r="AB50" i="7" s="1"/>
  <c r="AB51" i="7" a="1"/>
  <c r="AB51" i="7" s="1"/>
  <c r="AB52" i="7" a="1"/>
  <c r="AB52" i="7" s="1"/>
  <c r="AB53" i="7" a="1"/>
  <c r="AB53" i="7" s="1"/>
  <c r="AB54" i="7" a="1"/>
  <c r="AB54" i="7" s="1"/>
  <c r="AB55" i="7" a="1"/>
  <c r="AB55" i="7" s="1"/>
  <c r="AB56" i="7" a="1"/>
  <c r="AB56" i="7" s="1"/>
  <c r="AB57" i="7" a="1"/>
  <c r="AB57" i="7" s="1"/>
  <c r="AB58" i="7" a="1"/>
  <c r="AB58" i="7" s="1"/>
  <c r="AB59" i="7" a="1"/>
  <c r="AB59" i="7" s="1"/>
  <c r="AB60" i="7" a="1"/>
  <c r="AB60" i="7" s="1"/>
  <c r="AB61" i="7" a="1"/>
  <c r="AB61" i="7" s="1"/>
  <c r="AB62" i="7" a="1"/>
  <c r="AB62" i="7" s="1"/>
  <c r="AB63" i="7" a="1"/>
  <c r="AB63" i="7" s="1"/>
  <c r="AB64" i="7" a="1"/>
  <c r="AB64" i="7" s="1"/>
  <c r="AB65" i="7" a="1"/>
  <c r="AB65" i="7" s="1"/>
  <c r="AB66" i="7" a="1"/>
  <c r="AB66" i="7" s="1"/>
  <c r="AB67" i="7" a="1"/>
  <c r="AB67" i="7" s="1"/>
  <c r="AB68" i="7" a="1"/>
  <c r="AB68" i="7" s="1"/>
  <c r="AB69" i="7" a="1"/>
  <c r="AB69" i="7" s="1"/>
  <c r="AB70" i="7" a="1"/>
  <c r="AB70" i="7" s="1"/>
  <c r="AB71" i="7" a="1"/>
  <c r="AB71" i="7" s="1"/>
  <c r="AB72" i="7" a="1"/>
  <c r="AB72" i="7" s="1"/>
  <c r="AB73" i="7" a="1"/>
  <c r="AB73" i="7" s="1"/>
  <c r="AB74" i="7" a="1"/>
  <c r="AB74" i="7" s="1"/>
  <c r="AB75" i="7" a="1"/>
  <c r="AB75" i="7" s="1"/>
  <c r="AB76" i="7" a="1"/>
  <c r="AB76" i="7" s="1"/>
  <c r="AB77" i="7" a="1"/>
  <c r="AB77" i="7" s="1"/>
  <c r="AB78" i="7" a="1"/>
  <c r="AB78" i="7" s="1"/>
  <c r="AB79" i="7" a="1"/>
  <c r="AB79" i="7" s="1"/>
  <c r="AB80" i="7" a="1"/>
  <c r="AB80" i="7" s="1"/>
  <c r="AB81" i="7" a="1"/>
  <c r="AB81" i="7" s="1"/>
  <c r="AB82" i="7" a="1"/>
  <c r="AB82" i="7" s="1"/>
  <c r="AB83" i="7" a="1"/>
  <c r="AB83" i="7" s="1"/>
  <c r="AB84" i="7" a="1"/>
  <c r="AB84" i="7" s="1"/>
  <c r="AB85" i="7" a="1"/>
  <c r="AB85" i="7" s="1"/>
  <c r="AB86" i="7" a="1"/>
  <c r="AB86" i="7" s="1"/>
  <c r="AB87" i="7" a="1"/>
  <c r="AB87" i="7" s="1"/>
  <c r="AB88" i="7" a="1"/>
  <c r="AB88" i="7" s="1"/>
  <c r="AB89" i="7" a="1"/>
  <c r="AB89" i="7" s="1"/>
  <c r="AB90" i="7" a="1"/>
  <c r="AB90" i="7" s="1"/>
  <c r="AB91" i="7" a="1"/>
  <c r="AB91" i="7" s="1"/>
  <c r="AB92" i="7" a="1"/>
  <c r="AB92" i="7" s="1"/>
  <c r="AB93" i="7" a="1"/>
  <c r="AB93" i="7" s="1"/>
  <c r="AB94" i="7" a="1"/>
  <c r="AB94" i="7" s="1"/>
  <c r="AB95" i="7" a="1"/>
  <c r="AB95" i="7" s="1"/>
  <c r="AB96" i="7" a="1"/>
  <c r="AB96" i="7" s="1"/>
  <c r="AB97" i="7" a="1"/>
  <c r="AB97" i="7" s="1"/>
  <c r="AB98" i="7" a="1"/>
  <c r="AB98" i="7" s="1"/>
  <c r="AB99" i="7" a="1"/>
  <c r="AB99" i="7" s="1"/>
  <c r="AB100" i="7" a="1"/>
  <c r="AB100" i="7" s="1"/>
  <c r="AB101" i="7" a="1"/>
  <c r="AB101" i="7" s="1"/>
  <c r="AB102" i="7" a="1"/>
  <c r="AB102" i="7" s="1"/>
  <c r="AB103" i="7" a="1"/>
  <c r="AB103" i="7" s="1"/>
  <c r="AB104" i="7" a="1"/>
  <c r="AB104" i="7" s="1"/>
  <c r="AB105" i="7" a="1"/>
  <c r="AB105" i="7" s="1"/>
  <c r="AB106" i="7" a="1"/>
  <c r="AB106" i="7" s="1"/>
  <c r="AB107" i="7" a="1"/>
  <c r="AB107" i="7" s="1"/>
  <c r="AB108" i="7" a="1"/>
  <c r="AB108" i="7" s="1"/>
  <c r="AB109" i="7" a="1"/>
  <c r="AB109" i="7" s="1"/>
  <c r="AB110" i="7" a="1"/>
  <c r="AB110" i="7" s="1"/>
  <c r="AB111" i="7" a="1"/>
  <c r="AB111" i="7" s="1"/>
  <c r="AB112" i="7" a="1"/>
  <c r="AB112" i="7" s="1"/>
  <c r="AB113" i="7" a="1"/>
  <c r="AB113" i="7" s="1"/>
  <c r="AB114" i="7" a="1"/>
  <c r="AB114" i="7" s="1"/>
  <c r="AB115" i="7" a="1"/>
  <c r="AB115" i="7" s="1"/>
  <c r="AB116" i="7" a="1"/>
  <c r="AB116" i="7" s="1"/>
  <c r="AB117" i="7" a="1"/>
  <c r="AB117" i="7" s="1"/>
  <c r="AB118" i="7" a="1"/>
  <c r="AB118" i="7" s="1"/>
  <c r="AB119" i="7" a="1"/>
  <c r="AB119" i="7" s="1"/>
  <c r="AB120" i="7" a="1"/>
  <c r="AB120" i="7" s="1"/>
  <c r="AB121" i="7" a="1"/>
  <c r="AB121" i="7" s="1"/>
  <c r="AB122" i="7" a="1"/>
  <c r="AB122" i="7" s="1"/>
  <c r="AB123" i="7" a="1"/>
  <c r="AB123" i="7" s="1"/>
  <c r="AB124" i="7" a="1"/>
  <c r="AB124" i="7" s="1"/>
  <c r="AB125" i="7" a="1"/>
  <c r="AB125" i="7" s="1"/>
  <c r="AB126" i="7" a="1"/>
  <c r="AB126" i="7" s="1"/>
  <c r="AB127" i="7" a="1"/>
  <c r="AB127" i="7" s="1"/>
  <c r="AB128" i="7" a="1"/>
  <c r="AB128" i="7" s="1"/>
  <c r="AB129" i="7" a="1"/>
  <c r="AB129" i="7" s="1"/>
  <c r="AB130" i="7" a="1"/>
  <c r="AB130" i="7" s="1"/>
  <c r="AB131" i="7" a="1"/>
  <c r="AB131" i="7" s="1"/>
  <c r="AB132" i="7" a="1"/>
  <c r="AB132" i="7" s="1"/>
  <c r="AB133" i="7" a="1"/>
  <c r="AB133" i="7" s="1"/>
  <c r="AB134" i="7" a="1"/>
  <c r="AB134" i="7" s="1"/>
  <c r="AB135" i="7" a="1"/>
  <c r="AB135" i="7" s="1"/>
  <c r="AB136" i="7" a="1"/>
  <c r="AB136" i="7" s="1"/>
  <c r="AB137" i="7" a="1"/>
  <c r="AB137" i="7" s="1"/>
  <c r="AB138" i="7" a="1"/>
  <c r="AB138" i="7" s="1"/>
  <c r="AB139" i="7" a="1"/>
  <c r="AB139" i="7" s="1"/>
  <c r="AB140" i="7" a="1"/>
  <c r="AB140" i="7" s="1"/>
  <c r="AB141" i="7" a="1"/>
  <c r="AB141" i="7" s="1"/>
  <c r="AB142" i="7" a="1"/>
  <c r="AB142" i="7" s="1"/>
  <c r="AB143" i="7" a="1"/>
  <c r="AB143" i="7" s="1"/>
  <c r="AB144" i="7" a="1"/>
  <c r="AB144" i="7" s="1"/>
  <c r="AB145" i="7" a="1"/>
  <c r="AB145" i="7" s="1"/>
  <c r="AB146" i="7" a="1"/>
  <c r="AB146" i="7" s="1"/>
  <c r="AB147" i="7" a="1"/>
  <c r="AB147" i="7" s="1"/>
  <c r="AB148" i="7" a="1"/>
  <c r="AB148" i="7" s="1"/>
  <c r="N4" i="1"/>
  <c r="E33" i="12"/>
  <c r="F33" i="12" s="1"/>
  <c r="E32" i="12"/>
  <c r="F32" i="12" s="1"/>
  <c r="E31" i="12"/>
  <c r="F31" i="12" s="1"/>
  <c r="E204" i="12"/>
  <c r="F204" i="12" s="1"/>
  <c r="E205" i="12"/>
  <c r="F205" i="12" s="1"/>
  <c r="E206" i="12"/>
  <c r="F206" i="12" s="1"/>
  <c r="E207" i="12"/>
  <c r="F207" i="12" s="1"/>
  <c r="E208" i="12"/>
  <c r="F208" i="12" s="1"/>
  <c r="E209" i="12"/>
  <c r="F209" i="12" s="1"/>
  <c r="E210" i="12"/>
  <c r="F210" i="12" s="1"/>
  <c r="E211" i="12"/>
  <c r="F211" i="12" s="1"/>
  <c r="E212" i="12"/>
  <c r="F212" i="12" s="1"/>
  <c r="E213" i="12"/>
  <c r="F213" i="12" s="1"/>
  <c r="E214" i="12"/>
  <c r="F214" i="12" s="1"/>
  <c r="E215" i="12"/>
  <c r="F215" i="12" s="1"/>
  <c r="E216" i="12"/>
  <c r="F216" i="12" s="1"/>
  <c r="E217" i="12"/>
  <c r="F217" i="12" s="1"/>
  <c r="E218" i="12"/>
  <c r="F218" i="12" s="1"/>
  <c r="E219" i="12"/>
  <c r="F219" i="12" s="1"/>
  <c r="E220" i="12"/>
  <c r="F220" i="12" s="1"/>
  <c r="E221" i="12"/>
  <c r="F221" i="12" s="1"/>
  <c r="E222" i="12"/>
  <c r="F222" i="12" s="1"/>
  <c r="E223" i="12"/>
  <c r="F223" i="12" s="1"/>
  <c r="E224" i="12"/>
  <c r="F224" i="12" s="1"/>
  <c r="E225" i="12"/>
  <c r="F225" i="12" s="1"/>
  <c r="E226" i="12"/>
  <c r="F226" i="12" s="1"/>
  <c r="E227" i="12"/>
  <c r="F227" i="12" s="1"/>
  <c r="E228" i="12"/>
  <c r="F228" i="12" s="1"/>
  <c r="E229" i="12"/>
  <c r="F229" i="12" s="1"/>
  <c r="E230" i="12"/>
  <c r="F230" i="12" s="1"/>
  <c r="E231" i="12"/>
  <c r="F231" i="12" s="1"/>
  <c r="E232" i="12"/>
  <c r="F232" i="12" s="1"/>
  <c r="E233" i="12"/>
  <c r="F233" i="12" s="1"/>
  <c r="E234" i="12"/>
  <c r="F234" i="12" s="1"/>
  <c r="E235" i="12"/>
  <c r="F235" i="12" s="1"/>
  <c r="E236" i="12"/>
  <c r="F236" i="12" s="1"/>
  <c r="E237" i="12"/>
  <c r="F237" i="12" s="1"/>
  <c r="E238" i="12"/>
  <c r="F238" i="12" s="1"/>
  <c r="E239" i="12"/>
  <c r="F239" i="12" s="1"/>
  <c r="E240" i="12"/>
  <c r="F240" i="12" s="1"/>
  <c r="E241" i="12"/>
  <c r="F241" i="12" s="1"/>
  <c r="E242" i="12"/>
  <c r="F242" i="12" s="1"/>
  <c r="E243" i="12"/>
  <c r="F243" i="12" s="1"/>
  <c r="E244" i="12"/>
  <c r="F244" i="12" s="1"/>
  <c r="E245" i="12"/>
  <c r="F245" i="12" s="1"/>
  <c r="E246" i="12"/>
  <c r="F246" i="12" s="1"/>
  <c r="E247" i="12"/>
  <c r="F247" i="12" s="1"/>
  <c r="E248" i="12"/>
  <c r="F248" i="12" s="1"/>
  <c r="E249" i="12"/>
  <c r="F249" i="12" s="1"/>
  <c r="E250" i="12"/>
  <c r="F250" i="12" s="1"/>
  <c r="E251" i="12"/>
  <c r="F251" i="12" s="1"/>
  <c r="E252" i="12"/>
  <c r="F252" i="12" s="1"/>
  <c r="E253" i="12"/>
  <c r="F253" i="12" s="1"/>
  <c r="E254" i="12"/>
  <c r="F254" i="12" s="1"/>
  <c r="E255" i="12"/>
  <c r="F255" i="12" s="1"/>
  <c r="E256" i="12"/>
  <c r="F256" i="12" s="1"/>
  <c r="E257" i="12"/>
  <c r="F257" i="12" s="1"/>
  <c r="E258" i="12"/>
  <c r="F258" i="12" s="1"/>
  <c r="E259" i="12"/>
  <c r="F259" i="12" s="1"/>
  <c r="E260" i="12"/>
  <c r="F260" i="12" s="1"/>
  <c r="E261" i="12"/>
  <c r="F261" i="12" s="1"/>
  <c r="E262" i="12"/>
  <c r="F262" i="12" s="1"/>
  <c r="E263" i="12"/>
  <c r="F263" i="12" s="1"/>
  <c r="E264" i="12"/>
  <c r="F264" i="12" s="1"/>
  <c r="E265" i="12"/>
  <c r="F265" i="12" s="1"/>
  <c r="E266" i="12"/>
  <c r="F266" i="12" s="1"/>
  <c r="E267" i="12"/>
  <c r="F267" i="12" s="1"/>
  <c r="E268" i="12"/>
  <c r="F268" i="12" s="1"/>
  <c r="E269" i="12"/>
  <c r="F269" i="12" s="1"/>
  <c r="E270" i="12"/>
  <c r="F270" i="12" s="1"/>
  <c r="E271" i="12"/>
  <c r="F271" i="12" s="1"/>
  <c r="E272" i="12"/>
  <c r="F272" i="12" s="1"/>
  <c r="E273" i="12"/>
  <c r="F273" i="12" s="1"/>
  <c r="E274" i="12"/>
  <c r="F274" i="12" s="1"/>
  <c r="E275" i="12"/>
  <c r="F275" i="12" s="1"/>
  <c r="E276" i="12"/>
  <c r="F276" i="12" s="1"/>
  <c r="E277" i="12"/>
  <c r="F277" i="12" s="1"/>
  <c r="E278" i="12"/>
  <c r="F278" i="12" s="1"/>
  <c r="E279" i="12"/>
  <c r="F279" i="12" s="1"/>
  <c r="E280" i="12"/>
  <c r="F280" i="12" s="1"/>
  <c r="E281" i="12"/>
  <c r="F281" i="12" s="1"/>
  <c r="E282" i="12"/>
  <c r="F282" i="12" s="1"/>
  <c r="E283" i="12"/>
  <c r="F283" i="12" s="1"/>
  <c r="E284" i="12"/>
  <c r="F284" i="12" s="1"/>
  <c r="E285" i="12"/>
  <c r="F285" i="12" s="1"/>
  <c r="E286" i="12"/>
  <c r="F286" i="12" s="1"/>
  <c r="E287" i="12"/>
  <c r="F287" i="12" s="1"/>
  <c r="E288" i="12"/>
  <c r="F288" i="12" s="1"/>
  <c r="E289" i="12"/>
  <c r="F289" i="12" s="1"/>
  <c r="E290" i="12"/>
  <c r="F290" i="12" s="1"/>
  <c r="E291" i="12"/>
  <c r="F291" i="12" s="1"/>
  <c r="E292" i="12"/>
  <c r="F292" i="12" s="1"/>
  <c r="E293" i="12"/>
  <c r="F293" i="12" s="1"/>
  <c r="E294" i="12"/>
  <c r="F294" i="12" s="1"/>
  <c r="E295" i="12"/>
  <c r="F295" i="12" s="1"/>
  <c r="E296" i="12"/>
  <c r="F296" i="12" s="1"/>
  <c r="E297" i="12"/>
  <c r="F297" i="12" s="1"/>
  <c r="E298" i="12"/>
  <c r="F298" i="12" s="1"/>
  <c r="E299" i="12"/>
  <c r="F299" i="12" s="1"/>
  <c r="E300" i="12"/>
  <c r="F300" i="12" s="1"/>
  <c r="E301" i="12"/>
  <c r="F301" i="12" s="1"/>
  <c r="E302" i="12"/>
  <c r="F302" i="12" s="1"/>
  <c r="E303" i="12"/>
  <c r="F303" i="12" s="1"/>
  <c r="E304" i="12"/>
  <c r="F304" i="12" s="1"/>
  <c r="E305" i="12"/>
  <c r="F305" i="12" s="1"/>
  <c r="E306" i="12"/>
  <c r="F306" i="12" s="1"/>
  <c r="E307" i="12"/>
  <c r="F307" i="12" s="1"/>
  <c r="E308" i="12"/>
  <c r="F308" i="12" s="1"/>
  <c r="E309" i="12"/>
  <c r="F309" i="12" s="1"/>
  <c r="E310" i="12"/>
  <c r="F310" i="12" s="1"/>
  <c r="E311" i="12"/>
  <c r="F311" i="12" s="1"/>
  <c r="E312" i="12"/>
  <c r="F312" i="12" s="1"/>
  <c r="E313" i="12"/>
  <c r="F313" i="12" s="1"/>
  <c r="E314" i="12"/>
  <c r="F314" i="12" s="1"/>
  <c r="E315" i="12"/>
  <c r="F315" i="12" s="1"/>
  <c r="E316" i="12"/>
  <c r="F316" i="12" s="1"/>
  <c r="E317" i="12"/>
  <c r="F317" i="12" s="1"/>
  <c r="E318" i="12"/>
  <c r="F318" i="12" s="1"/>
  <c r="E319" i="12"/>
  <c r="F319" i="12" s="1"/>
  <c r="E320" i="12"/>
  <c r="F320" i="12" s="1"/>
  <c r="E321" i="12"/>
  <c r="F321" i="12" s="1"/>
  <c r="E322" i="12"/>
  <c r="F322" i="12" s="1"/>
  <c r="E323" i="12"/>
  <c r="F323" i="12" s="1"/>
  <c r="E324" i="12"/>
  <c r="F324" i="12" s="1"/>
  <c r="E325" i="12"/>
  <c r="F325" i="12" s="1"/>
  <c r="E326" i="12"/>
  <c r="F326" i="12" s="1"/>
  <c r="E327" i="12"/>
  <c r="F327" i="12" s="1"/>
  <c r="E328" i="12"/>
  <c r="F328" i="12" s="1"/>
  <c r="E329" i="12"/>
  <c r="F329" i="12" s="1"/>
  <c r="E330" i="12"/>
  <c r="F330" i="12" s="1"/>
  <c r="E331" i="12"/>
  <c r="F331" i="12" s="1"/>
  <c r="E332" i="12"/>
  <c r="F332" i="12" s="1"/>
  <c r="E333" i="12"/>
  <c r="F333" i="12" s="1"/>
  <c r="E334" i="12"/>
  <c r="F334" i="12" s="1"/>
  <c r="E335" i="12"/>
  <c r="F335" i="12" s="1"/>
  <c r="E336" i="12"/>
  <c r="F336" i="12" s="1"/>
  <c r="E337" i="12"/>
  <c r="F337" i="12" s="1"/>
  <c r="E338" i="12"/>
  <c r="F338" i="12" s="1"/>
  <c r="E339" i="12"/>
  <c r="F339" i="12" s="1"/>
  <c r="E340" i="12"/>
  <c r="F340" i="12" s="1"/>
  <c r="E341" i="12"/>
  <c r="F341" i="12" s="1"/>
  <c r="E342" i="12"/>
  <c r="F342" i="12" s="1"/>
  <c r="E343" i="12"/>
  <c r="F343" i="12" s="1"/>
  <c r="E344" i="12"/>
  <c r="F344" i="12" s="1"/>
  <c r="E345" i="12"/>
  <c r="F345" i="12" s="1"/>
  <c r="E346" i="12"/>
  <c r="F346" i="12" s="1"/>
  <c r="E347" i="12"/>
  <c r="F347" i="12" s="1"/>
  <c r="E348" i="12"/>
  <c r="F348" i="12" s="1"/>
  <c r="E349" i="12"/>
  <c r="F349" i="12" s="1"/>
  <c r="E350" i="12"/>
  <c r="F350" i="12" s="1"/>
  <c r="E351" i="12"/>
  <c r="F351" i="12" s="1"/>
  <c r="E352" i="12"/>
  <c r="F352" i="12" s="1"/>
  <c r="E353" i="12"/>
  <c r="F353" i="12" s="1"/>
  <c r="E354" i="12"/>
  <c r="F354" i="12" s="1"/>
  <c r="E355" i="12"/>
  <c r="F355" i="12" s="1"/>
  <c r="E356" i="12"/>
  <c r="F356" i="12" s="1"/>
  <c r="E357" i="12"/>
  <c r="F357" i="12" s="1"/>
  <c r="E358" i="12"/>
  <c r="F358" i="12" s="1"/>
  <c r="E359" i="12"/>
  <c r="F359" i="12" s="1"/>
  <c r="E360" i="12"/>
  <c r="F360" i="12" s="1"/>
  <c r="E361" i="12"/>
  <c r="F361" i="12" s="1"/>
  <c r="E362" i="12"/>
  <c r="F362" i="12" s="1"/>
  <c r="E363" i="12"/>
  <c r="F363" i="12" s="1"/>
  <c r="E364" i="12"/>
  <c r="F364" i="12" s="1"/>
  <c r="E365" i="12"/>
  <c r="F365" i="12" s="1"/>
  <c r="E366" i="12"/>
  <c r="F366" i="12" s="1"/>
  <c r="E367" i="12"/>
  <c r="F367" i="12" s="1"/>
  <c r="E368" i="12"/>
  <c r="F368" i="12" s="1"/>
  <c r="E369" i="12"/>
  <c r="F369" i="12" s="1"/>
  <c r="E370" i="12"/>
  <c r="F370" i="12" s="1"/>
  <c r="E371" i="12"/>
  <c r="F371" i="12" s="1"/>
  <c r="E372" i="12"/>
  <c r="F372" i="12" s="1"/>
  <c r="E373" i="12"/>
  <c r="F373" i="12" s="1"/>
  <c r="E374" i="12"/>
  <c r="F374" i="12" s="1"/>
  <c r="E375" i="12"/>
  <c r="F375" i="12" s="1"/>
  <c r="E376" i="12"/>
  <c r="F376" i="12" s="1"/>
  <c r="E377" i="12"/>
  <c r="F377" i="12" s="1"/>
  <c r="E378" i="12"/>
  <c r="F378" i="12" s="1"/>
  <c r="E379" i="12"/>
  <c r="F379" i="12" s="1"/>
  <c r="E380" i="12"/>
  <c r="F380" i="12" s="1"/>
  <c r="E381" i="12"/>
  <c r="F381" i="12" s="1"/>
  <c r="E382" i="12"/>
  <c r="F382" i="12" s="1"/>
  <c r="E383" i="12"/>
  <c r="F383" i="12" s="1"/>
  <c r="E384" i="12"/>
  <c r="F384" i="12" s="1"/>
  <c r="E385" i="12"/>
  <c r="F385" i="12" s="1"/>
  <c r="E386" i="12"/>
  <c r="F386" i="12" s="1"/>
  <c r="E387" i="12"/>
  <c r="F387" i="12" s="1"/>
  <c r="E388" i="12"/>
  <c r="F388" i="12" s="1"/>
  <c r="E389" i="12"/>
  <c r="F389" i="12" s="1"/>
  <c r="E390" i="12"/>
  <c r="F390" i="12" s="1"/>
  <c r="E391" i="12"/>
  <c r="F391" i="12" s="1"/>
  <c r="E392" i="12"/>
  <c r="F392" i="12" s="1"/>
  <c r="E393" i="12"/>
  <c r="F393" i="12" s="1"/>
  <c r="E394" i="12"/>
  <c r="F394" i="12" s="1"/>
  <c r="E395" i="12"/>
  <c r="F395" i="12" s="1"/>
  <c r="E396" i="12"/>
  <c r="F396" i="12" s="1"/>
  <c r="E397" i="12"/>
  <c r="F397" i="12" s="1"/>
  <c r="E398" i="12"/>
  <c r="F398" i="12" s="1"/>
  <c r="E399" i="12"/>
  <c r="F399" i="12" s="1"/>
  <c r="E400" i="12"/>
  <c r="F400" i="12" s="1"/>
  <c r="E401" i="12"/>
  <c r="F401" i="12" s="1"/>
  <c r="E402" i="12"/>
  <c r="F402" i="12" s="1"/>
  <c r="E403" i="12"/>
  <c r="F403" i="12" s="1"/>
  <c r="E404" i="12"/>
  <c r="F404" i="12" s="1"/>
  <c r="E405" i="12"/>
  <c r="F405" i="12" s="1"/>
  <c r="E406" i="12"/>
  <c r="F406" i="12" s="1"/>
  <c r="E407" i="12"/>
  <c r="F407" i="12" s="1"/>
  <c r="E408" i="12"/>
  <c r="F408" i="12" s="1"/>
  <c r="E409" i="12"/>
  <c r="F409" i="12" s="1"/>
  <c r="E410" i="12"/>
  <c r="F410" i="12" s="1"/>
  <c r="E411" i="12"/>
  <c r="F411" i="12" s="1"/>
  <c r="E412" i="12"/>
  <c r="F412" i="12" s="1"/>
  <c r="E413" i="12"/>
  <c r="F413" i="12" s="1"/>
  <c r="E414" i="12"/>
  <c r="F414" i="12" s="1"/>
  <c r="E415" i="12"/>
  <c r="F415" i="12" s="1"/>
  <c r="E416" i="12"/>
  <c r="F416" i="12" s="1"/>
  <c r="E417" i="12"/>
  <c r="F417" i="12" s="1"/>
  <c r="E418" i="12"/>
  <c r="F418" i="12" s="1"/>
  <c r="E419" i="12"/>
  <c r="F419" i="12" s="1"/>
  <c r="E420" i="12"/>
  <c r="F420" i="12" s="1"/>
  <c r="E421" i="12"/>
  <c r="F421" i="12" s="1"/>
  <c r="I5" i="12"/>
  <c r="I4" i="12"/>
  <c r="E5" i="12"/>
  <c r="F5" i="12" s="1"/>
  <c r="E6" i="12"/>
  <c r="F6" i="12" s="1"/>
  <c r="E7" i="12"/>
  <c r="F7" i="12" s="1"/>
  <c r="E8" i="12"/>
  <c r="F8" i="12" s="1"/>
  <c r="E9" i="12"/>
  <c r="F9" i="12" s="1"/>
  <c r="E10" i="12"/>
  <c r="F10" i="12" s="1"/>
  <c r="E11" i="12"/>
  <c r="F11" i="12" s="1"/>
  <c r="E12" i="12"/>
  <c r="F12" i="12" s="1"/>
  <c r="E13" i="12"/>
  <c r="F13" i="12" s="1"/>
  <c r="E14" i="12"/>
  <c r="F14" i="12" s="1"/>
  <c r="E15" i="12"/>
  <c r="F15" i="12" s="1"/>
  <c r="E16" i="12"/>
  <c r="F16" i="12" s="1"/>
  <c r="E17" i="12"/>
  <c r="F17" i="12" s="1"/>
  <c r="E18" i="12"/>
  <c r="F18" i="12" s="1"/>
  <c r="E19" i="12"/>
  <c r="F19" i="12" s="1"/>
  <c r="E20" i="12"/>
  <c r="F20" i="12" s="1"/>
  <c r="E21" i="12"/>
  <c r="F21" i="12" s="1"/>
  <c r="E22" i="12"/>
  <c r="F22" i="12" s="1"/>
  <c r="E23" i="12"/>
  <c r="F23" i="12" s="1"/>
  <c r="E24" i="12"/>
  <c r="F24" i="12" s="1"/>
  <c r="E25" i="12"/>
  <c r="F25" i="12" s="1"/>
  <c r="E26" i="12"/>
  <c r="F26" i="12" s="1"/>
  <c r="E27" i="12"/>
  <c r="F27" i="12" s="1"/>
  <c r="E28" i="12"/>
  <c r="F28" i="12" s="1"/>
  <c r="E29" i="12"/>
  <c r="F29" i="12" s="1"/>
  <c r="E30" i="12"/>
  <c r="F30" i="12" s="1"/>
  <c r="E34" i="12"/>
  <c r="F34" i="12" s="1"/>
  <c r="E35" i="12"/>
  <c r="F35" i="12" s="1"/>
  <c r="E36" i="12"/>
  <c r="F36" i="12" s="1"/>
  <c r="E37" i="12"/>
  <c r="F37" i="12" s="1"/>
  <c r="E38" i="12"/>
  <c r="F38" i="12" s="1"/>
  <c r="E39" i="12"/>
  <c r="F39" i="12" s="1"/>
  <c r="E40" i="12"/>
  <c r="F40" i="12" s="1"/>
  <c r="E41" i="12"/>
  <c r="F41" i="12" s="1"/>
  <c r="E42" i="12"/>
  <c r="F42" i="12" s="1"/>
  <c r="E43" i="12"/>
  <c r="F43" i="12" s="1"/>
  <c r="E44" i="12"/>
  <c r="F44" i="12" s="1"/>
  <c r="E45" i="12"/>
  <c r="F45" i="12" s="1"/>
  <c r="E46" i="12"/>
  <c r="F46" i="12" s="1"/>
  <c r="E47" i="12"/>
  <c r="F47" i="12" s="1"/>
  <c r="E48" i="12"/>
  <c r="F48" i="12" s="1"/>
  <c r="E49" i="12"/>
  <c r="F49" i="12" s="1"/>
  <c r="E50" i="12"/>
  <c r="F50" i="12" s="1"/>
  <c r="E51" i="12"/>
  <c r="F51" i="12" s="1"/>
  <c r="E52" i="12"/>
  <c r="F52" i="12" s="1"/>
  <c r="E53" i="12"/>
  <c r="F53" i="12" s="1"/>
  <c r="E54" i="12"/>
  <c r="F54" i="12" s="1"/>
  <c r="E55" i="12"/>
  <c r="F55" i="12" s="1"/>
  <c r="E56" i="12"/>
  <c r="F56" i="12" s="1"/>
  <c r="E57" i="12"/>
  <c r="F57" i="12" s="1"/>
  <c r="E58" i="12"/>
  <c r="F58" i="12" s="1"/>
  <c r="E59" i="12"/>
  <c r="F59" i="12" s="1"/>
  <c r="E60" i="12"/>
  <c r="F60" i="12" s="1"/>
  <c r="E61" i="12"/>
  <c r="F61" i="12" s="1"/>
  <c r="E62" i="12"/>
  <c r="F62" i="12" s="1"/>
  <c r="E63" i="12"/>
  <c r="F63" i="12" s="1"/>
  <c r="E64" i="12"/>
  <c r="F64" i="12" s="1"/>
  <c r="E65" i="12"/>
  <c r="F65" i="12" s="1"/>
  <c r="E66" i="12"/>
  <c r="F66" i="12" s="1"/>
  <c r="E67" i="12"/>
  <c r="F67" i="12" s="1"/>
  <c r="E68" i="12"/>
  <c r="F68" i="12" s="1"/>
  <c r="E69" i="12"/>
  <c r="F69" i="12" s="1"/>
  <c r="E70" i="12"/>
  <c r="F70" i="12" s="1"/>
  <c r="E71" i="12"/>
  <c r="F71" i="12" s="1"/>
  <c r="E72" i="12"/>
  <c r="F72" i="12" s="1"/>
  <c r="E73" i="12"/>
  <c r="F73" i="12" s="1"/>
  <c r="E74" i="12"/>
  <c r="F74" i="12" s="1"/>
  <c r="E75" i="12"/>
  <c r="F75" i="12" s="1"/>
  <c r="E76" i="12"/>
  <c r="F76" i="12" s="1"/>
  <c r="E77" i="12"/>
  <c r="F77" i="12" s="1"/>
  <c r="E78" i="12"/>
  <c r="F78" i="12" s="1"/>
  <c r="E79" i="12"/>
  <c r="F79" i="12" s="1"/>
  <c r="E80" i="12"/>
  <c r="F80" i="12" s="1"/>
  <c r="E81" i="12"/>
  <c r="F81" i="12" s="1"/>
  <c r="E82" i="12"/>
  <c r="F82" i="12" s="1"/>
  <c r="E83" i="12"/>
  <c r="F83" i="12" s="1"/>
  <c r="E84" i="12"/>
  <c r="F84" i="12" s="1"/>
  <c r="E85" i="12"/>
  <c r="F85" i="12" s="1"/>
  <c r="E86" i="12"/>
  <c r="F86" i="12" s="1"/>
  <c r="E87" i="12"/>
  <c r="F87" i="12" s="1"/>
  <c r="E88" i="12"/>
  <c r="F88" i="12" s="1"/>
  <c r="E89" i="12"/>
  <c r="F89" i="12" s="1"/>
  <c r="E90" i="12"/>
  <c r="F90" i="12" s="1"/>
  <c r="E91" i="12"/>
  <c r="F91" i="12" s="1"/>
  <c r="E92" i="12"/>
  <c r="F92" i="12" s="1"/>
  <c r="E93" i="12"/>
  <c r="F93" i="12" s="1"/>
  <c r="E94" i="12"/>
  <c r="F94" i="12" s="1"/>
  <c r="E95" i="12"/>
  <c r="F95" i="12" s="1"/>
  <c r="E96" i="12"/>
  <c r="F96" i="12" s="1"/>
  <c r="E97" i="12"/>
  <c r="F97" i="12" s="1"/>
  <c r="E98" i="12"/>
  <c r="F98" i="12" s="1"/>
  <c r="E99" i="12"/>
  <c r="F99" i="12" s="1"/>
  <c r="E100" i="12"/>
  <c r="F100" i="12" s="1"/>
  <c r="E101" i="12"/>
  <c r="F101" i="12" s="1"/>
  <c r="E102" i="12"/>
  <c r="F102" i="12" s="1"/>
  <c r="E103" i="12"/>
  <c r="F103" i="12" s="1"/>
  <c r="E104" i="12"/>
  <c r="F104" i="12" s="1"/>
  <c r="E105" i="12"/>
  <c r="F105" i="12" s="1"/>
  <c r="E106" i="12"/>
  <c r="F106" i="12" s="1"/>
  <c r="E107" i="12"/>
  <c r="F107" i="12" s="1"/>
  <c r="E108" i="12"/>
  <c r="F108" i="12" s="1"/>
  <c r="E109" i="12"/>
  <c r="F109" i="12" s="1"/>
  <c r="E110" i="12"/>
  <c r="F110" i="12" s="1"/>
  <c r="E111" i="12"/>
  <c r="F111" i="12" s="1"/>
  <c r="E112" i="12"/>
  <c r="F112" i="12" s="1"/>
  <c r="E113" i="12"/>
  <c r="F113" i="12" s="1"/>
  <c r="E114" i="12"/>
  <c r="F114" i="12" s="1"/>
  <c r="E115" i="12"/>
  <c r="F115" i="12" s="1"/>
  <c r="E116" i="12"/>
  <c r="F116" i="12" s="1"/>
  <c r="E117" i="12"/>
  <c r="F117" i="12" s="1"/>
  <c r="E118" i="12"/>
  <c r="F118" i="12" s="1"/>
  <c r="E119" i="12"/>
  <c r="F119" i="12" s="1"/>
  <c r="E120" i="12"/>
  <c r="F120" i="12" s="1"/>
  <c r="E121" i="12"/>
  <c r="F121" i="12" s="1"/>
  <c r="E122" i="12"/>
  <c r="F122" i="12" s="1"/>
  <c r="E123" i="12"/>
  <c r="F123" i="12" s="1"/>
  <c r="E124" i="12"/>
  <c r="F124" i="12" s="1"/>
  <c r="E125" i="12"/>
  <c r="F125" i="12" s="1"/>
  <c r="E126" i="12"/>
  <c r="F126" i="12" s="1"/>
  <c r="E127" i="12"/>
  <c r="F127" i="12" s="1"/>
  <c r="E128" i="12"/>
  <c r="F128" i="12" s="1"/>
  <c r="E129" i="12"/>
  <c r="F129" i="12" s="1"/>
  <c r="E130" i="12"/>
  <c r="F130" i="12" s="1"/>
  <c r="E131" i="12"/>
  <c r="F131" i="12" s="1"/>
  <c r="E132" i="12"/>
  <c r="F132" i="12" s="1"/>
  <c r="E133" i="12"/>
  <c r="F133" i="12" s="1"/>
  <c r="E134" i="12"/>
  <c r="F134" i="12" s="1"/>
  <c r="E135" i="12"/>
  <c r="F135" i="12" s="1"/>
  <c r="E136" i="12"/>
  <c r="F136" i="12" s="1"/>
  <c r="E137" i="12"/>
  <c r="F137" i="12" s="1"/>
  <c r="E138" i="12"/>
  <c r="F138" i="12" s="1"/>
  <c r="E139" i="12"/>
  <c r="F139" i="12" s="1"/>
  <c r="E140" i="12"/>
  <c r="F140" i="12" s="1"/>
  <c r="E141" i="12"/>
  <c r="F141" i="12" s="1"/>
  <c r="E142" i="12"/>
  <c r="F142" i="12" s="1"/>
  <c r="E143" i="12"/>
  <c r="F143" i="12" s="1"/>
  <c r="E144" i="12"/>
  <c r="F144" i="12" s="1"/>
  <c r="E145" i="12"/>
  <c r="F145" i="12" s="1"/>
  <c r="E146" i="12"/>
  <c r="F146" i="12" s="1"/>
  <c r="E147" i="12"/>
  <c r="F147" i="12" s="1"/>
  <c r="E148" i="12"/>
  <c r="F148" i="12" s="1"/>
  <c r="E149" i="12"/>
  <c r="F149" i="12" s="1"/>
  <c r="E150" i="12"/>
  <c r="F150" i="12" s="1"/>
  <c r="E151" i="12"/>
  <c r="F151" i="12" s="1"/>
  <c r="E152" i="12"/>
  <c r="F152" i="12" s="1"/>
  <c r="E153" i="12"/>
  <c r="F153" i="12" s="1"/>
  <c r="E154" i="12"/>
  <c r="F154" i="12" s="1"/>
  <c r="E155" i="12"/>
  <c r="F155" i="12" s="1"/>
  <c r="E156" i="12"/>
  <c r="F156" i="12" s="1"/>
  <c r="E157" i="12"/>
  <c r="F157" i="12" s="1"/>
  <c r="E158" i="12"/>
  <c r="F158" i="12" s="1"/>
  <c r="E159" i="12"/>
  <c r="F159" i="12" s="1"/>
  <c r="E160" i="12"/>
  <c r="F160" i="12" s="1"/>
  <c r="E161" i="12"/>
  <c r="F161" i="12" s="1"/>
  <c r="E162" i="12"/>
  <c r="F162" i="12" s="1"/>
  <c r="E163" i="12"/>
  <c r="F163" i="12" s="1"/>
  <c r="E164" i="12"/>
  <c r="F164" i="12" s="1"/>
  <c r="E165" i="12"/>
  <c r="F165" i="12" s="1"/>
  <c r="E166" i="12"/>
  <c r="F166" i="12" s="1"/>
  <c r="E167" i="12"/>
  <c r="F167" i="12" s="1"/>
  <c r="E168" i="12"/>
  <c r="F168" i="12" s="1"/>
  <c r="E169" i="12"/>
  <c r="F169" i="12" s="1"/>
  <c r="E170" i="12"/>
  <c r="F170" i="12" s="1"/>
  <c r="E171" i="12"/>
  <c r="F171" i="12" s="1"/>
  <c r="E172" i="12"/>
  <c r="F172" i="12" s="1"/>
  <c r="E173" i="12"/>
  <c r="F173" i="12" s="1"/>
  <c r="E174" i="12"/>
  <c r="F174" i="12" s="1"/>
  <c r="E175" i="12"/>
  <c r="F175" i="12" s="1"/>
  <c r="E176" i="12"/>
  <c r="F176" i="12" s="1"/>
  <c r="E177" i="12"/>
  <c r="F177" i="12" s="1"/>
  <c r="E178" i="12"/>
  <c r="F178" i="12" s="1"/>
  <c r="E179" i="12"/>
  <c r="F179" i="12" s="1"/>
  <c r="E180" i="12"/>
  <c r="F180" i="12" s="1"/>
  <c r="E181" i="12"/>
  <c r="F181" i="12" s="1"/>
  <c r="E182" i="12"/>
  <c r="F182" i="12" s="1"/>
  <c r="E183" i="12"/>
  <c r="F183" i="12" s="1"/>
  <c r="E184" i="12"/>
  <c r="F184" i="12" s="1"/>
  <c r="E185" i="12"/>
  <c r="F185" i="12" s="1"/>
  <c r="E186" i="12"/>
  <c r="F186" i="12" s="1"/>
  <c r="E187" i="12"/>
  <c r="F187" i="12" s="1"/>
  <c r="E188" i="12"/>
  <c r="F188" i="12" s="1"/>
  <c r="E189" i="12"/>
  <c r="F189" i="12" s="1"/>
  <c r="E190" i="12"/>
  <c r="F190" i="12" s="1"/>
  <c r="E191" i="12"/>
  <c r="F191" i="12" s="1"/>
  <c r="E192" i="12"/>
  <c r="F192" i="12" s="1"/>
  <c r="E193" i="12"/>
  <c r="F193" i="12" s="1"/>
  <c r="E194" i="12"/>
  <c r="F194" i="12" s="1"/>
  <c r="E195" i="12"/>
  <c r="F195" i="12" s="1"/>
  <c r="E196" i="12"/>
  <c r="F196" i="12" s="1"/>
  <c r="E197" i="12"/>
  <c r="F197" i="12" s="1"/>
  <c r="E198" i="12"/>
  <c r="F198" i="12" s="1"/>
  <c r="E199" i="12"/>
  <c r="F199" i="12" s="1"/>
  <c r="E200" i="12"/>
  <c r="F200" i="12" s="1"/>
  <c r="E201" i="12"/>
  <c r="F201" i="12" s="1"/>
  <c r="E202" i="12"/>
  <c r="F202" i="12" s="1"/>
  <c r="E203" i="12"/>
  <c r="F203" i="12" s="1"/>
  <c r="E4" i="12"/>
  <c r="F4" i="12" s="1"/>
  <c r="AC4" i="7"/>
  <c r="AC146" i="7"/>
  <c r="AC5" i="7"/>
  <c r="AC6" i="7"/>
  <c r="AC7" i="7"/>
  <c r="AC8" i="7"/>
  <c r="AC9" i="7"/>
  <c r="AC10" i="7"/>
  <c r="AC11" i="7"/>
  <c r="AC12" i="7"/>
  <c r="AC13" i="7"/>
  <c r="AC14" i="7"/>
  <c r="AC15" i="7"/>
  <c r="AC16" i="7"/>
  <c r="AC17" i="7"/>
  <c r="AC18" i="7"/>
  <c r="AC19" i="7"/>
  <c r="AC20" i="7"/>
  <c r="AC21" i="7"/>
  <c r="AC22" i="7"/>
  <c r="AC23" i="7"/>
  <c r="AC24" i="7"/>
  <c r="AC25" i="7"/>
  <c r="AC26" i="7"/>
  <c r="AC27" i="7"/>
  <c r="AC28" i="7"/>
  <c r="AC29" i="7"/>
  <c r="AC30" i="7"/>
  <c r="AC31" i="7"/>
  <c r="AC32" i="7"/>
  <c r="AC33" i="7"/>
  <c r="AC34" i="7"/>
  <c r="AC35" i="7"/>
  <c r="AC36" i="7"/>
  <c r="AC37" i="7"/>
  <c r="AC38" i="7"/>
  <c r="AC39" i="7"/>
  <c r="AC40" i="7"/>
  <c r="AC41" i="7"/>
  <c r="AC42" i="7"/>
  <c r="AC43" i="7"/>
  <c r="AC44" i="7"/>
  <c r="AC45" i="7"/>
  <c r="AC46" i="7"/>
  <c r="AC47" i="7"/>
  <c r="AC48" i="7"/>
  <c r="AC49" i="7"/>
  <c r="AC50" i="7"/>
  <c r="AC51" i="7"/>
  <c r="AC52" i="7"/>
  <c r="AC53" i="7"/>
  <c r="AC54" i="7"/>
  <c r="AC55" i="7"/>
  <c r="AC56" i="7"/>
  <c r="AC57" i="7"/>
  <c r="AC58" i="7"/>
  <c r="AC59" i="7"/>
  <c r="AC60" i="7"/>
  <c r="AC61" i="7"/>
  <c r="AC62" i="7"/>
  <c r="AC63" i="7"/>
  <c r="AC64" i="7"/>
  <c r="AC65" i="7"/>
  <c r="AC66" i="7"/>
  <c r="AC67" i="7"/>
  <c r="AC68" i="7"/>
  <c r="AC69" i="7"/>
  <c r="AC70" i="7"/>
  <c r="AC71" i="7"/>
  <c r="AC72" i="7"/>
  <c r="AC73" i="7"/>
  <c r="AC74" i="7"/>
  <c r="AC75" i="7"/>
  <c r="AC76" i="7"/>
  <c r="AC77" i="7"/>
  <c r="AC78" i="7"/>
  <c r="AC79" i="7"/>
  <c r="AC80" i="7"/>
  <c r="AC81" i="7"/>
  <c r="AC82" i="7"/>
  <c r="AC83" i="7"/>
  <c r="AC84" i="7"/>
  <c r="AC85" i="7"/>
  <c r="AC86" i="7"/>
  <c r="AC87" i="7"/>
  <c r="AC88" i="7"/>
  <c r="AC89" i="7"/>
  <c r="AC90" i="7"/>
  <c r="AC91" i="7"/>
  <c r="AC92" i="7"/>
  <c r="AC93" i="7"/>
  <c r="AC94" i="7"/>
  <c r="AC95" i="7"/>
  <c r="AC96" i="7"/>
  <c r="AC97" i="7"/>
  <c r="AC98" i="7"/>
  <c r="AC99" i="7"/>
  <c r="AC100" i="7"/>
  <c r="AC101" i="7"/>
  <c r="AC102" i="7"/>
  <c r="AC103" i="7"/>
  <c r="AC104" i="7"/>
  <c r="AC105" i="7"/>
  <c r="AC106" i="7"/>
  <c r="AC107" i="7"/>
  <c r="AC108" i="7"/>
  <c r="AC109" i="7"/>
  <c r="AC110" i="7"/>
  <c r="AC111" i="7"/>
  <c r="AC112" i="7"/>
  <c r="AC113" i="7"/>
  <c r="AC114" i="7"/>
  <c r="AC115" i="7"/>
  <c r="AC116" i="7"/>
  <c r="AC117" i="7"/>
  <c r="AC118" i="7"/>
  <c r="AC119" i="7"/>
  <c r="AC120" i="7"/>
  <c r="AC121" i="7"/>
  <c r="AC122" i="7"/>
  <c r="AC123" i="7"/>
  <c r="AC124" i="7"/>
  <c r="AC125" i="7"/>
  <c r="AC126" i="7"/>
  <c r="AC127" i="7"/>
  <c r="AC128" i="7"/>
  <c r="AC129" i="7"/>
  <c r="AC130" i="7"/>
  <c r="AC131" i="7"/>
  <c r="AC132" i="7"/>
  <c r="AC133" i="7"/>
  <c r="AC134" i="7"/>
  <c r="AC135" i="7"/>
  <c r="AC136" i="7"/>
  <c r="AC137" i="7"/>
  <c r="AC138" i="7"/>
  <c r="AC139" i="7"/>
  <c r="AC140" i="7"/>
  <c r="AC141" i="7"/>
  <c r="AC142" i="7"/>
  <c r="AC143" i="7"/>
  <c r="AC144" i="7"/>
  <c r="AC145" i="7"/>
  <c r="H26" i="11"/>
  <c r="H25" i="11"/>
  <c r="M26" i="11"/>
  <c r="M25" i="11"/>
  <c r="M24" i="11"/>
  <c r="M23" i="11"/>
  <c r="M22" i="11"/>
  <c r="M21" i="11"/>
  <c r="M20" i="11"/>
  <c r="M19" i="11"/>
  <c r="M18" i="11"/>
  <c r="M17" i="11"/>
  <c r="M16" i="11"/>
  <c r="M15" i="11"/>
  <c r="M14" i="11"/>
  <c r="M13" i="11"/>
  <c r="M12" i="11"/>
  <c r="H12" i="11"/>
  <c r="M11" i="11"/>
  <c r="H11" i="11"/>
  <c r="M10" i="11"/>
  <c r="H10" i="11"/>
  <c r="M9" i="11"/>
  <c r="H9" i="11"/>
  <c r="M8" i="11"/>
  <c r="H8" i="11"/>
  <c r="M7" i="11"/>
  <c r="H7" i="11"/>
  <c r="M6" i="11"/>
  <c r="M5" i="11"/>
  <c r="H5" i="11"/>
  <c r="M4" i="11"/>
  <c r="M3" i="11"/>
  <c r="I3" i="12"/>
  <c r="L29" i="11" l="1"/>
  <c r="K28" i="11"/>
  <c r="K36" i="11"/>
  <c r="K33" i="11"/>
  <c r="K27" i="11"/>
  <c r="K39" i="11"/>
  <c r="K37" i="11"/>
  <c r="K30" i="11"/>
  <c r="K40" i="11"/>
  <c r="L31" i="11"/>
  <c r="L28" i="11"/>
  <c r="L40" i="11"/>
  <c r="L30" i="11"/>
  <c r="L27" i="11"/>
  <c r="L39" i="11"/>
  <c r="K38" i="11"/>
  <c r="L36" i="11"/>
  <c r="K35" i="11"/>
  <c r="K32" i="11"/>
  <c r="K29" i="11"/>
  <c r="L34" i="11"/>
  <c r="L38" i="11"/>
  <c r="L35" i="11"/>
  <c r="K34" i="11"/>
  <c r="L32" i="11"/>
  <c r="K31" i="11"/>
  <c r="L37" i="11"/>
  <c r="L33" i="11"/>
  <c r="L15" i="11"/>
  <c r="K8" i="1"/>
  <c r="I6" i="12"/>
  <c r="K13" i="11"/>
  <c r="K5" i="11"/>
  <c r="K21" i="11"/>
  <c r="K3" i="11"/>
  <c r="K14" i="11"/>
  <c r="K20" i="11"/>
  <c r="K23" i="11"/>
  <c r="K25" i="11"/>
  <c r="K17" i="11"/>
  <c r="K6" i="11"/>
  <c r="K4" i="11"/>
  <c r="K22" i="11"/>
  <c r="K11" i="11"/>
  <c r="K16" i="11"/>
  <c r="K15" i="11"/>
  <c r="K12" i="11"/>
  <c r="K7" i="11"/>
  <c r="K18" i="11"/>
  <c r="L17" i="11"/>
  <c r="L3" i="11"/>
  <c r="L24" i="11"/>
  <c r="L9" i="11"/>
  <c r="L19" i="11"/>
  <c r="L16" i="11"/>
  <c r="L20" i="11"/>
  <c r="L26" i="11"/>
  <c r="L21" i="11"/>
  <c r="H13" i="11"/>
  <c r="L5" i="11"/>
  <c r="L23" i="11"/>
  <c r="L12" i="11"/>
  <c r="L10" i="11"/>
  <c r="L18" i="11"/>
  <c r="L14" i="11"/>
  <c r="L8" i="11"/>
  <c r="L11" i="11"/>
  <c r="L7" i="11"/>
  <c r="K10" i="11"/>
  <c r="K9" i="11"/>
  <c r="K26" i="11"/>
  <c r="K19" i="11"/>
  <c r="K8" i="11"/>
  <c r="K24" i="11"/>
  <c r="L6" i="11"/>
  <c r="L22" i="11"/>
  <c r="L13" i="11"/>
  <c r="L25" i="11"/>
  <c r="L4" i="11"/>
  <c r="K4" i="1"/>
  <c r="AC148" i="7"/>
  <c r="M2" i="7" s="1"/>
  <c r="AB3" i="7"/>
  <c r="I7" i="12"/>
  <c r="H23" i="11"/>
  <c r="H16" i="11"/>
  <c r="H17" i="11"/>
  <c r="F4" i="7" l="1"/>
  <c r="F16" i="7"/>
  <c r="F12" i="7"/>
  <c r="F18" i="7"/>
  <c r="F10" i="7"/>
  <c r="F15" i="7"/>
  <c r="F17" i="7"/>
  <c r="F13" i="7"/>
  <c r="F9" i="7"/>
  <c r="F14" i="7"/>
  <c r="F19" i="7"/>
  <c r="F11" i="7"/>
  <c r="F22" i="7"/>
  <c r="F20" i="7"/>
  <c r="F21" i="7"/>
  <c r="F23" i="7"/>
  <c r="F8" i="7"/>
  <c r="F24" i="7"/>
  <c r="F25" i="7"/>
  <c r="F26" i="7"/>
  <c r="F6" i="7"/>
  <c r="F5" i="7"/>
  <c r="H22" i="11"/>
  <c r="H20" i="11"/>
  <c r="F146" i="7"/>
  <c r="F98" i="7"/>
  <c r="F50" i="7"/>
  <c r="F108" i="7"/>
  <c r="F44" i="7"/>
  <c r="F81" i="7"/>
  <c r="F131" i="7"/>
  <c r="F83" i="7"/>
  <c r="F51" i="7"/>
  <c r="F128" i="7"/>
  <c r="F32" i="7"/>
  <c r="F93" i="7"/>
  <c r="F7" i="7"/>
  <c r="F134" i="7"/>
  <c r="F118" i="7"/>
  <c r="F102" i="7"/>
  <c r="F86" i="7"/>
  <c r="F70" i="7"/>
  <c r="F54" i="7"/>
  <c r="F38" i="7"/>
  <c r="F116" i="7"/>
  <c r="F84" i="7"/>
  <c r="F52" i="7"/>
  <c r="F121" i="7"/>
  <c r="F89" i="7"/>
  <c r="F57" i="7"/>
  <c r="F135" i="7"/>
  <c r="F119" i="7"/>
  <c r="F103" i="7"/>
  <c r="F87" i="7"/>
  <c r="F71" i="7"/>
  <c r="F55" i="7"/>
  <c r="F39" i="7"/>
  <c r="F136" i="7"/>
  <c r="F104" i="7"/>
  <c r="F72" i="7"/>
  <c r="F40" i="7"/>
  <c r="F133" i="7"/>
  <c r="F101" i="7"/>
  <c r="F69" i="7"/>
  <c r="F41" i="7"/>
  <c r="F138" i="7"/>
  <c r="F122" i="7"/>
  <c r="F106" i="7"/>
  <c r="F90" i="7"/>
  <c r="F74" i="7"/>
  <c r="F58" i="7"/>
  <c r="F42" i="7"/>
  <c r="F124" i="7"/>
  <c r="F92" i="7"/>
  <c r="F60" i="7"/>
  <c r="F28" i="7"/>
  <c r="F129" i="7"/>
  <c r="F97" i="7"/>
  <c r="F65" i="7"/>
  <c r="F33" i="7"/>
  <c r="F139" i="7"/>
  <c r="F123" i="7"/>
  <c r="F107" i="7"/>
  <c r="F91" i="7"/>
  <c r="F75" i="7"/>
  <c r="F59" i="7"/>
  <c r="F43" i="7"/>
  <c r="F27" i="7"/>
  <c r="F142" i="7"/>
  <c r="F126" i="7"/>
  <c r="F110" i="7"/>
  <c r="F94" i="7"/>
  <c r="F78" i="7"/>
  <c r="F62" i="7"/>
  <c r="F46" i="7"/>
  <c r="F30" i="7"/>
  <c r="F132" i="7"/>
  <c r="F100" i="7"/>
  <c r="F68" i="7"/>
  <c r="F36" i="7"/>
  <c r="F137" i="7"/>
  <c r="F105" i="7"/>
  <c r="F73" i="7"/>
  <c r="F37" i="7"/>
  <c r="F143" i="7"/>
  <c r="F127" i="7"/>
  <c r="F111" i="7"/>
  <c r="F95" i="7"/>
  <c r="F79" i="7"/>
  <c r="F63" i="7"/>
  <c r="F47" i="7"/>
  <c r="F31" i="7"/>
  <c r="F144" i="7"/>
  <c r="F120" i="7"/>
  <c r="F88" i="7"/>
  <c r="F56" i="7"/>
  <c r="F117" i="7"/>
  <c r="F85" i="7"/>
  <c r="F53" i="7"/>
  <c r="F130" i="7"/>
  <c r="F114" i="7"/>
  <c r="F82" i="7"/>
  <c r="F66" i="7"/>
  <c r="F34" i="7"/>
  <c r="F76" i="7"/>
  <c r="F141" i="7"/>
  <c r="F113" i="7"/>
  <c r="F49" i="7"/>
  <c r="F147" i="7"/>
  <c r="F115" i="7"/>
  <c r="F99" i="7"/>
  <c r="F67" i="7"/>
  <c r="F35" i="7"/>
  <c r="F96" i="7"/>
  <c r="F64" i="7"/>
  <c r="F125" i="7"/>
  <c r="F61" i="7"/>
  <c r="F29" i="7"/>
  <c r="F140" i="7"/>
  <c r="F145" i="7"/>
  <c r="F80" i="7"/>
  <c r="F112" i="7"/>
  <c r="F48" i="7"/>
  <c r="F45" i="7"/>
  <c r="F77" i="7"/>
  <c r="F109" i="7"/>
  <c r="H21" i="11"/>
  <c r="H19" i="11"/>
  <c r="H6" i="7" l="1"/>
  <c r="I6" i="7" s="1"/>
  <c r="J6" i="7" s="1"/>
  <c r="H109" i="7"/>
  <c r="I109" i="7" s="1"/>
  <c r="J109" i="7" s="1"/>
  <c r="H112" i="7"/>
  <c r="I112" i="7" s="1"/>
  <c r="J112" i="7" s="1"/>
  <c r="H64" i="7"/>
  <c r="I64" i="7" s="1"/>
  <c r="J64" i="7" s="1"/>
  <c r="H67" i="7"/>
  <c r="I67" i="7" s="1"/>
  <c r="J67" i="7" s="1"/>
  <c r="H18" i="7"/>
  <c r="I18" i="7" s="1"/>
  <c r="J18" i="7" s="1"/>
  <c r="H21" i="7"/>
  <c r="I21" i="7" s="1"/>
  <c r="J21" i="7" s="1"/>
  <c r="H24" i="7"/>
  <c r="I24" i="7" s="1"/>
  <c r="J24" i="7" s="1"/>
  <c r="H79" i="7"/>
  <c r="I79" i="7" s="1"/>
  <c r="J79" i="7" s="1"/>
  <c r="H137" i="7"/>
  <c r="I137" i="7" s="1"/>
  <c r="J137" i="7" s="1"/>
  <c r="H132" i="7"/>
  <c r="I132" i="7" s="1"/>
  <c r="J132" i="7" s="1"/>
  <c r="H142" i="7"/>
  <c r="I142" i="7" s="1"/>
  <c r="J142" i="7" s="1"/>
  <c r="H75" i="7"/>
  <c r="I75" i="7" s="1"/>
  <c r="J75" i="7" s="1"/>
  <c r="H139" i="7"/>
  <c r="I139" i="7" s="1"/>
  <c r="J139" i="7" s="1"/>
  <c r="H124" i="7"/>
  <c r="I124" i="7" s="1"/>
  <c r="J124" i="7" s="1"/>
  <c r="H138" i="7"/>
  <c r="I138" i="7" s="1"/>
  <c r="J138" i="7" s="1"/>
  <c r="H69" i="7"/>
  <c r="I69" i="7" s="1"/>
  <c r="J69" i="7" s="1"/>
  <c r="H39" i="7"/>
  <c r="I39" i="7" s="1"/>
  <c r="J39" i="7" s="1"/>
  <c r="H103" i="7"/>
  <c r="I103" i="7" s="1"/>
  <c r="J103" i="7" s="1"/>
  <c r="H52" i="7"/>
  <c r="I52" i="7" s="1"/>
  <c r="J52" i="7" s="1"/>
  <c r="H102" i="7"/>
  <c r="I102" i="7" s="1"/>
  <c r="J102" i="7" s="1"/>
  <c r="H45" i="7"/>
  <c r="I45" i="7" s="1"/>
  <c r="J45" i="7" s="1"/>
  <c r="H17" i="7"/>
  <c r="I17" i="7" s="1"/>
  <c r="J17" i="7" s="1"/>
  <c r="H61" i="7"/>
  <c r="I61" i="7" s="1"/>
  <c r="J61" i="7" s="1"/>
  <c r="H19" i="7"/>
  <c r="I19" i="7" s="1"/>
  <c r="J19" i="7" s="1"/>
  <c r="H115" i="7"/>
  <c r="I115" i="7" s="1"/>
  <c r="J115" i="7" s="1"/>
  <c r="H141" i="7"/>
  <c r="I141" i="7" s="1"/>
  <c r="J141" i="7" s="1"/>
  <c r="H66" i="7"/>
  <c r="I66" i="7" s="1"/>
  <c r="J66" i="7" s="1"/>
  <c r="H16" i="7"/>
  <c r="I16" i="7" s="1"/>
  <c r="J16" i="7" s="1"/>
  <c r="H85" i="7"/>
  <c r="I85" i="7" s="1"/>
  <c r="J85" i="7" s="1"/>
  <c r="H88" i="7"/>
  <c r="I88" i="7" s="1"/>
  <c r="J88" i="7" s="1"/>
  <c r="H47" i="7"/>
  <c r="I47" i="7" s="1"/>
  <c r="J47" i="7" s="1"/>
  <c r="H111" i="7"/>
  <c r="I111" i="7" s="1"/>
  <c r="J111" i="7" s="1"/>
  <c r="H73" i="7"/>
  <c r="I73" i="7" s="1"/>
  <c r="J73" i="7" s="1"/>
  <c r="H68" i="7"/>
  <c r="I68" i="7" s="1"/>
  <c r="J68" i="7" s="1"/>
  <c r="H46" i="7"/>
  <c r="I46" i="7" s="1"/>
  <c r="J46" i="7" s="1"/>
  <c r="H110" i="7"/>
  <c r="I110" i="7" s="1"/>
  <c r="J110" i="7" s="1"/>
  <c r="H15" i="7"/>
  <c r="I15" i="7" s="1"/>
  <c r="J15" i="7" s="1"/>
  <c r="H43" i="7"/>
  <c r="I43" i="7" s="1"/>
  <c r="J43" i="7" s="1"/>
  <c r="H107" i="7"/>
  <c r="I107" i="7" s="1"/>
  <c r="J107" i="7" s="1"/>
  <c r="H65" i="7"/>
  <c r="I65" i="7" s="1"/>
  <c r="J65" i="7" s="1"/>
  <c r="H60" i="7"/>
  <c r="I60" i="7" s="1"/>
  <c r="J60" i="7" s="1"/>
  <c r="H42" i="7"/>
  <c r="I42" i="7" s="1"/>
  <c r="J42" i="7" s="1"/>
  <c r="H106" i="7"/>
  <c r="I106" i="7" s="1"/>
  <c r="J106" i="7" s="1"/>
  <c r="H11" i="7"/>
  <c r="I11" i="7" s="1"/>
  <c r="J11" i="7" s="1"/>
  <c r="H133" i="7"/>
  <c r="I133" i="7" s="1"/>
  <c r="J133" i="7" s="1"/>
  <c r="H136" i="7"/>
  <c r="I136" i="7" s="1"/>
  <c r="J136" i="7" s="1"/>
  <c r="H71" i="7"/>
  <c r="I71" i="7" s="1"/>
  <c r="J71" i="7" s="1"/>
  <c r="H135" i="7"/>
  <c r="I135" i="7" s="1"/>
  <c r="J135" i="7" s="1"/>
  <c r="H121" i="7"/>
  <c r="I121" i="7" s="1"/>
  <c r="J121" i="7" s="1"/>
  <c r="H116" i="7"/>
  <c r="I116" i="7" s="1"/>
  <c r="J116" i="7" s="1"/>
  <c r="H70" i="7"/>
  <c r="I70" i="7" s="1"/>
  <c r="J70" i="7" s="1"/>
  <c r="H134" i="7"/>
  <c r="I134" i="7" s="1"/>
  <c r="J134" i="7" s="1"/>
  <c r="H93" i="7"/>
  <c r="I93" i="7" s="1"/>
  <c r="J93" i="7" s="1"/>
  <c r="H83" i="7"/>
  <c r="I83" i="7" s="1"/>
  <c r="J83" i="7" s="1"/>
  <c r="H108" i="7"/>
  <c r="I108" i="7" s="1"/>
  <c r="J108" i="7" s="1"/>
  <c r="H10" i="7"/>
  <c r="I10" i="7" s="1"/>
  <c r="J10" i="7" s="1"/>
  <c r="H77" i="7"/>
  <c r="I77" i="7" s="1"/>
  <c r="J77" i="7" s="1"/>
  <c r="H80" i="7"/>
  <c r="I80" i="7" s="1"/>
  <c r="J80" i="7" s="1"/>
  <c r="H29" i="7"/>
  <c r="I29" i="7" s="1"/>
  <c r="J29" i="7" s="1"/>
  <c r="H96" i="7"/>
  <c r="I96" i="7" s="1"/>
  <c r="J96" i="7" s="1"/>
  <c r="H99" i="7"/>
  <c r="I99" i="7" s="1"/>
  <c r="J99" i="7" s="1"/>
  <c r="H113" i="7"/>
  <c r="I113" i="7" s="1"/>
  <c r="J113" i="7" s="1"/>
  <c r="H34" i="7"/>
  <c r="I34" i="7" s="1"/>
  <c r="J34" i="7" s="1"/>
  <c r="H130" i="7"/>
  <c r="I130" i="7" s="1"/>
  <c r="J130" i="7" s="1"/>
  <c r="H53" i="7"/>
  <c r="I53" i="7" s="1"/>
  <c r="J53" i="7" s="1"/>
  <c r="H56" i="7"/>
  <c r="I56" i="7" s="1"/>
  <c r="J56" i="7" s="1"/>
  <c r="H31" i="7"/>
  <c r="I31" i="7" s="1"/>
  <c r="J31" i="7" s="1"/>
  <c r="H95" i="7"/>
  <c r="I95" i="7" s="1"/>
  <c r="J95" i="7" s="1"/>
  <c r="H37" i="7"/>
  <c r="I37" i="7" s="1"/>
  <c r="J37" i="7" s="1"/>
  <c r="H36" i="7"/>
  <c r="I36" i="7" s="1"/>
  <c r="J36" i="7" s="1"/>
  <c r="H30" i="7"/>
  <c r="I30" i="7" s="1"/>
  <c r="J30" i="7" s="1"/>
  <c r="H94" i="7"/>
  <c r="I94" i="7" s="1"/>
  <c r="J94" i="7" s="1"/>
  <c r="H12" i="7"/>
  <c r="I12" i="7" s="1"/>
  <c r="J12" i="7" s="1"/>
  <c r="H27" i="7"/>
  <c r="I27" i="7" s="1"/>
  <c r="J27" i="7" s="1"/>
  <c r="H91" i="7"/>
  <c r="I91" i="7" s="1"/>
  <c r="J91" i="7" s="1"/>
  <c r="H33" i="7"/>
  <c r="I33" i="7" s="1"/>
  <c r="J33" i="7" s="1"/>
  <c r="H28" i="7"/>
  <c r="I28" i="7" s="1"/>
  <c r="J28" i="7" s="1"/>
  <c r="H26" i="7"/>
  <c r="I26" i="7" s="1"/>
  <c r="J26" i="7" s="1"/>
  <c r="H90" i="7"/>
  <c r="I90" i="7" s="1"/>
  <c r="J90" i="7" s="1"/>
  <c r="H8" i="7"/>
  <c r="I8" i="7" s="1"/>
  <c r="J8" i="7" s="1"/>
  <c r="H101" i="7"/>
  <c r="I101" i="7" s="1"/>
  <c r="J101" i="7" s="1"/>
  <c r="H104" i="7"/>
  <c r="I104" i="7" s="1"/>
  <c r="J104" i="7" s="1"/>
  <c r="H55" i="7"/>
  <c r="I55" i="7" s="1"/>
  <c r="J55" i="7" s="1"/>
  <c r="H119" i="7"/>
  <c r="I119" i="7" s="1"/>
  <c r="J119" i="7" s="1"/>
  <c r="H89" i="7"/>
  <c r="I89" i="7" s="1"/>
  <c r="J89" i="7" s="1"/>
  <c r="H84" i="7"/>
  <c r="I84" i="7" s="1"/>
  <c r="J84" i="7" s="1"/>
  <c r="H54" i="7"/>
  <c r="I54" i="7" s="1"/>
  <c r="J54" i="7" s="1"/>
  <c r="H118" i="7"/>
  <c r="I118" i="7" s="1"/>
  <c r="J118" i="7" s="1"/>
  <c r="H9" i="7"/>
  <c r="I9" i="7" s="1"/>
  <c r="J9" i="7" s="1"/>
  <c r="H51" i="7"/>
  <c r="I51" i="7" s="1"/>
  <c r="J51" i="7" s="1"/>
  <c r="H44" i="7"/>
  <c r="I44" i="7" s="1"/>
  <c r="J44" i="7" s="1"/>
  <c r="H146" i="7"/>
  <c r="I146" i="7" s="1"/>
  <c r="J146" i="7" s="1"/>
  <c r="H4" i="7"/>
  <c r="I4" i="7" s="1"/>
  <c r="J4" i="7" s="1"/>
  <c r="H5" i="7"/>
  <c r="I5" i="7" s="1"/>
  <c r="J5" i="7" s="1"/>
  <c r="H140" i="7"/>
  <c r="I140" i="7" s="1"/>
  <c r="J140" i="7" s="1"/>
  <c r="H49" i="7"/>
  <c r="I49" i="7" s="1"/>
  <c r="J49" i="7" s="1"/>
  <c r="H114" i="7"/>
  <c r="I114" i="7" s="1"/>
  <c r="J114" i="7" s="1"/>
  <c r="H144" i="7"/>
  <c r="I144" i="7" s="1"/>
  <c r="J144" i="7" s="1"/>
  <c r="H143" i="7"/>
  <c r="I143" i="7" s="1"/>
  <c r="J143" i="7" s="1"/>
  <c r="H78" i="7"/>
  <c r="I78" i="7" s="1"/>
  <c r="J78" i="7" s="1"/>
  <c r="H13" i="7"/>
  <c r="I13" i="7" s="1"/>
  <c r="J13" i="7" s="1"/>
  <c r="H129" i="7"/>
  <c r="I129" i="7" s="1"/>
  <c r="J129" i="7" s="1"/>
  <c r="H74" i="7"/>
  <c r="I74" i="7" s="1"/>
  <c r="J74" i="7" s="1"/>
  <c r="H72" i="7"/>
  <c r="I72" i="7" s="1"/>
  <c r="J72" i="7" s="1"/>
  <c r="H57" i="7"/>
  <c r="I57" i="7" s="1"/>
  <c r="J57" i="7" s="1"/>
  <c r="H38" i="7"/>
  <c r="I38" i="7" s="1"/>
  <c r="J38" i="7" s="1"/>
  <c r="H7" i="7"/>
  <c r="I7" i="7" s="1"/>
  <c r="J7" i="7" s="1"/>
  <c r="H128" i="7"/>
  <c r="I128" i="7" s="1"/>
  <c r="J128" i="7" s="1"/>
  <c r="H81" i="7"/>
  <c r="I81" i="7" s="1"/>
  <c r="J81" i="7" s="1"/>
  <c r="H98" i="7"/>
  <c r="I98" i="7" s="1"/>
  <c r="J98" i="7" s="1"/>
  <c r="H48" i="7"/>
  <c r="I48" i="7" s="1"/>
  <c r="J48" i="7" s="1"/>
  <c r="H145" i="7"/>
  <c r="I145" i="7" s="1"/>
  <c r="J145" i="7" s="1"/>
  <c r="H125" i="7"/>
  <c r="I125" i="7" s="1"/>
  <c r="J125" i="7" s="1"/>
  <c r="H35" i="7"/>
  <c r="I35" i="7" s="1"/>
  <c r="J35" i="7" s="1"/>
  <c r="H147" i="7"/>
  <c r="I147" i="7" s="1"/>
  <c r="J147" i="7" s="1"/>
  <c r="H76" i="7"/>
  <c r="I76" i="7" s="1"/>
  <c r="J76" i="7" s="1"/>
  <c r="H82" i="7"/>
  <c r="I82" i="7" s="1"/>
  <c r="J82" i="7" s="1"/>
  <c r="H117" i="7"/>
  <c r="I117" i="7" s="1"/>
  <c r="J117" i="7" s="1"/>
  <c r="H120" i="7"/>
  <c r="I120" i="7" s="1"/>
  <c r="J120" i="7" s="1"/>
  <c r="H63" i="7"/>
  <c r="I63" i="7" s="1"/>
  <c r="J63" i="7" s="1"/>
  <c r="H127" i="7"/>
  <c r="I127" i="7" s="1"/>
  <c r="J127" i="7" s="1"/>
  <c r="H105" i="7"/>
  <c r="I105" i="7" s="1"/>
  <c r="J105" i="7" s="1"/>
  <c r="H100" i="7"/>
  <c r="I100" i="7" s="1"/>
  <c r="J100" i="7" s="1"/>
  <c r="H62" i="7"/>
  <c r="I62" i="7" s="1"/>
  <c r="J62" i="7" s="1"/>
  <c r="H126" i="7"/>
  <c r="I126" i="7" s="1"/>
  <c r="J126" i="7" s="1"/>
  <c r="H59" i="7"/>
  <c r="I59" i="7" s="1"/>
  <c r="J59" i="7" s="1"/>
  <c r="H123" i="7"/>
  <c r="I123" i="7" s="1"/>
  <c r="J123" i="7" s="1"/>
  <c r="H97" i="7"/>
  <c r="I97" i="7" s="1"/>
  <c r="J97" i="7" s="1"/>
  <c r="H92" i="7"/>
  <c r="I92" i="7" s="1"/>
  <c r="J92" i="7" s="1"/>
  <c r="H58" i="7"/>
  <c r="I58" i="7" s="1"/>
  <c r="J58" i="7" s="1"/>
  <c r="H122" i="7"/>
  <c r="I122" i="7" s="1"/>
  <c r="J122" i="7" s="1"/>
  <c r="H41" i="7"/>
  <c r="I41" i="7" s="1"/>
  <c r="J41" i="7" s="1"/>
  <c r="H40" i="7"/>
  <c r="I40" i="7" s="1"/>
  <c r="J40" i="7" s="1"/>
  <c r="H23" i="7"/>
  <c r="I23" i="7" s="1"/>
  <c r="J23" i="7" s="1"/>
  <c r="H87" i="7"/>
  <c r="I87" i="7" s="1"/>
  <c r="J87" i="7" s="1"/>
  <c r="H25" i="7"/>
  <c r="I25" i="7" s="1"/>
  <c r="J25" i="7" s="1"/>
  <c r="H20" i="7"/>
  <c r="I20" i="7" s="1"/>
  <c r="J20" i="7" s="1"/>
  <c r="H22" i="7"/>
  <c r="I22" i="7" s="1"/>
  <c r="J22" i="7" s="1"/>
  <c r="H86" i="7"/>
  <c r="I86" i="7" s="1"/>
  <c r="J86" i="7" s="1"/>
  <c r="H14" i="7"/>
  <c r="I14" i="7" s="1"/>
  <c r="J14" i="7" s="1"/>
  <c r="H32" i="7"/>
  <c r="I32" i="7" s="1"/>
  <c r="J32" i="7" s="1"/>
  <c r="H131" i="7"/>
  <c r="I131" i="7" s="1"/>
  <c r="J131" i="7" s="1"/>
  <c r="H50" i="7"/>
  <c r="I50" i="7" s="1"/>
  <c r="J50" i="7" s="1"/>
  <c r="M3" i="7" l="1"/>
</calcChain>
</file>

<file path=xl/sharedStrings.xml><?xml version="1.0" encoding="utf-8"?>
<sst xmlns="http://schemas.openxmlformats.org/spreadsheetml/2006/main" count="1097" uniqueCount="174">
  <si>
    <t>N</t>
  </si>
  <si>
    <t>Pa</t>
  </si>
  <si>
    <t>Time Constant</t>
  </si>
  <si>
    <t>N0</t>
  </si>
  <si>
    <t>Ninf</t>
  </si>
  <si>
    <t>approach value</t>
  </si>
  <si>
    <t>Calc N</t>
  </si>
  <si>
    <t>Error</t>
  </si>
  <si>
    <t>Error Sq</t>
  </si>
  <si>
    <t>time con</t>
  </si>
  <si>
    <t>N^2</t>
  </si>
  <si>
    <t>Adj N</t>
  </si>
  <si>
    <t>Normal Force
Plateau (N)</t>
  </si>
  <si>
    <t>Shear Rate</t>
  </si>
  <si>
    <t>Average</t>
  </si>
  <si>
    <r>
      <t>N</t>
    </r>
    <r>
      <rPr>
        <vertAlign val="subscript"/>
        <sz val="11"/>
        <color theme="1"/>
        <rFont val="Calibri"/>
        <family val="2"/>
        <scheme val="minor"/>
      </rPr>
      <t>0</t>
    </r>
  </si>
  <si>
    <t>cohesion</t>
  </si>
  <si>
    <t>Normal Force 1 (N)</t>
  </si>
  <si>
    <t>Time 1 (s)</t>
  </si>
  <si>
    <t>N^2 sum</t>
  </si>
  <si>
    <t>N^2 Error</t>
  </si>
  <si>
    <t>Initial Slope</t>
  </si>
  <si>
    <t>Final Slope</t>
  </si>
  <si>
    <t>Initial Y</t>
  </si>
  <si>
    <t>Final Y</t>
  </si>
  <si>
    <t>Initial X</t>
  </si>
  <si>
    <t>Final X</t>
  </si>
  <si>
    <t>Initial b</t>
  </si>
  <si>
    <t>Final b</t>
  </si>
  <si>
    <t>MidSlope</t>
  </si>
  <si>
    <t>Mid b</t>
  </si>
  <si>
    <t>YP stress</t>
  </si>
  <si>
    <t>YP strain</t>
  </si>
  <si>
    <t>BP stress</t>
  </si>
  <si>
    <t>BP strain</t>
  </si>
  <si>
    <t>initial</t>
  </si>
  <si>
    <t>final</t>
  </si>
  <si>
    <t>Intersect X</t>
  </si>
  <si>
    <t>Yield Stress</t>
  </si>
  <si>
    <t>Yield Strain</t>
  </si>
  <si>
    <t>Bubble Pinch Stress</t>
  </si>
  <si>
    <t>Bubble Pinch Strain</t>
  </si>
  <si>
    <t>Product</t>
  </si>
  <si>
    <t>Comparison</t>
  </si>
  <si>
    <t>G' X/O stress</t>
  </si>
  <si>
    <t>G' X/O strain</t>
  </si>
  <si>
    <t>G' X/O Stress</t>
  </si>
  <si>
    <t>G' X/O Strain</t>
  </si>
  <si>
    <t>time</t>
  </si>
  <si>
    <t>shear rate</t>
  </si>
  <si>
    <t>normal force</t>
  </si>
  <si>
    <t>shear stress</t>
  </si>
  <si>
    <t>s</t>
  </si>
  <si>
    <t>1/s</t>
  </si>
  <si>
    <t>G' Plateau</t>
  </si>
  <si>
    <t>G" Plateau</t>
  </si>
  <si>
    <t>G" plateau</t>
  </si>
  <si>
    <t>G' plateau</t>
  </si>
  <si>
    <t>Pt D</t>
  </si>
  <si>
    <t>t95</t>
  </si>
  <si>
    <t>Fracture/Yield (categorical)</t>
  </si>
  <si>
    <t>F/Y Stress @ 5 s (Pa)</t>
  </si>
  <si>
    <t>F/Y Stress @ 60 s (Pa)</t>
  </si>
  <si>
    <t>F/Y Stress 60s-5s Delta (Pa)</t>
  </si>
  <si>
    <t>Fracture Peak Stress (Pa)</t>
  </si>
  <si>
    <t>adj. shear stress</t>
  </si>
  <si>
    <t>adj. shear rate</t>
  </si>
  <si>
    <t>Dave Mallon &lt;-58200884&gt;</t>
  </si>
  <si>
    <t>Fracture(1)/Banding(0)</t>
  </si>
  <si>
    <t>F/B Fracture Peak Stress</t>
  </si>
  <si>
    <t>F/B Shear Stress @ 5s</t>
  </si>
  <si>
    <t>F/B Shear Stress @ 60s</t>
  </si>
  <si>
    <t>Test Type</t>
  </si>
  <si>
    <t>Comments/Other Test Description</t>
  </si>
  <si>
    <t>Testing Analyst</t>
  </si>
  <si>
    <t>Date of Testing</t>
  </si>
  <si>
    <t>Result1</t>
  </si>
  <si>
    <t>Result2</t>
  </si>
  <si>
    <t>Result3</t>
  </si>
  <si>
    <t>Result4</t>
  </si>
  <si>
    <t>Cohesion Peak Force (N)</t>
  </si>
  <si>
    <t>Cohesion Peak Time (s)</t>
  </si>
  <si>
    <t>F/B Cohesion Peak Force (N)</t>
  </si>
  <si>
    <t>F/B Cohesion Peak Time (s)</t>
  </si>
  <si>
    <t>F/B Stress 60s-5s Delta (Pa)</t>
  </si>
  <si>
    <t>Related Container</t>
  </si>
  <si>
    <t>Sample</t>
  </si>
  <si>
    <t>Sample ID#</t>
  </si>
  <si>
    <t>Test Date</t>
  </si>
  <si>
    <t>Test Code</t>
  </si>
  <si>
    <t>osc. stress</t>
  </si>
  <si>
    <t>strain</t>
  </si>
  <si>
    <t>G'</t>
  </si>
  <si>
    <t>G''</t>
  </si>
  <si>
    <t>B</t>
  </si>
  <si>
    <t>C</t>
  </si>
  <si>
    <t>G</t>
  </si>
  <si>
    <t>H</t>
  </si>
  <si>
    <t>A</t>
  </si>
  <si>
    <t>D</t>
  </si>
  <si>
    <t>E</t>
  </si>
  <si>
    <t>F</t>
  </si>
  <si>
    <t>M</t>
  </si>
  <si>
    <t>P</t>
  </si>
  <si>
    <t>I</t>
  </si>
  <si>
    <t>L</t>
  </si>
  <si>
    <t>O</t>
  </si>
  <si>
    <t>T</t>
  </si>
  <si>
    <t>J</t>
  </si>
  <si>
    <t>Q</t>
  </si>
  <si>
    <t>S</t>
  </si>
  <si>
    <t>K</t>
  </si>
  <si>
    <t>R</t>
  </si>
  <si>
    <t>U</t>
  </si>
  <si>
    <t>V</t>
  </si>
  <si>
    <t>W</t>
  </si>
  <si>
    <t>X</t>
  </si>
  <si>
    <t>t95 N-squared Error</t>
  </si>
  <si>
    <t>t95 N0</t>
  </si>
  <si>
    <t>t95 Plateau Normal Force (N)</t>
  </si>
  <si>
    <t>t95 Time Constant</t>
  </si>
  <si>
    <t>t95 Transition Time</t>
  </si>
  <si>
    <t/>
  </si>
  <si>
    <t xml:space="preserve"> Request 307 - </t>
  </si>
  <si>
    <t>EXP-15-CB97-85</t>
  </si>
  <si>
    <t>ShG BS BP Control Week 2</t>
  </si>
  <si>
    <t>EXP-15-CC44-13-CTRL2-G-FP-004</t>
  </si>
  <si>
    <t>AL</t>
  </si>
  <si>
    <t>AU</t>
  </si>
  <si>
    <t>ShG BS BP 0.63 Phenoxyethanol</t>
  </si>
  <si>
    <t>EXP-15-CC44-13-Phenoxy-G-FP-004</t>
  </si>
  <si>
    <t>AC</t>
  </si>
  <si>
    <t>AI</t>
  </si>
  <si>
    <t>ShG BS BP 0.66 Ethyl Hexanoate</t>
  </si>
  <si>
    <t>EXP-15-CC44-13-EthylHex-G-FP-004</t>
  </si>
  <si>
    <t>AB</t>
  </si>
  <si>
    <t>AO</t>
  </si>
  <si>
    <t>ShG BS BP 0.56 Phenethyl Alcohol</t>
  </si>
  <si>
    <t>EXP-15-CC44-13-PhenEth-G-FP-004</t>
  </si>
  <si>
    <t>AN</t>
  </si>
  <si>
    <t>AT</t>
  </si>
  <si>
    <t>ShG BS BP 0.71 Nonalactone</t>
  </si>
  <si>
    <t>EXP-15-CC44-13-Nonalac-G-FP-004</t>
  </si>
  <si>
    <t>Y</t>
  </si>
  <si>
    <t>AH</t>
  </si>
  <si>
    <t>ShG BS BP 0.7 Terpineol</t>
  </si>
  <si>
    <t>EXP-15-CC44-13-Terp-G-FP-004</t>
  </si>
  <si>
    <t>AJ</t>
  </si>
  <si>
    <t>AR</t>
  </si>
  <si>
    <t>ShG BS BP 1.01% Nerolidol</t>
  </si>
  <si>
    <t>EXP-15-CC44-13-Nerol-G-FP-004</t>
  </si>
  <si>
    <t>AE</t>
  </si>
  <si>
    <t>AF</t>
  </si>
  <si>
    <t>ShG BS BP 0.89 Linalyl Acetate</t>
  </si>
  <si>
    <t>EXP-15-CC44-13-LinAcet-G-FP-004</t>
  </si>
  <si>
    <t>AP</t>
  </si>
  <si>
    <t>AV</t>
  </si>
  <si>
    <t>ShG BS BP 0.61 p-Cymene</t>
  </si>
  <si>
    <t>EXP-15-CC44-13-p-Cymene-G-FP-004</t>
  </si>
  <si>
    <t>Z</t>
  </si>
  <si>
    <t>AG</t>
  </si>
  <si>
    <t>ShG BS BP 1.01 Farnesol</t>
  </si>
  <si>
    <t>EXP-15-CC44-13-Farnesol-G-FP-004</t>
  </si>
  <si>
    <t>AK</t>
  </si>
  <si>
    <t>AS</t>
  </si>
  <si>
    <t>ShG BS BP 0.83 Koavone</t>
  </si>
  <si>
    <t>EXP-15-CC44-13-Koavone-G-FP-004</t>
  </si>
  <si>
    <t>AM</t>
  </si>
  <si>
    <t>AQ</t>
  </si>
  <si>
    <t>ShG BS BP 0.7 Eucalyptol</t>
  </si>
  <si>
    <t>EXP-15-CC44-13-Eucalyptol-G-FP-004</t>
  </si>
  <si>
    <t>AA</t>
  </si>
  <si>
    <t>AD</t>
  </si>
  <si>
    <t>Procedure in EXP-15-CB97-85.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</si>
</sst>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"/>
    <numFmt numFmtId="165" formatCode="0.000"/>
    <numFmt numFmtId="166" formatCode="0.0"/>
    <numFmt numFmtId="167" formatCode="0.00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 Unicode MS"/>
      <family val="2"/>
    </font>
    <font>
      <vertAlign val="subscript"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0" fillId="0" borderId="0" xfId="0" applyAlignment="1">
      <alignment horizontal="center" wrapText="1"/>
    </xf>
    <xf numFmtId="11" fontId="0" fillId="0" borderId="0" xfId="0" applyNumberFormat="1"/>
    <xf numFmtId="0" fontId="0" fillId="0" borderId="0" xfId="0" quotePrefix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164" fontId="0" fillId="0" borderId="0" xfId="0" applyNumberFormat="1"/>
    <xf numFmtId="0" fontId="1" fillId="0" borderId="0" xfId="0" applyFont="1"/>
    <xf numFmtId="165" fontId="0" fillId="0" borderId="0" xfId="0" applyNumberFormat="1" applyFill="1" applyAlignment="1">
      <alignment horizontal="center" wrapText="1"/>
    </xf>
    <xf numFmtId="164" fontId="0" fillId="0" borderId="0" xfId="0" applyNumberFormat="1" applyFill="1" applyAlignment="1">
      <alignment horizontal="center" wrapText="1"/>
    </xf>
    <xf numFmtId="166" fontId="0" fillId="0" borderId="0" xfId="0" applyNumberFormat="1" applyFill="1" applyBorder="1" applyAlignment="1">
      <alignment horizontal="center" wrapText="1"/>
    </xf>
    <xf numFmtId="0" fontId="0" fillId="0" borderId="0" xfId="0" applyBorder="1"/>
    <xf numFmtId="0" fontId="0" fillId="0" borderId="1" xfId="0" applyFill="1" applyBorder="1" applyAlignment="1">
      <alignment horizontal="center" vertical="center" wrapText="1"/>
    </xf>
    <xf numFmtId="164" fontId="0" fillId="0" borderId="1" xfId="0" applyNumberFormat="1" applyFill="1" applyBorder="1" applyAlignment="1">
      <alignment horizontal="center" vertical="center" wrapText="1"/>
    </xf>
    <xf numFmtId="165" fontId="0" fillId="0" borderId="0" xfId="0" applyNumberFormat="1" applyBorder="1" applyAlignment="1">
      <alignment horizontal="center" vertical="center" wrapText="1"/>
    </xf>
    <xf numFmtId="164" fontId="0" fillId="0" borderId="0" xfId="0" applyNumberFormat="1" applyBorder="1" applyAlignment="1">
      <alignment horizontal="center" vertical="center" wrapText="1"/>
    </xf>
    <xf numFmtId="165" fontId="0" fillId="0" borderId="0" xfId="0" applyNumberFormat="1" applyAlignment="1">
      <alignment horizontal="center" vertical="center" wrapText="1"/>
    </xf>
    <xf numFmtId="165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 wrapText="1"/>
    </xf>
    <xf numFmtId="164" fontId="0" fillId="0" borderId="0" xfId="0" applyNumberFormat="1" applyAlignment="1">
      <alignment horizontal="center" vertical="center"/>
    </xf>
    <xf numFmtId="2" fontId="0" fillId="0" borderId="0" xfId="0" applyNumberFormat="1" applyFill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/>
    <xf numFmtId="0" fontId="0" fillId="0" borderId="0" xfId="0" applyBorder="1"/>
    <xf numFmtId="0" fontId="0" fillId="0" borderId="1" xfId="0" applyBorder="1" applyAlignment="1">
      <alignment horizontal="center" vertical="center" wrapText="1"/>
    </xf>
    <xf numFmtId="165" fontId="0" fillId="0" borderId="1" xfId="0" applyNumberFormat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 wrapText="1"/>
    </xf>
    <xf numFmtId="165" fontId="0" fillId="0" borderId="0" xfId="0" applyNumberFormat="1" applyBorder="1" applyAlignment="1">
      <alignment horizontal="center" vertical="center" wrapText="1"/>
    </xf>
    <xf numFmtId="164" fontId="0" fillId="0" borderId="0" xfId="0" applyNumberFormat="1" applyBorder="1" applyAlignment="1">
      <alignment horizontal="center" vertical="center" wrapText="1"/>
    </xf>
    <xf numFmtId="2" fontId="0" fillId="0" borderId="1" xfId="0" applyNumberFormat="1" applyFill="1" applyBorder="1" applyAlignment="1">
      <alignment horizontal="center" vertical="center" wrapText="1"/>
    </xf>
    <xf numFmtId="166" fontId="0" fillId="0" borderId="0" xfId="0" applyNumberFormat="1" applyFill="1" applyBorder="1" applyAlignment="1">
      <alignment horizontal="center" vertical="center" wrapText="1"/>
    </xf>
    <xf numFmtId="0" fontId="3" fillId="0" borderId="0" xfId="0" applyFont="1"/>
    <xf numFmtId="0" fontId="0" fillId="0" borderId="0" xfId="0"/>
    <xf numFmtId="164" fontId="0" fillId="0" borderId="0" xfId="0" applyNumberFormat="1" applyAlignment="1">
      <alignment horizontal="center"/>
    </xf>
    <xf numFmtId="167" fontId="0" fillId="0" borderId="0" xfId="0" applyNumberFormat="1"/>
    <xf numFmtId="165" fontId="0" fillId="0" borderId="0" xfId="0" applyNumberFormat="1"/>
    <xf numFmtId="49" fontId="0" fillId="0" borderId="0" xfId="0" applyNumberFormat="1"/>
    <xf numFmtId="0" fontId="0" fillId="0" borderId="1" xfId="0" applyBorder="1"/>
    <xf numFmtId="164" fontId="0" fillId="2" borderId="0" xfId="0" applyNumberFormat="1" applyFill="1"/>
    <xf numFmtId="167" fontId="0" fillId="0" borderId="0" xfId="0" applyNumberFormat="1" applyAlignment="1">
      <alignment horizontal="center"/>
    </xf>
    <xf numFmtId="2" fontId="0" fillId="0" borderId="0" xfId="0" applyNumberFormat="1" applyFill="1" applyBorder="1" applyAlignment="1">
      <alignment horizontal="center" vertical="center"/>
    </xf>
    <xf numFmtId="2" fontId="0" fillId="0" borderId="1" xfId="0" applyNumberFormat="1" applyFill="1" applyBorder="1" applyAlignment="1">
      <alignment horizontal="center" vertical="center"/>
    </xf>
    <xf numFmtId="165" fontId="0" fillId="0" borderId="1" xfId="0" applyNumberFormat="1" applyBorder="1"/>
    <xf numFmtId="2" fontId="0" fillId="0" borderId="0" xfId="0" applyNumberFormat="1"/>
    <xf numFmtId="165" fontId="0" fillId="2" borderId="0" xfId="0" applyNumberFormat="1" applyFill="1"/>
    <xf numFmtId="165" fontId="0" fillId="2" borderId="1" xfId="0" applyNumberFormat="1" applyFill="1" applyBorder="1"/>
    <xf numFmtId="0" fontId="0" fillId="0" borderId="0" xfId="0" quotePrefix="1" applyAlignment="1">
      <alignment horizontal="right"/>
    </xf>
    <xf numFmtId="0" fontId="0" fillId="0" borderId="0" xfId="0" applyNumberFormat="1"/>
    <xf numFmtId="0" fontId="3" fillId="0" borderId="1" xfId="0" applyFont="1" applyBorder="1" applyAlignment="1">
      <alignment horizontal="center" vertical="center" wrapText="1"/>
    </xf>
    <xf numFmtId="2" fontId="0" fillId="0" borderId="0" xfId="0" applyNumberFormat="1" applyBorder="1" applyAlignment="1">
      <alignment horizontal="center" vertical="center" wrapText="1"/>
    </xf>
    <xf numFmtId="165" fontId="0" fillId="0" borderId="0" xfId="0" applyNumberFormat="1" applyBorder="1" applyAlignment="1">
      <alignment horizontal="center"/>
    </xf>
    <xf numFmtId="0" fontId="4" fillId="0" borderId="0" xfId="0" applyFont="1" applyBorder="1" applyAlignment="1">
      <alignment horizontal="center" vertical="center"/>
    </xf>
    <xf numFmtId="165" fontId="0" fillId="0" borderId="0" xfId="0" applyNumberFormat="1" applyFill="1" applyBorder="1"/>
    <xf numFmtId="165" fontId="0" fillId="0" borderId="1" xfId="0" applyNumberFormat="1" applyFill="1" applyBorder="1"/>
    <xf numFmtId="0" fontId="4" fillId="0" borderId="2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Font="1"/>
    <xf numFmtId="14" fontId="0" fillId="0" borderId="0" xfId="0" applyNumberFormat="1"/>
    <xf numFmtId="14" fontId="0" fillId="0" borderId="1" xfId="0" applyNumberFormat="1" applyBorder="1"/>
    <xf numFmtId="165" fontId="0" fillId="0" borderId="0" xfId="0" applyNumberFormat="1" applyBorder="1"/>
    <xf numFmtId="2" fontId="0" fillId="0" borderId="1" xfId="0" applyNumberFormat="1" applyBorder="1"/>
    <xf numFmtId="0" fontId="3" fillId="0" borderId="0" xfId="0" applyFont="1" applyBorder="1"/>
    <xf numFmtId="0" fontId="3" fillId="0" borderId="0" xfId="0" applyFont="1" applyAlignment="1">
      <alignment horizontal="left" vertical="center"/>
    </xf>
    <xf numFmtId="166" fontId="0" fillId="0" borderId="0" xfId="0" applyNumberFormat="1" applyFill="1" applyBorder="1" applyAlignment="1">
      <alignment horizontal="center" vertical="center" wrapText="1"/>
    </xf>
    <xf numFmtId="166" fontId="0" fillId="0" borderId="1" xfId="0" applyNumberFormat="1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0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66" fontId="0" fillId="0" borderId="0" xfId="0" applyNumberFormat="1" applyFill="1" applyBorder="1" applyAlignment="1">
      <alignment horizontal="center" vertical="center" wrapText="1"/>
    </xf>
    <xf numFmtId="166" fontId="0" fillId="0" borderId="1" xfId="0" applyNumberFormat="1" applyFill="1" applyBorder="1" applyAlignment="1">
      <alignment horizontal="center" vertical="center" wrapText="1"/>
    </xf>
    <xf numFmtId="166" fontId="0" fillId="0" borderId="0" xfId="0" applyNumberFormat="1" applyFill="1" applyBorder="1" applyAlignment="1">
      <alignment horizontal="center" vertical="center" wrapText="1"/>
    </xf>
    <xf numFmtId="166" fontId="0" fillId="0" borderId="1" xfId="0" applyNumberFormat="1" applyFill="1" applyBorder="1" applyAlignment="1">
      <alignment horizontal="center" vertical="center" wrapText="1"/>
    </xf>
  </cellXfs>
  <cellStyles count="1">
    <cellStyle name="Normal" xfId="0" builtinId="0"/>
  </cellStyles>
  <dxfs count="1520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Actual</a:t>
            </a:r>
            <a:r>
              <a:rPr lang="en-US" baseline="0"/>
              <a:t> &amp; </a:t>
            </a:r>
            <a:r>
              <a:rPr lang="en-US"/>
              <a:t>Calculated</a:t>
            </a:r>
            <a:r>
              <a:rPr lang="en-US" baseline="0"/>
              <a:t> Normal vs. Time</a:t>
            </a:r>
            <a:endParaRPr lang="en-US"/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Calculated</c:v>
          </c:tx>
          <c:marker>
            <c:symbol val="none"/>
          </c:marker>
          <c:xVal>
            <c:numRef>
              <c:f>Automation!$B$4:$B$147</c:f>
              <c:numCache>
                <c:formatCode>0.000</c:formatCode>
                <c:ptCount val="144"/>
                <c:pt idx="0" formatCode="0.0000">
                  <c:v>0.24</c:v>
                </c:pt>
                <c:pt idx="1">
                  <c:v>0.44400000000000001</c:v>
                </c:pt>
                <c:pt idx="2" formatCode="0.00E+00">
                  <c:v>0.70399999999999996</c:v>
                </c:pt>
                <c:pt idx="3" formatCode="0.00E+00">
                  <c:v>1.0720000000000001</c:v>
                </c:pt>
                <c:pt idx="4" formatCode="0.00E+00">
                  <c:v>1.252</c:v>
                </c:pt>
                <c:pt idx="5" formatCode="0.00E+00">
                  <c:v>1.4239999999999999</c:v>
                </c:pt>
                <c:pt idx="6" formatCode="0.00E+00">
                  <c:v>1.58</c:v>
                </c:pt>
                <c:pt idx="7" formatCode="0.00E+00">
                  <c:v>1.8879999999999999</c:v>
                </c:pt>
                <c:pt idx="8" formatCode="0.00E+00">
                  <c:v>2.1280000000000001</c:v>
                </c:pt>
                <c:pt idx="9" formatCode="General">
                  <c:v>2.3359999999999999</c:v>
                </c:pt>
                <c:pt idx="10" formatCode="General">
                  <c:v>2.484</c:v>
                </c:pt>
                <c:pt idx="11" formatCode="General">
                  <c:v>2.7</c:v>
                </c:pt>
                <c:pt idx="12" formatCode="General">
                  <c:v>2.976</c:v>
                </c:pt>
                <c:pt idx="13" formatCode="General">
                  <c:v>3.3519999999999999</c:v>
                </c:pt>
                <c:pt idx="14" formatCode="General">
                  <c:v>3.52</c:v>
                </c:pt>
                <c:pt idx="15" formatCode="General">
                  <c:v>3.76</c:v>
                </c:pt>
                <c:pt idx="16" formatCode="General">
                  <c:v>4.016</c:v>
                </c:pt>
                <c:pt idx="17" formatCode="General">
                  <c:v>4.24</c:v>
                </c:pt>
                <c:pt idx="18" formatCode="General">
                  <c:v>4.4000000000000004</c:v>
                </c:pt>
                <c:pt idx="19" formatCode="General">
                  <c:v>4.5599999999999996</c:v>
                </c:pt>
                <c:pt idx="20" formatCode="General">
                  <c:v>4.8680000000000003</c:v>
                </c:pt>
                <c:pt idx="21" formatCode="General">
                  <c:v>5.1440000000000001</c:v>
                </c:pt>
                <c:pt idx="22" formatCode="General">
                  <c:v>5.4160000000000004</c:v>
                </c:pt>
                <c:pt idx="23" formatCode="General">
                  <c:v>5.6</c:v>
                </c:pt>
                <c:pt idx="24" formatCode="General">
                  <c:v>5.8920000000000003</c:v>
                </c:pt>
                <c:pt idx="25" formatCode="General">
                  <c:v>6.2</c:v>
                </c:pt>
                <c:pt idx="26" formatCode="General">
                  <c:v>6.4</c:v>
                </c:pt>
                <c:pt idx="27" formatCode="General">
                  <c:v>6.5919999999999996</c:v>
                </c:pt>
                <c:pt idx="28" formatCode="General">
                  <c:v>6.88</c:v>
                </c:pt>
                <c:pt idx="29" formatCode="General">
                  <c:v>7.1520000000000001</c:v>
                </c:pt>
                <c:pt idx="30" formatCode="General">
                  <c:v>7.36</c:v>
                </c:pt>
                <c:pt idx="31" formatCode="General">
                  <c:v>7.8479999999999999</c:v>
                </c:pt>
                <c:pt idx="32" formatCode="General">
                  <c:v>8.0519999999999996</c:v>
                </c:pt>
                <c:pt idx="33" formatCode="General">
                  <c:v>8.2119999999999997</c:v>
                </c:pt>
                <c:pt idx="34" formatCode="General">
                  <c:v>8.3919999999999995</c:v>
                </c:pt>
                <c:pt idx="35" formatCode="General">
                  <c:v>8.5839999999999996</c:v>
                </c:pt>
                <c:pt idx="36" formatCode="General">
                  <c:v>8.9</c:v>
                </c:pt>
                <c:pt idx="37" formatCode="General">
                  <c:v>9.1760000000000002</c:v>
                </c:pt>
                <c:pt idx="38" formatCode="General">
                  <c:v>9.3800000000000008</c:v>
                </c:pt>
                <c:pt idx="39" formatCode="General">
                  <c:v>9.5239999999999991</c:v>
                </c:pt>
                <c:pt idx="40" formatCode="General">
                  <c:v>9.7639999999999993</c:v>
                </c:pt>
                <c:pt idx="41" formatCode="General">
                  <c:v>10.084</c:v>
                </c:pt>
                <c:pt idx="42" formatCode="General">
                  <c:v>10.268000000000001</c:v>
                </c:pt>
                <c:pt idx="43" formatCode="General">
                  <c:v>10.448</c:v>
                </c:pt>
                <c:pt idx="44" formatCode="General">
                  <c:v>10.664</c:v>
                </c:pt>
                <c:pt idx="45" formatCode="General">
                  <c:v>10.964</c:v>
                </c:pt>
                <c:pt idx="46" formatCode="General">
                  <c:v>11.22</c:v>
                </c:pt>
                <c:pt idx="47" formatCode="General">
                  <c:v>11.38</c:v>
                </c:pt>
                <c:pt idx="48" formatCode="General">
                  <c:v>11.54</c:v>
                </c:pt>
                <c:pt idx="49" formatCode="General">
                  <c:v>11.86</c:v>
                </c:pt>
                <c:pt idx="50" formatCode="General">
                  <c:v>12.183999999999999</c:v>
                </c:pt>
                <c:pt idx="51" formatCode="General">
                  <c:v>12.34</c:v>
                </c:pt>
                <c:pt idx="52" formatCode="General">
                  <c:v>12.52</c:v>
                </c:pt>
                <c:pt idx="53" formatCode="General">
                  <c:v>12.788</c:v>
                </c:pt>
                <c:pt idx="54" formatCode="General">
                  <c:v>13.064</c:v>
                </c:pt>
                <c:pt idx="55" formatCode="General">
                  <c:v>13.288</c:v>
                </c:pt>
                <c:pt idx="56" formatCode="General">
                  <c:v>13.472</c:v>
                </c:pt>
                <c:pt idx="57" formatCode="General">
                  <c:v>13.624000000000001</c:v>
                </c:pt>
                <c:pt idx="58" formatCode="General">
                  <c:v>13.928000000000001</c:v>
                </c:pt>
                <c:pt idx="59" formatCode="General">
                  <c:v>14.327999999999999</c:v>
                </c:pt>
                <c:pt idx="60" formatCode="General">
                  <c:v>14.488</c:v>
                </c:pt>
                <c:pt idx="61" formatCode="General">
                  <c:v>14.667999999999999</c:v>
                </c:pt>
                <c:pt idx="62" formatCode="General">
                  <c:v>14.984</c:v>
                </c:pt>
                <c:pt idx="63" formatCode="General">
                  <c:v>15.288</c:v>
                </c:pt>
                <c:pt idx="64" formatCode="General">
                  <c:v>15.464</c:v>
                </c:pt>
                <c:pt idx="65" formatCode="General">
                  <c:v>15.696</c:v>
                </c:pt>
                <c:pt idx="66" formatCode="General">
                  <c:v>15.988</c:v>
                </c:pt>
                <c:pt idx="67" formatCode="General">
                  <c:v>16.263999999999999</c:v>
                </c:pt>
                <c:pt idx="68" formatCode="General">
                  <c:v>16.52</c:v>
                </c:pt>
                <c:pt idx="69" formatCode="General">
                  <c:v>16.776</c:v>
                </c:pt>
                <c:pt idx="70" formatCode="General">
                  <c:v>17.032</c:v>
                </c:pt>
                <c:pt idx="71" formatCode="General">
                  <c:v>17.303999999999998</c:v>
                </c:pt>
                <c:pt idx="72" formatCode="General">
                  <c:v>17.48</c:v>
                </c:pt>
                <c:pt idx="73" formatCode="General">
                  <c:v>17.672000000000001</c:v>
                </c:pt>
                <c:pt idx="74" formatCode="General">
                  <c:v>17.96</c:v>
                </c:pt>
                <c:pt idx="75" formatCode="General">
                  <c:v>18.216000000000001</c:v>
                </c:pt>
                <c:pt idx="76" formatCode="General">
                  <c:v>18.38</c:v>
                </c:pt>
                <c:pt idx="77" formatCode="General">
                  <c:v>18.564</c:v>
                </c:pt>
                <c:pt idx="78" formatCode="General">
                  <c:v>18.856000000000002</c:v>
                </c:pt>
                <c:pt idx="79" formatCode="General">
                  <c:v>19.148</c:v>
                </c:pt>
                <c:pt idx="80" formatCode="General">
                  <c:v>19.356000000000002</c:v>
                </c:pt>
                <c:pt idx="81" formatCode="General">
                  <c:v>19.52</c:v>
                </c:pt>
                <c:pt idx="82" formatCode="General">
                  <c:v>19.78</c:v>
                </c:pt>
                <c:pt idx="83" formatCode="General">
                  <c:v>20.059999999999999</c:v>
                </c:pt>
                <c:pt idx="84" formatCode="General">
                  <c:v>20.295999999999999</c:v>
                </c:pt>
                <c:pt idx="85" formatCode="General">
                  <c:v>20.48</c:v>
                </c:pt>
                <c:pt idx="86" formatCode="General">
                  <c:v>20.7</c:v>
                </c:pt>
                <c:pt idx="87" formatCode="General">
                  <c:v>21.02</c:v>
                </c:pt>
                <c:pt idx="88" formatCode="General">
                  <c:v>21.276</c:v>
                </c:pt>
                <c:pt idx="89" formatCode="General">
                  <c:v>21.44</c:v>
                </c:pt>
                <c:pt idx="90" formatCode="General">
                  <c:v>21.664000000000001</c:v>
                </c:pt>
                <c:pt idx="91" formatCode="General">
                  <c:v>21.98</c:v>
                </c:pt>
                <c:pt idx="92" formatCode="General">
                  <c:v>22.22</c:v>
                </c:pt>
                <c:pt idx="93" formatCode="General">
                  <c:v>22.396000000000001</c:v>
                </c:pt>
                <c:pt idx="94" formatCode="General">
                  <c:v>22.556000000000001</c:v>
                </c:pt>
                <c:pt idx="95" formatCode="General">
                  <c:v>22.844000000000001</c:v>
                </c:pt>
                <c:pt idx="96" formatCode="General">
                  <c:v>23.123999999999999</c:v>
                </c:pt>
                <c:pt idx="97" formatCode="General">
                  <c:v>23.327999999999999</c:v>
                </c:pt>
                <c:pt idx="98" formatCode="General">
                  <c:v>23.52</c:v>
                </c:pt>
                <c:pt idx="99" formatCode="General">
                  <c:v>23.744</c:v>
                </c:pt>
                <c:pt idx="100" formatCode="General">
                  <c:v>24.044</c:v>
                </c:pt>
                <c:pt idx="101" formatCode="General">
                  <c:v>24.251999999999999</c:v>
                </c:pt>
                <c:pt idx="102" formatCode="General">
                  <c:v>24.416</c:v>
                </c:pt>
                <c:pt idx="103" formatCode="General">
                  <c:v>24.6</c:v>
                </c:pt>
                <c:pt idx="104" formatCode="General">
                  <c:v>24.896000000000001</c:v>
                </c:pt>
                <c:pt idx="105" formatCode="General">
                  <c:v>25.164000000000001</c:v>
                </c:pt>
                <c:pt idx="106" formatCode="General">
                  <c:v>25.376000000000001</c:v>
                </c:pt>
                <c:pt idx="107" formatCode="General">
                  <c:v>25.536000000000001</c:v>
                </c:pt>
                <c:pt idx="108" formatCode="General">
                  <c:v>25.844000000000001</c:v>
                </c:pt>
                <c:pt idx="109" formatCode="General">
                  <c:v>26.132000000000001</c:v>
                </c:pt>
                <c:pt idx="110" formatCode="General">
                  <c:v>26.352</c:v>
                </c:pt>
                <c:pt idx="111" formatCode="General">
                  <c:v>26.527999999999999</c:v>
                </c:pt>
                <c:pt idx="112" formatCode="General">
                  <c:v>26.832000000000001</c:v>
                </c:pt>
                <c:pt idx="113" formatCode="General">
                  <c:v>27.088000000000001</c:v>
                </c:pt>
                <c:pt idx="114" formatCode="General">
                  <c:v>27.268000000000001</c:v>
                </c:pt>
                <c:pt idx="115" formatCode="General">
                  <c:v>27.423999999999999</c:v>
                </c:pt>
                <c:pt idx="116" formatCode="General">
                  <c:v>27.571999999999999</c:v>
                </c:pt>
                <c:pt idx="117" formatCode="General">
                  <c:v>27.888000000000002</c:v>
                </c:pt>
                <c:pt idx="118" formatCode="General">
                  <c:v>28.164000000000001</c:v>
                </c:pt>
                <c:pt idx="119" formatCode="General">
                  <c:v>28.4</c:v>
                </c:pt>
                <c:pt idx="120" formatCode="General">
                  <c:v>28.56</c:v>
                </c:pt>
                <c:pt idx="121" formatCode="General">
                  <c:v>28.86</c:v>
                </c:pt>
                <c:pt idx="122" formatCode="General">
                  <c:v>29.167999999999999</c:v>
                </c:pt>
                <c:pt idx="123" formatCode="General">
                  <c:v>29.36</c:v>
                </c:pt>
                <c:pt idx="124" formatCode="General">
                  <c:v>29.507999999999999</c:v>
                </c:pt>
                <c:pt idx="125" formatCode="General">
                  <c:v>29.763999999999999</c:v>
                </c:pt>
                <c:pt idx="126" formatCode="General">
                  <c:v>30.036000000000001</c:v>
                </c:pt>
                <c:pt idx="127" formatCode="General">
                  <c:v>30.271999999999998</c:v>
                </c:pt>
                <c:pt idx="128" formatCode="General">
                  <c:v>30.443999999999999</c:v>
                </c:pt>
                <c:pt idx="129" formatCode="General">
                  <c:v>30.66</c:v>
                </c:pt>
                <c:pt idx="130" formatCode="General">
                  <c:v>30.963999999999999</c:v>
                </c:pt>
                <c:pt idx="131" formatCode="General">
                  <c:v>31.224</c:v>
                </c:pt>
                <c:pt idx="132" formatCode="General">
                  <c:v>31.38</c:v>
                </c:pt>
                <c:pt idx="133" formatCode="General">
                  <c:v>31.556000000000001</c:v>
                </c:pt>
                <c:pt idx="134" formatCode="General">
                  <c:v>31.856000000000002</c:v>
                </c:pt>
                <c:pt idx="135" formatCode="General">
                  <c:v>32.148000000000003</c:v>
                </c:pt>
                <c:pt idx="136" formatCode="General">
                  <c:v>32.375999999999998</c:v>
                </c:pt>
                <c:pt idx="137" formatCode="General">
                  <c:v>32.567999999999998</c:v>
                </c:pt>
                <c:pt idx="138" formatCode="General">
                  <c:v>32.868000000000002</c:v>
                </c:pt>
                <c:pt idx="139" formatCode="General">
                  <c:v>33.155999999999999</c:v>
                </c:pt>
                <c:pt idx="140" formatCode="General">
                  <c:v>33.380000000000003</c:v>
                </c:pt>
                <c:pt idx="141" formatCode="General">
                  <c:v>33.543999999999997</c:v>
                </c:pt>
                <c:pt idx="142" formatCode="General">
                  <c:v>33.847999999999999</c:v>
                </c:pt>
                <c:pt idx="143" formatCode="General">
                  <c:v>34.116</c:v>
                </c:pt>
              </c:numCache>
            </c:numRef>
          </c:xVal>
          <c:yVal>
            <c:numRef>
              <c:f>Automation!$H$4:$H$147</c:f>
              <c:numCache>
                <c:formatCode>0.0000</c:formatCode>
                <c:ptCount val="1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1.3076064363037929</c:v>
                </c:pt>
                <c:pt idx="16">
                  <c:v>1.2224241742211337</c:v>
                </c:pt>
                <c:pt idx="17">
                  <c:v>1.1540529346685409</c:v>
                </c:pt>
                <c:pt idx="18">
                  <c:v>1.1084776172579227</c:v>
                </c:pt>
                <c:pt idx="19">
                  <c:v>1.0654483016293153</c:v>
                </c:pt>
                <c:pt idx="20">
                  <c:v>0.98926755206525918</c:v>
                </c:pt>
                <c:pt idx="21">
                  <c:v>0.92780673094157295</c:v>
                </c:pt>
                <c:pt idx="22">
                  <c:v>0.87291586935905352</c:v>
                </c:pt>
                <c:pt idx="23">
                  <c:v>0.83871164502290618</c:v>
                </c:pt>
                <c:pt idx="24">
                  <c:v>0.78886579466691087</c:v>
                </c:pt>
                <c:pt idx="25">
                  <c:v>0.7416584660358998</c:v>
                </c:pt>
                <c:pt idx="26">
                  <c:v>0.71368616354662828</c:v>
                </c:pt>
                <c:pt idx="27">
                  <c:v>0.68865911263246726</c:v>
                </c:pt>
                <c:pt idx="28">
                  <c:v>0.65421137843382926</c:v>
                </c:pt>
                <c:pt idx="29">
                  <c:v>0.62479244376554233</c:v>
                </c:pt>
                <c:pt idx="30">
                  <c:v>0.60415757405786508</c:v>
                </c:pt>
                <c:pt idx="31">
                  <c:v>0.56139007694585308</c:v>
                </c:pt>
                <c:pt idx="32">
                  <c:v>0.54561839954682512</c:v>
                </c:pt>
                <c:pt idx="33">
                  <c:v>0.53403243204461859</c:v>
                </c:pt>
                <c:pt idx="34">
                  <c:v>0.52177004220787149</c:v>
                </c:pt>
                <c:pt idx="35">
                  <c:v>0.50953537529739412</c:v>
                </c:pt>
                <c:pt idx="36">
                  <c:v>0.49114914209580274</c:v>
                </c:pt>
                <c:pt idx="37">
                  <c:v>0.4767122495082754</c:v>
                </c:pt>
                <c:pt idx="38">
                  <c:v>0.46692487513695013</c:v>
                </c:pt>
                <c:pt idx="39">
                  <c:v>0.4604355425461617</c:v>
                </c:pt>
                <c:pt idx="40">
                  <c:v>0.45033890963134127</c:v>
                </c:pt>
                <c:pt idx="41">
                  <c:v>0.43816217843761773</c:v>
                </c:pt>
                <c:pt idx="42">
                  <c:v>0.43176897989152074</c:v>
                </c:pt>
                <c:pt idx="43">
                  <c:v>0.42591068152847766</c:v>
                </c:pt>
                <c:pt idx="44">
                  <c:v>0.41936294017455111</c:v>
                </c:pt>
                <c:pt idx="45">
                  <c:v>0.41107200039492042</c:v>
                </c:pt>
                <c:pt idx="46">
                  <c:v>0.40467040542381794</c:v>
                </c:pt>
                <c:pt idx="47">
                  <c:v>0.40095830177152836</c:v>
                </c:pt>
                <c:pt idx="48">
                  <c:v>0.39745356963195011</c:v>
                </c:pt>
                <c:pt idx="49">
                  <c:v>0.39102052895842876</c:v>
                </c:pt>
                <c:pt idx="50">
                  <c:v>0.38521856866060045</c:v>
                </c:pt>
                <c:pt idx="51">
                  <c:v>0.38265692856245836</c:v>
                </c:pt>
                <c:pt idx="52">
                  <c:v>0.37987419691020508</c:v>
                </c:pt>
                <c:pt idx="53">
                  <c:v>0.37605058042935946</c:v>
                </c:pt>
                <c:pt idx="54">
                  <c:v>0.37247935036321778</c:v>
                </c:pt>
                <c:pt idx="55">
                  <c:v>0.36983031461500948</c:v>
                </c:pt>
                <c:pt idx="56">
                  <c:v>0.3678082790210313</c:v>
                </c:pt>
                <c:pt idx="57">
                  <c:v>0.36623583236333168</c:v>
                </c:pt>
                <c:pt idx="58">
                  <c:v>0.3633372056078068</c:v>
                </c:pt>
                <c:pt idx="59">
                  <c:v>0.35997508765610098</c:v>
                </c:pt>
                <c:pt idx="60">
                  <c:v>0.3587598258284963</c:v>
                </c:pt>
                <c:pt idx="61">
                  <c:v>0.35747361349612383</c:v>
                </c:pt>
                <c:pt idx="62">
                  <c:v>0.35540733607236552</c:v>
                </c:pt>
                <c:pt idx="63">
                  <c:v>0.35362910760171529</c:v>
                </c:pt>
                <c:pt idx="64">
                  <c:v>0.35268497008389144</c:v>
                </c:pt>
                <c:pt idx="65">
                  <c:v>0.35152823681659617</c:v>
                </c:pt>
                <c:pt idx="66">
                  <c:v>0.3502029163621363</c:v>
                </c:pt>
                <c:pt idx="67">
                  <c:v>0.34907178624732671</c:v>
                </c:pt>
                <c:pt idx="68">
                  <c:v>0.34811830128290211</c:v>
                </c:pt>
                <c:pt idx="69">
                  <c:v>0.34724860136740565</c:v>
                </c:pt>
                <c:pt idx="70">
                  <c:v>0.34645532410427515</c:v>
                </c:pt>
                <c:pt idx="71">
                  <c:v>0.34568870261105555</c:v>
                </c:pt>
                <c:pt idx="72">
                  <c:v>0.34523111638897985</c:v>
                </c:pt>
                <c:pt idx="73">
                  <c:v>0.34476384929316772</c:v>
                </c:pt>
                <c:pt idx="74">
                  <c:v>0.34412069350259822</c:v>
                </c:pt>
                <c:pt idx="75">
                  <c:v>0.34360227313105263</c:v>
                </c:pt>
                <c:pt idx="76">
                  <c:v>0.34329435959072763</c:v>
                </c:pt>
                <c:pt idx="77">
                  <c:v>0.34296981879657462</c:v>
                </c:pt>
                <c:pt idx="78">
                  <c:v>0.34249686517246181</c:v>
                </c:pt>
                <c:pt idx="79">
                  <c:v>0.34207101487755542</c:v>
                </c:pt>
                <c:pt idx="80">
                  <c:v>0.34179379068846671</c:v>
                </c:pt>
                <c:pt idx="81">
                  <c:v>0.3415893575543274</c:v>
                </c:pt>
                <c:pt idx="82">
                  <c:v>0.34128895966286832</c:v>
                </c:pt>
                <c:pt idx="83">
                  <c:v>0.34099534488890626</c:v>
                </c:pt>
                <c:pt idx="84">
                  <c:v>0.3407698055180588</c:v>
                </c:pt>
                <c:pt idx="85">
                  <c:v>0.34060675947343766</c:v>
                </c:pt>
                <c:pt idx="86">
                  <c:v>0.34042544584478973</c:v>
                </c:pt>
                <c:pt idx="87">
                  <c:v>0.34018602884817062</c:v>
                </c:pt>
                <c:pt idx="88">
                  <c:v>0.34001335705461644</c:v>
                </c:pt>
                <c:pt idx="89">
                  <c:v>0.33991079938870383</c:v>
                </c:pt>
                <c:pt idx="90">
                  <c:v>0.33978013528613316</c:v>
                </c:pt>
                <c:pt idx="91">
                  <c:v>0.33961280193958832</c:v>
                </c:pt>
                <c:pt idx="92">
                  <c:v>0.33949781968347192</c:v>
                </c:pt>
                <c:pt idx="93">
                  <c:v>0.33941958213615386</c:v>
                </c:pt>
                <c:pt idx="94">
                  <c:v>0.33935262506334407</c:v>
                </c:pt>
                <c:pt idx="95">
                  <c:v>0.33924138748526911</c:v>
                </c:pt>
                <c:pt idx="96">
                  <c:v>0.33914373279342236</c:v>
                </c:pt>
                <c:pt idx="97">
                  <c:v>0.3390785220156336</c:v>
                </c:pt>
                <c:pt idx="98">
                  <c:v>0.33902136298835472</c:v>
                </c:pt>
                <c:pt idx="99">
                  <c:v>0.33895947478597632</c:v>
                </c:pt>
                <c:pt idx="100">
                  <c:v>0.33888401883564034</c:v>
                </c:pt>
                <c:pt idx="101">
                  <c:v>0.33883627755467627</c:v>
                </c:pt>
                <c:pt idx="102">
                  <c:v>0.33880107175345309</c:v>
                </c:pt>
                <c:pt idx="103">
                  <c:v>0.33876396484780757</c:v>
                </c:pt>
                <c:pt idx="104">
                  <c:v>0.33870918683292306</c:v>
                </c:pt>
                <c:pt idx="105">
                  <c:v>0.33866437309030406</c:v>
                </c:pt>
                <c:pt idx="106">
                  <c:v>0.33863185675382201</c:v>
                </c:pt>
                <c:pt idx="107">
                  <c:v>0.3386089048649823</c:v>
                </c:pt>
                <c:pt idx="108">
                  <c:v>0.33856826996130929</c:v>
                </c:pt>
                <c:pt idx="109">
                  <c:v>0.33853413374627372</c:v>
                </c:pt>
                <c:pt idx="110">
                  <c:v>0.33851033618100335</c:v>
                </c:pt>
                <c:pt idx="111">
                  <c:v>0.33849260705589046</c:v>
                </c:pt>
                <c:pt idx="112">
                  <c:v>0.33846450462951649</c:v>
                </c:pt>
                <c:pt idx="113">
                  <c:v>0.33844310736704886</c:v>
                </c:pt>
                <c:pt idx="114">
                  <c:v>0.33842919829388762</c:v>
                </c:pt>
                <c:pt idx="115">
                  <c:v>0.33841785033056171</c:v>
                </c:pt>
                <c:pt idx="116">
                  <c:v>0.33840765661854366</c:v>
                </c:pt>
                <c:pt idx="117">
                  <c:v>0.33838762388785204</c:v>
                </c:pt>
                <c:pt idx="118">
                  <c:v>0.3383718941634406</c:v>
                </c:pt>
                <c:pt idx="119">
                  <c:v>0.33835962734936098</c:v>
                </c:pt>
                <c:pt idx="120">
                  <c:v>0.33835188317794929</c:v>
                </c:pt>
                <c:pt idx="121">
                  <c:v>0.33833850986306224</c:v>
                </c:pt>
                <c:pt idx="122">
                  <c:v>0.33832620020777471</c:v>
                </c:pt>
                <c:pt idx="123">
                  <c:v>0.33831918803315952</c:v>
                </c:pt>
                <c:pt idx="124">
                  <c:v>0.33831410348136881</c:v>
                </c:pt>
                <c:pt idx="125">
                  <c:v>0.33830592233454704</c:v>
                </c:pt>
                <c:pt idx="126">
                  <c:v>0.33829801609131449</c:v>
                </c:pt>
                <c:pt idx="127">
                  <c:v>0.3382917551706095</c:v>
                </c:pt>
                <c:pt idx="128">
                  <c:v>0.33828751519898859</c:v>
                </c:pt>
                <c:pt idx="129">
                  <c:v>0.33828254861543572</c:v>
                </c:pt>
                <c:pt idx="130">
                  <c:v>0.33827618042713947</c:v>
                </c:pt>
                <c:pt idx="131">
                  <c:v>0.33827125939242375</c:v>
                </c:pt>
                <c:pt idx="132">
                  <c:v>0.33826852001551444</c:v>
                </c:pt>
                <c:pt idx="133">
                  <c:v>0.33826560826669239</c:v>
                </c:pt>
                <c:pt idx="134">
                  <c:v>0.33826105036958465</c:v>
                </c:pt>
                <c:pt idx="135">
                  <c:v>0.33825706168847391</c:v>
                </c:pt>
                <c:pt idx="136">
                  <c:v>0.33825422550034379</c:v>
                </c:pt>
                <c:pt idx="137">
                  <c:v>0.33825201088045942</c:v>
                </c:pt>
                <c:pt idx="138">
                  <c:v>0.33824884234021813</c:v>
                </c:pt>
                <c:pt idx="139">
                  <c:v>0.33824610555755097</c:v>
                </c:pt>
                <c:pt idx="140">
                  <c:v>0.3382441643369507</c:v>
                </c:pt>
                <c:pt idx="141">
                  <c:v>0.33824283894000207</c:v>
                </c:pt>
                <c:pt idx="142">
                  <c:v>0.33824057941564734</c:v>
                </c:pt>
                <c:pt idx="143">
                  <c:v>0.33823878218118031</c:v>
                </c:pt>
              </c:numCache>
            </c:numRef>
          </c:yVal>
          <c:smooth val="1"/>
        </c:ser>
        <c:ser>
          <c:idx val="1"/>
          <c:order val="1"/>
          <c:tx>
            <c:v>Actual</c:v>
          </c:tx>
          <c:marker>
            <c:symbol val="none"/>
          </c:marker>
          <c:xVal>
            <c:numRef>
              <c:f>Automation!$B$4:$B$147</c:f>
              <c:numCache>
                <c:formatCode>0.000</c:formatCode>
                <c:ptCount val="144"/>
                <c:pt idx="0" formatCode="0.0000">
                  <c:v>0.24</c:v>
                </c:pt>
                <c:pt idx="1">
                  <c:v>0.44400000000000001</c:v>
                </c:pt>
                <c:pt idx="2" formatCode="0.00E+00">
                  <c:v>0.70399999999999996</c:v>
                </c:pt>
                <c:pt idx="3" formatCode="0.00E+00">
                  <c:v>1.0720000000000001</c:v>
                </c:pt>
                <c:pt idx="4" formatCode="0.00E+00">
                  <c:v>1.252</c:v>
                </c:pt>
                <c:pt idx="5" formatCode="0.00E+00">
                  <c:v>1.4239999999999999</c:v>
                </c:pt>
                <c:pt idx="6" formatCode="0.00E+00">
                  <c:v>1.58</c:v>
                </c:pt>
                <c:pt idx="7" formatCode="0.00E+00">
                  <c:v>1.8879999999999999</c:v>
                </c:pt>
                <c:pt idx="8" formatCode="0.00E+00">
                  <c:v>2.1280000000000001</c:v>
                </c:pt>
                <c:pt idx="9" formatCode="General">
                  <c:v>2.3359999999999999</c:v>
                </c:pt>
                <c:pt idx="10" formatCode="General">
                  <c:v>2.484</c:v>
                </c:pt>
                <c:pt idx="11" formatCode="General">
                  <c:v>2.7</c:v>
                </c:pt>
                <c:pt idx="12" formatCode="General">
                  <c:v>2.976</c:v>
                </c:pt>
                <c:pt idx="13" formatCode="General">
                  <c:v>3.3519999999999999</c:v>
                </c:pt>
                <c:pt idx="14" formatCode="General">
                  <c:v>3.52</c:v>
                </c:pt>
                <c:pt idx="15" formatCode="General">
                  <c:v>3.76</c:v>
                </c:pt>
                <c:pt idx="16" formatCode="General">
                  <c:v>4.016</c:v>
                </c:pt>
                <c:pt idx="17" formatCode="General">
                  <c:v>4.24</c:v>
                </c:pt>
                <c:pt idx="18" formatCode="General">
                  <c:v>4.4000000000000004</c:v>
                </c:pt>
                <c:pt idx="19" formatCode="General">
                  <c:v>4.5599999999999996</c:v>
                </c:pt>
                <c:pt idx="20" formatCode="General">
                  <c:v>4.8680000000000003</c:v>
                </c:pt>
                <c:pt idx="21" formatCode="General">
                  <c:v>5.1440000000000001</c:v>
                </c:pt>
                <c:pt idx="22" formatCode="General">
                  <c:v>5.4160000000000004</c:v>
                </c:pt>
                <c:pt idx="23" formatCode="General">
                  <c:v>5.6</c:v>
                </c:pt>
                <c:pt idx="24" formatCode="General">
                  <c:v>5.8920000000000003</c:v>
                </c:pt>
                <c:pt idx="25" formatCode="General">
                  <c:v>6.2</c:v>
                </c:pt>
                <c:pt idx="26" formatCode="General">
                  <c:v>6.4</c:v>
                </c:pt>
                <c:pt idx="27" formatCode="General">
                  <c:v>6.5919999999999996</c:v>
                </c:pt>
                <c:pt idx="28" formatCode="General">
                  <c:v>6.88</c:v>
                </c:pt>
                <c:pt idx="29" formatCode="General">
                  <c:v>7.1520000000000001</c:v>
                </c:pt>
                <c:pt idx="30" formatCode="General">
                  <c:v>7.36</c:v>
                </c:pt>
                <c:pt idx="31" formatCode="General">
                  <c:v>7.8479999999999999</c:v>
                </c:pt>
                <c:pt idx="32" formatCode="General">
                  <c:v>8.0519999999999996</c:v>
                </c:pt>
                <c:pt idx="33" formatCode="General">
                  <c:v>8.2119999999999997</c:v>
                </c:pt>
                <c:pt idx="34" formatCode="General">
                  <c:v>8.3919999999999995</c:v>
                </c:pt>
                <c:pt idx="35" formatCode="General">
                  <c:v>8.5839999999999996</c:v>
                </c:pt>
                <c:pt idx="36" formatCode="General">
                  <c:v>8.9</c:v>
                </c:pt>
                <c:pt idx="37" formatCode="General">
                  <c:v>9.1760000000000002</c:v>
                </c:pt>
                <c:pt idx="38" formatCode="General">
                  <c:v>9.3800000000000008</c:v>
                </c:pt>
                <c:pt idx="39" formatCode="General">
                  <c:v>9.5239999999999991</c:v>
                </c:pt>
                <c:pt idx="40" formatCode="General">
                  <c:v>9.7639999999999993</c:v>
                </c:pt>
                <c:pt idx="41" formatCode="General">
                  <c:v>10.084</c:v>
                </c:pt>
                <c:pt idx="42" formatCode="General">
                  <c:v>10.268000000000001</c:v>
                </c:pt>
                <c:pt idx="43" formatCode="General">
                  <c:v>10.448</c:v>
                </c:pt>
                <c:pt idx="44" formatCode="General">
                  <c:v>10.664</c:v>
                </c:pt>
                <c:pt idx="45" formatCode="General">
                  <c:v>10.964</c:v>
                </c:pt>
                <c:pt idx="46" formatCode="General">
                  <c:v>11.22</c:v>
                </c:pt>
                <c:pt idx="47" formatCode="General">
                  <c:v>11.38</c:v>
                </c:pt>
                <c:pt idx="48" formatCode="General">
                  <c:v>11.54</c:v>
                </c:pt>
                <c:pt idx="49" formatCode="General">
                  <c:v>11.86</c:v>
                </c:pt>
                <c:pt idx="50" formatCode="General">
                  <c:v>12.183999999999999</c:v>
                </c:pt>
                <c:pt idx="51" formatCode="General">
                  <c:v>12.34</c:v>
                </c:pt>
                <c:pt idx="52" formatCode="General">
                  <c:v>12.52</c:v>
                </c:pt>
                <c:pt idx="53" formatCode="General">
                  <c:v>12.788</c:v>
                </c:pt>
                <c:pt idx="54" formatCode="General">
                  <c:v>13.064</c:v>
                </c:pt>
                <c:pt idx="55" formatCode="General">
                  <c:v>13.288</c:v>
                </c:pt>
                <c:pt idx="56" formatCode="General">
                  <c:v>13.472</c:v>
                </c:pt>
                <c:pt idx="57" formatCode="General">
                  <c:v>13.624000000000001</c:v>
                </c:pt>
                <c:pt idx="58" formatCode="General">
                  <c:v>13.928000000000001</c:v>
                </c:pt>
                <c:pt idx="59" formatCode="General">
                  <c:v>14.327999999999999</c:v>
                </c:pt>
                <c:pt idx="60" formatCode="General">
                  <c:v>14.488</c:v>
                </c:pt>
                <c:pt idx="61" formatCode="General">
                  <c:v>14.667999999999999</c:v>
                </c:pt>
                <c:pt idx="62" formatCode="General">
                  <c:v>14.984</c:v>
                </c:pt>
                <c:pt idx="63" formatCode="General">
                  <c:v>15.288</c:v>
                </c:pt>
                <c:pt idx="64" formatCode="General">
                  <c:v>15.464</c:v>
                </c:pt>
                <c:pt idx="65" formatCode="General">
                  <c:v>15.696</c:v>
                </c:pt>
                <c:pt idx="66" formatCode="General">
                  <c:v>15.988</c:v>
                </c:pt>
                <c:pt idx="67" formatCode="General">
                  <c:v>16.263999999999999</c:v>
                </c:pt>
                <c:pt idx="68" formatCode="General">
                  <c:v>16.52</c:v>
                </c:pt>
                <c:pt idx="69" formatCode="General">
                  <c:v>16.776</c:v>
                </c:pt>
                <c:pt idx="70" formatCode="General">
                  <c:v>17.032</c:v>
                </c:pt>
                <c:pt idx="71" formatCode="General">
                  <c:v>17.303999999999998</c:v>
                </c:pt>
                <c:pt idx="72" formatCode="General">
                  <c:v>17.48</c:v>
                </c:pt>
                <c:pt idx="73" formatCode="General">
                  <c:v>17.672000000000001</c:v>
                </c:pt>
                <c:pt idx="74" formatCode="General">
                  <c:v>17.96</c:v>
                </c:pt>
                <c:pt idx="75" formatCode="General">
                  <c:v>18.216000000000001</c:v>
                </c:pt>
                <c:pt idx="76" formatCode="General">
                  <c:v>18.38</c:v>
                </c:pt>
                <c:pt idx="77" formatCode="General">
                  <c:v>18.564</c:v>
                </c:pt>
                <c:pt idx="78" formatCode="General">
                  <c:v>18.856000000000002</c:v>
                </c:pt>
                <c:pt idx="79" formatCode="General">
                  <c:v>19.148</c:v>
                </c:pt>
                <c:pt idx="80" formatCode="General">
                  <c:v>19.356000000000002</c:v>
                </c:pt>
                <c:pt idx="81" formatCode="General">
                  <c:v>19.52</c:v>
                </c:pt>
                <c:pt idx="82" formatCode="General">
                  <c:v>19.78</c:v>
                </c:pt>
                <c:pt idx="83" formatCode="General">
                  <c:v>20.059999999999999</c:v>
                </c:pt>
                <c:pt idx="84" formatCode="General">
                  <c:v>20.295999999999999</c:v>
                </c:pt>
                <c:pt idx="85" formatCode="General">
                  <c:v>20.48</c:v>
                </c:pt>
                <c:pt idx="86" formatCode="General">
                  <c:v>20.7</c:v>
                </c:pt>
                <c:pt idx="87" formatCode="General">
                  <c:v>21.02</c:v>
                </c:pt>
                <c:pt idx="88" formatCode="General">
                  <c:v>21.276</c:v>
                </c:pt>
                <c:pt idx="89" formatCode="General">
                  <c:v>21.44</c:v>
                </c:pt>
                <c:pt idx="90" formatCode="General">
                  <c:v>21.664000000000001</c:v>
                </c:pt>
                <c:pt idx="91" formatCode="General">
                  <c:v>21.98</c:v>
                </c:pt>
                <c:pt idx="92" formatCode="General">
                  <c:v>22.22</c:v>
                </c:pt>
                <c:pt idx="93" formatCode="General">
                  <c:v>22.396000000000001</c:v>
                </c:pt>
                <c:pt idx="94" formatCode="General">
                  <c:v>22.556000000000001</c:v>
                </c:pt>
                <c:pt idx="95" formatCode="General">
                  <c:v>22.844000000000001</c:v>
                </c:pt>
                <c:pt idx="96" formatCode="General">
                  <c:v>23.123999999999999</c:v>
                </c:pt>
                <c:pt idx="97" formatCode="General">
                  <c:v>23.327999999999999</c:v>
                </c:pt>
                <c:pt idx="98" formatCode="General">
                  <c:v>23.52</c:v>
                </c:pt>
                <c:pt idx="99" formatCode="General">
                  <c:v>23.744</c:v>
                </c:pt>
                <c:pt idx="100" formatCode="General">
                  <c:v>24.044</c:v>
                </c:pt>
                <c:pt idx="101" formatCode="General">
                  <c:v>24.251999999999999</c:v>
                </c:pt>
                <c:pt idx="102" formatCode="General">
                  <c:v>24.416</c:v>
                </c:pt>
                <c:pt idx="103" formatCode="General">
                  <c:v>24.6</c:v>
                </c:pt>
                <c:pt idx="104" formatCode="General">
                  <c:v>24.896000000000001</c:v>
                </c:pt>
                <c:pt idx="105" formatCode="General">
                  <c:v>25.164000000000001</c:v>
                </c:pt>
                <c:pt idx="106" formatCode="General">
                  <c:v>25.376000000000001</c:v>
                </c:pt>
                <c:pt idx="107" formatCode="General">
                  <c:v>25.536000000000001</c:v>
                </c:pt>
                <c:pt idx="108" formatCode="General">
                  <c:v>25.844000000000001</c:v>
                </c:pt>
                <c:pt idx="109" formatCode="General">
                  <c:v>26.132000000000001</c:v>
                </c:pt>
                <c:pt idx="110" formatCode="General">
                  <c:v>26.352</c:v>
                </c:pt>
                <c:pt idx="111" formatCode="General">
                  <c:v>26.527999999999999</c:v>
                </c:pt>
                <c:pt idx="112" formatCode="General">
                  <c:v>26.832000000000001</c:v>
                </c:pt>
                <c:pt idx="113" formatCode="General">
                  <c:v>27.088000000000001</c:v>
                </c:pt>
                <c:pt idx="114" formatCode="General">
                  <c:v>27.268000000000001</c:v>
                </c:pt>
                <c:pt idx="115" formatCode="General">
                  <c:v>27.423999999999999</c:v>
                </c:pt>
                <c:pt idx="116" formatCode="General">
                  <c:v>27.571999999999999</c:v>
                </c:pt>
                <c:pt idx="117" formatCode="General">
                  <c:v>27.888000000000002</c:v>
                </c:pt>
                <c:pt idx="118" formatCode="General">
                  <c:v>28.164000000000001</c:v>
                </c:pt>
                <c:pt idx="119" formatCode="General">
                  <c:v>28.4</c:v>
                </c:pt>
                <c:pt idx="120" formatCode="General">
                  <c:v>28.56</c:v>
                </c:pt>
                <c:pt idx="121" formatCode="General">
                  <c:v>28.86</c:v>
                </c:pt>
                <c:pt idx="122" formatCode="General">
                  <c:v>29.167999999999999</c:v>
                </c:pt>
                <c:pt idx="123" formatCode="General">
                  <c:v>29.36</c:v>
                </c:pt>
                <c:pt idx="124" formatCode="General">
                  <c:v>29.507999999999999</c:v>
                </c:pt>
                <c:pt idx="125" formatCode="General">
                  <c:v>29.763999999999999</c:v>
                </c:pt>
                <c:pt idx="126" formatCode="General">
                  <c:v>30.036000000000001</c:v>
                </c:pt>
                <c:pt idx="127" formatCode="General">
                  <c:v>30.271999999999998</c:v>
                </c:pt>
                <c:pt idx="128" formatCode="General">
                  <c:v>30.443999999999999</c:v>
                </c:pt>
                <c:pt idx="129" formatCode="General">
                  <c:v>30.66</c:v>
                </c:pt>
                <c:pt idx="130" formatCode="General">
                  <c:v>30.963999999999999</c:v>
                </c:pt>
                <c:pt idx="131" formatCode="General">
                  <c:v>31.224</c:v>
                </c:pt>
                <c:pt idx="132" formatCode="General">
                  <c:v>31.38</c:v>
                </c:pt>
                <c:pt idx="133" formatCode="General">
                  <c:v>31.556000000000001</c:v>
                </c:pt>
                <c:pt idx="134" formatCode="General">
                  <c:v>31.856000000000002</c:v>
                </c:pt>
                <c:pt idx="135" formatCode="General">
                  <c:v>32.148000000000003</c:v>
                </c:pt>
                <c:pt idx="136" formatCode="General">
                  <c:v>32.375999999999998</c:v>
                </c:pt>
                <c:pt idx="137" formatCode="General">
                  <c:v>32.567999999999998</c:v>
                </c:pt>
                <c:pt idx="138" formatCode="General">
                  <c:v>32.868000000000002</c:v>
                </c:pt>
                <c:pt idx="139" formatCode="General">
                  <c:v>33.155999999999999</c:v>
                </c:pt>
                <c:pt idx="140" formatCode="General">
                  <c:v>33.380000000000003</c:v>
                </c:pt>
                <c:pt idx="141" formatCode="General">
                  <c:v>33.543999999999997</c:v>
                </c:pt>
                <c:pt idx="142" formatCode="General">
                  <c:v>33.847999999999999</c:v>
                </c:pt>
                <c:pt idx="143" formatCode="General">
                  <c:v>34.116</c:v>
                </c:pt>
              </c:numCache>
            </c:numRef>
          </c:xVal>
          <c:yVal>
            <c:numRef>
              <c:f>Automation!$D$4:$D$147</c:f>
              <c:numCache>
                <c:formatCode>General</c:formatCode>
                <c:ptCount val="144"/>
                <c:pt idx="0">
                  <c:v>2.5019999999999998</c:v>
                </c:pt>
                <c:pt idx="1">
                  <c:v>1.643</c:v>
                </c:pt>
                <c:pt idx="2">
                  <c:v>2.0630000000000002</c:v>
                </c:pt>
                <c:pt idx="3">
                  <c:v>2.282</c:v>
                </c:pt>
                <c:pt idx="4">
                  <c:v>2.2999999999999998</c:v>
                </c:pt>
                <c:pt idx="5">
                  <c:v>2.2999999999999998</c:v>
                </c:pt>
                <c:pt idx="6">
                  <c:v>2.2970000000000002</c:v>
                </c:pt>
                <c:pt idx="7">
                  <c:v>2.2599999999999998</c:v>
                </c:pt>
                <c:pt idx="8">
                  <c:v>2.2250000000000001</c:v>
                </c:pt>
                <c:pt idx="9">
                  <c:v>2.1240000000000001</c:v>
                </c:pt>
                <c:pt idx="10">
                  <c:v>1.994</c:v>
                </c:pt>
                <c:pt idx="11">
                  <c:v>1.994</c:v>
                </c:pt>
                <c:pt idx="12">
                  <c:v>1.8520000000000001</c:v>
                </c:pt>
                <c:pt idx="13">
                  <c:v>1.575</c:v>
                </c:pt>
                <c:pt idx="14">
                  <c:v>1.421</c:v>
                </c:pt>
                <c:pt idx="15">
                  <c:v>1.3160000000000001</c:v>
                </c:pt>
                <c:pt idx="16">
                  <c:v>1.1950000000000001</c:v>
                </c:pt>
                <c:pt idx="17">
                  <c:v>1.097</c:v>
                </c:pt>
                <c:pt idx="18">
                  <c:v>1.097</c:v>
                </c:pt>
                <c:pt idx="19">
                  <c:v>1.0489999999999999</c:v>
                </c:pt>
                <c:pt idx="20">
                  <c:v>0.99239999999999995</c:v>
                </c:pt>
                <c:pt idx="21">
                  <c:v>0.94969999999999999</c:v>
                </c:pt>
                <c:pt idx="22">
                  <c:v>0.92059999999999997</c:v>
                </c:pt>
                <c:pt idx="23">
                  <c:v>0.8891</c:v>
                </c:pt>
                <c:pt idx="24">
                  <c:v>0.83950000000000002</c:v>
                </c:pt>
                <c:pt idx="25">
                  <c:v>0.75949999999999995</c:v>
                </c:pt>
                <c:pt idx="26">
                  <c:v>0.75949999999999995</c:v>
                </c:pt>
                <c:pt idx="27">
                  <c:v>0.70669999999999999</c:v>
                </c:pt>
                <c:pt idx="28">
                  <c:v>0.66090000000000004</c:v>
                </c:pt>
                <c:pt idx="29">
                  <c:v>0.63109999999999999</c:v>
                </c:pt>
                <c:pt idx="30">
                  <c:v>0.59519999999999995</c:v>
                </c:pt>
                <c:pt idx="31">
                  <c:v>0.55059999999999998</c:v>
                </c:pt>
                <c:pt idx="32">
                  <c:v>0.52869999999999995</c:v>
                </c:pt>
                <c:pt idx="33">
                  <c:v>0.51280000000000003</c:v>
                </c:pt>
                <c:pt idx="34">
                  <c:v>0.51280000000000003</c:v>
                </c:pt>
                <c:pt idx="35">
                  <c:v>0.4909</c:v>
                </c:pt>
                <c:pt idx="36">
                  <c:v>0.47689999999999999</c:v>
                </c:pt>
                <c:pt idx="37">
                  <c:v>0.45879999999999999</c:v>
                </c:pt>
                <c:pt idx="38">
                  <c:v>0.44319999999999998</c:v>
                </c:pt>
                <c:pt idx="39">
                  <c:v>0.43890000000000001</c:v>
                </c:pt>
                <c:pt idx="40">
                  <c:v>0.42959999999999998</c:v>
                </c:pt>
                <c:pt idx="41">
                  <c:v>0.42270000000000002</c:v>
                </c:pt>
                <c:pt idx="42">
                  <c:v>0.41760000000000003</c:v>
                </c:pt>
                <c:pt idx="43">
                  <c:v>0.41249999999999998</c:v>
                </c:pt>
                <c:pt idx="44">
                  <c:v>0.39800000000000002</c:v>
                </c:pt>
                <c:pt idx="45">
                  <c:v>0.38719999999999999</c:v>
                </c:pt>
                <c:pt idx="46">
                  <c:v>0.38490000000000002</c:v>
                </c:pt>
                <c:pt idx="47">
                  <c:v>0.38490000000000002</c:v>
                </c:pt>
                <c:pt idx="48">
                  <c:v>0.38600000000000001</c:v>
                </c:pt>
                <c:pt idx="49">
                  <c:v>0.38619999999999999</c:v>
                </c:pt>
                <c:pt idx="50">
                  <c:v>0.38190000000000002</c:v>
                </c:pt>
                <c:pt idx="51">
                  <c:v>0.38190000000000002</c:v>
                </c:pt>
                <c:pt idx="52">
                  <c:v>0.37290000000000001</c:v>
                </c:pt>
                <c:pt idx="53">
                  <c:v>0.37290000000000001</c:v>
                </c:pt>
                <c:pt idx="54">
                  <c:v>0.36530000000000001</c:v>
                </c:pt>
                <c:pt idx="55">
                  <c:v>0.3669</c:v>
                </c:pt>
                <c:pt idx="56">
                  <c:v>0.37540000000000001</c:v>
                </c:pt>
                <c:pt idx="57">
                  <c:v>0.37540000000000001</c:v>
                </c:pt>
                <c:pt idx="58" formatCode="0.00E+00">
                  <c:v>0.37940000000000002</c:v>
                </c:pt>
                <c:pt idx="59" formatCode="0.00E+00">
                  <c:v>0.37240000000000001</c:v>
                </c:pt>
                <c:pt idx="60" formatCode="0.00E+00">
                  <c:v>0.35909999999999997</c:v>
                </c:pt>
                <c:pt idx="61" formatCode="0.00E+00">
                  <c:v>0.35110000000000002</c:v>
                </c:pt>
                <c:pt idx="62" formatCode="0.00E+00">
                  <c:v>0.34460000000000002</c:v>
                </c:pt>
                <c:pt idx="63" formatCode="0.00E+00">
                  <c:v>0.35680000000000001</c:v>
                </c:pt>
                <c:pt idx="64" formatCode="0.00E+00">
                  <c:v>0.36709999999999998</c:v>
                </c:pt>
                <c:pt idx="65" formatCode="0.00E+00">
                  <c:v>0.37390000000000001</c:v>
                </c:pt>
                <c:pt idx="66" formatCode="0.00E+00">
                  <c:v>0.36799999999999999</c:v>
                </c:pt>
                <c:pt idx="67" formatCode="0.00E+00">
                  <c:v>0.35959999999999998</c:v>
                </c:pt>
                <c:pt idx="68" formatCode="0.00E+00">
                  <c:v>0.3473</c:v>
                </c:pt>
                <c:pt idx="69" formatCode="0.00E+00">
                  <c:v>0.3427</c:v>
                </c:pt>
                <c:pt idx="70" formatCode="0.00E+00">
                  <c:v>0.34520000000000001</c:v>
                </c:pt>
                <c:pt idx="71" formatCode="0.00E+00">
                  <c:v>0.35449999999999998</c:v>
                </c:pt>
                <c:pt idx="72" formatCode="0.00E+00">
                  <c:v>0.36</c:v>
                </c:pt>
                <c:pt idx="73" formatCode="0.00E+00">
                  <c:v>0.3614</c:v>
                </c:pt>
                <c:pt idx="74" formatCode="0.00E+00">
                  <c:v>0.3619</c:v>
                </c:pt>
                <c:pt idx="75" formatCode="0.00E+00">
                  <c:v>0.35510000000000003</c:v>
                </c:pt>
                <c:pt idx="76" formatCode="0.00E+00">
                  <c:v>0.35510000000000003</c:v>
                </c:pt>
                <c:pt idx="77" formatCode="0.00E+00">
                  <c:v>0.34289999999999998</c:v>
                </c:pt>
                <c:pt idx="78" formatCode="0.00E+00">
                  <c:v>0.3372</c:v>
                </c:pt>
                <c:pt idx="79" formatCode="0.00E+00">
                  <c:v>0.34560000000000002</c:v>
                </c:pt>
                <c:pt idx="80" formatCode="0.00E+00">
                  <c:v>0.34560000000000002</c:v>
                </c:pt>
                <c:pt idx="81" formatCode="0.00E+00">
                  <c:v>0.34499999999999997</c:v>
                </c:pt>
                <c:pt idx="82" formatCode="0.00E+00">
                  <c:v>0.34460000000000002</c:v>
                </c:pt>
                <c:pt idx="83" formatCode="0.00E+00">
                  <c:v>0.32869999999999999</c:v>
                </c:pt>
                <c:pt idx="84" formatCode="0.00E+00">
                  <c:v>0.32069999999999999</c:v>
                </c:pt>
                <c:pt idx="85" formatCode="0.00E+00">
                  <c:v>0.31419999999999998</c:v>
                </c:pt>
                <c:pt idx="86" formatCode="0.00E+00">
                  <c:v>0.3165</c:v>
                </c:pt>
                <c:pt idx="87" formatCode="0.00E+00">
                  <c:v>0.32940000000000003</c:v>
                </c:pt>
                <c:pt idx="88" formatCode="0.00E+00">
                  <c:v>0.33439999999999998</c:v>
                </c:pt>
                <c:pt idx="89" formatCode="0.00E+00">
                  <c:v>0.33989999999999998</c:v>
                </c:pt>
                <c:pt idx="90" formatCode="0.00E+00">
                  <c:v>0.33589999999999998</c:v>
                </c:pt>
                <c:pt idx="91" formatCode="0.00E+00">
                  <c:v>0.33460000000000001</c:v>
                </c:pt>
                <c:pt idx="92" formatCode="0.00E+00">
                  <c:v>0.3327</c:v>
                </c:pt>
                <c:pt idx="93" formatCode="0.00E+00">
                  <c:v>0.33150000000000002</c:v>
                </c:pt>
                <c:pt idx="94" formatCode="0.00E+00">
                  <c:v>0.33150000000000002</c:v>
                </c:pt>
                <c:pt idx="95" formatCode="0.00E+00">
                  <c:v>0.34449999999999997</c:v>
                </c:pt>
                <c:pt idx="96" formatCode="0.00E+00">
                  <c:v>0.3543</c:v>
                </c:pt>
                <c:pt idx="97" formatCode="0.00E+00">
                  <c:v>0.3543</c:v>
                </c:pt>
                <c:pt idx="98" formatCode="0.00E+00">
                  <c:v>0.34689999999999999</c:v>
                </c:pt>
                <c:pt idx="99" formatCode="0.00E+00">
                  <c:v>0.34499999999999997</c:v>
                </c:pt>
                <c:pt idx="100" formatCode="0.00E+00">
                  <c:v>0.34160000000000001</c:v>
                </c:pt>
                <c:pt idx="101" formatCode="0.00E+00">
                  <c:v>0.34389999999999998</c:v>
                </c:pt>
                <c:pt idx="102" formatCode="0.00E+00">
                  <c:v>0.3473</c:v>
                </c:pt>
                <c:pt idx="103" formatCode="0.00E+00">
                  <c:v>0.3473</c:v>
                </c:pt>
                <c:pt idx="104" formatCode="0.00E+00">
                  <c:v>0.34939999999999999</c:v>
                </c:pt>
                <c:pt idx="105" formatCode="0.00E+00">
                  <c:v>0.34599999999999997</c:v>
                </c:pt>
                <c:pt idx="106" formatCode="0.00E+00">
                  <c:v>0.34179999999999999</c:v>
                </c:pt>
                <c:pt idx="107" formatCode="0.00E+00">
                  <c:v>0.34179999999999999</c:v>
                </c:pt>
                <c:pt idx="108" formatCode="0.00E+00">
                  <c:v>0.33650000000000002</c:v>
                </c:pt>
                <c:pt idx="109" formatCode="0.00E+00">
                  <c:v>0.3372</c:v>
                </c:pt>
                <c:pt idx="110" formatCode="0.00E+00">
                  <c:v>0.34520000000000001</c:v>
                </c:pt>
                <c:pt idx="111" formatCode="0.00E+00">
                  <c:v>0.35149999999999998</c:v>
                </c:pt>
                <c:pt idx="112" formatCode="0.00E+00">
                  <c:v>0.34939999999999999</c:v>
                </c:pt>
                <c:pt idx="113" formatCode="0.00E+00">
                  <c:v>0.34560000000000002</c:v>
                </c:pt>
                <c:pt idx="114" formatCode="0.00E+00">
                  <c:v>0.34310000000000002</c:v>
                </c:pt>
                <c:pt idx="115" formatCode="0.00E+00">
                  <c:v>0.34079999999999999</c:v>
                </c:pt>
                <c:pt idx="116" formatCode="0.00E+00">
                  <c:v>0.34079999999999999</c:v>
                </c:pt>
                <c:pt idx="117" formatCode="0.00E+00">
                  <c:v>0.3382</c:v>
                </c:pt>
                <c:pt idx="118" formatCode="0.00E+00">
                  <c:v>0.34300000000000003</c:v>
                </c:pt>
                <c:pt idx="119" formatCode="0.00E+00">
                  <c:v>0.35020000000000001</c:v>
                </c:pt>
                <c:pt idx="120" formatCode="0.00E+00">
                  <c:v>0.35020000000000001</c:v>
                </c:pt>
                <c:pt idx="121" formatCode="0.00E+00">
                  <c:v>0.34749999999999998</c:v>
                </c:pt>
                <c:pt idx="122" formatCode="0.00E+00">
                  <c:v>0.33589999999999998</c:v>
                </c:pt>
                <c:pt idx="123" formatCode="0.00E+00">
                  <c:v>0.33189999999999997</c:v>
                </c:pt>
                <c:pt idx="124" formatCode="0.00E+00">
                  <c:v>0.33189999999999997</c:v>
                </c:pt>
                <c:pt idx="125" formatCode="0.00E+00">
                  <c:v>0.33139999999999997</c:v>
                </c:pt>
                <c:pt idx="126" formatCode="0.00E+00">
                  <c:v>0.34100000000000003</c:v>
                </c:pt>
                <c:pt idx="127" formatCode="0.00E+00">
                  <c:v>0.34620000000000001</c:v>
                </c:pt>
                <c:pt idx="128" formatCode="0.00E+00">
                  <c:v>0.34860000000000002</c:v>
                </c:pt>
                <c:pt idx="129" formatCode="0.00E+00">
                  <c:v>0.34710000000000002</c:v>
                </c:pt>
                <c:pt idx="130" formatCode="0.00E+00">
                  <c:v>0.33550000000000002</c:v>
                </c:pt>
                <c:pt idx="131" formatCode="0.00E+00">
                  <c:v>0.33289999999999997</c:v>
                </c:pt>
                <c:pt idx="132" formatCode="0.00E+00">
                  <c:v>0.32450000000000001</c:v>
                </c:pt>
                <c:pt idx="133" formatCode="0.00E+00">
                  <c:v>0.32450000000000001</c:v>
                </c:pt>
                <c:pt idx="134" formatCode="0.00E+00">
                  <c:v>0.34770000000000001</c:v>
                </c:pt>
                <c:pt idx="135" formatCode="0.00E+00">
                  <c:v>0.34670000000000001</c:v>
                </c:pt>
                <c:pt idx="136" formatCode="0.00E+00">
                  <c:v>0.34539999999999998</c:v>
                </c:pt>
                <c:pt idx="137" formatCode="0.00E+00">
                  <c:v>0.33700000000000002</c:v>
                </c:pt>
                <c:pt idx="138" formatCode="0.00E+00">
                  <c:v>0.33550000000000002</c:v>
                </c:pt>
                <c:pt idx="139" formatCode="0.00E+00">
                  <c:v>0.32850000000000001</c:v>
                </c:pt>
                <c:pt idx="140" formatCode="0.00E+00">
                  <c:v>0.32619999999999999</c:v>
                </c:pt>
                <c:pt idx="141" formatCode="0.00E+00">
                  <c:v>0.32619999999999999</c:v>
                </c:pt>
                <c:pt idx="142" formatCode="0.00E+00">
                  <c:v>0.33460000000000001</c:v>
                </c:pt>
                <c:pt idx="143" formatCode="0.00E+00">
                  <c:v>0.33739999999999998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422144"/>
        <c:axId val="156424064"/>
      </c:scatterChart>
      <c:valAx>
        <c:axId val="1564221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(s)</a:t>
                </a:r>
              </a:p>
            </c:rich>
          </c:tx>
          <c:overlay val="0"/>
        </c:title>
        <c:numFmt formatCode="0.00" sourceLinked="0"/>
        <c:majorTickMark val="none"/>
        <c:minorTickMark val="none"/>
        <c:tickLblPos val="nextTo"/>
        <c:crossAx val="156424064"/>
        <c:crosses val="autoZero"/>
        <c:crossBetween val="midCat"/>
      </c:valAx>
      <c:valAx>
        <c:axId val="156424064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Normal (N)</a:t>
                </a:r>
              </a:p>
            </c:rich>
          </c:tx>
          <c:overlay val="0"/>
        </c:title>
        <c:numFmt formatCode="0.00" sourceLinked="0"/>
        <c:majorTickMark val="none"/>
        <c:minorTickMark val="none"/>
        <c:tickLblPos val="nextTo"/>
        <c:crossAx val="15642214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xVal>
            <c:numRef>
              <c:f>'Yield, Bubble Pinch'!$C$3:$C$40</c:f>
              <c:numCache>
                <c:formatCode>0.000</c:formatCode>
                <c:ptCount val="38"/>
                <c:pt idx="0">
                  <c:v>3.0087000000000001E-4</c:v>
                </c:pt>
                <c:pt idx="1">
                  <c:v>1.2731000000000001E-3</c:v>
                </c:pt>
                <c:pt idx="2">
                  <c:v>1.5873E-3</c:v>
                </c:pt>
                <c:pt idx="3">
                  <c:v>1.9889999999999999E-3</c:v>
                </c:pt>
                <c:pt idx="4">
                  <c:v>2.5205000000000002E-3</c:v>
                </c:pt>
                <c:pt idx="5">
                  <c:v>3.1429000000000001E-3</c:v>
                </c:pt>
                <c:pt idx="6">
                  <c:v>4.0057000000000001E-3</c:v>
                </c:pt>
                <c:pt idx="7">
                  <c:v>4.9975000000000002E-3</c:v>
                </c:pt>
                <c:pt idx="8">
                  <c:v>6.3051000000000001E-3</c:v>
                </c:pt>
                <c:pt idx="9">
                  <c:v>7.9632999999999995E-3</c:v>
                </c:pt>
                <c:pt idx="10">
                  <c:v>1.0014E-2</c:v>
                </c:pt>
                <c:pt idx="11">
                  <c:v>1.2611000000000001E-2</c:v>
                </c:pt>
                <c:pt idx="12">
                  <c:v>1.5896E-2</c:v>
                </c:pt>
                <c:pt idx="13">
                  <c:v>2.0048E-2</c:v>
                </c:pt>
                <c:pt idx="14">
                  <c:v>2.5312000000000001E-2</c:v>
                </c:pt>
                <c:pt idx="15">
                  <c:v>3.1850999999999997E-2</c:v>
                </c:pt>
                <c:pt idx="16">
                  <c:v>4.0568E-2</c:v>
                </c:pt>
                <c:pt idx="17">
                  <c:v>5.1194999999999997E-2</c:v>
                </c:pt>
                <c:pt idx="18">
                  <c:v>6.4949999999999994E-2</c:v>
                </c:pt>
                <c:pt idx="19">
                  <c:v>8.2507999999999998E-2</c:v>
                </c:pt>
                <c:pt idx="20">
                  <c:v>0.10442</c:v>
                </c:pt>
                <c:pt idx="21">
                  <c:v>0.13153000000000001</c:v>
                </c:pt>
                <c:pt idx="22">
                  <c:v>0.16552</c:v>
                </c:pt>
                <c:pt idx="23">
                  <c:v>0.20766999999999999</c:v>
                </c:pt>
                <c:pt idx="24">
                  <c:v>0.26168999999999998</c:v>
                </c:pt>
                <c:pt idx="25">
                  <c:v>0.32678000000000001</c:v>
                </c:pt>
                <c:pt idx="26">
                  <c:v>0.41389999999999999</c:v>
                </c:pt>
                <c:pt idx="27">
                  <c:v>0.51868000000000003</c:v>
                </c:pt>
                <c:pt idx="28">
                  <c:v>0.66381000000000001</c:v>
                </c:pt>
                <c:pt idx="29">
                  <c:v>0.83838000000000001</c:v>
                </c:pt>
                <c:pt idx="30">
                  <c:v>1.046</c:v>
                </c:pt>
                <c:pt idx="31">
                  <c:v>1.3216000000000001</c:v>
                </c:pt>
                <c:pt idx="32">
                  <c:v>1.6436999999999999</c:v>
                </c:pt>
                <c:pt idx="33">
                  <c:v>2.0539999999999998</c:v>
                </c:pt>
                <c:pt idx="34">
                  <c:v>2.5880999999999998</c:v>
                </c:pt>
                <c:pt idx="35">
                  <c:v>3.2326999999999999</c:v>
                </c:pt>
                <c:pt idx="36">
                  <c:v>4.0495999999999999</c:v>
                </c:pt>
                <c:pt idx="37">
                  <c:v>5.0956999999999999</c:v>
                </c:pt>
              </c:numCache>
            </c:numRef>
          </c:xVal>
          <c:yVal>
            <c:numRef>
              <c:f>'Yield, Bubble Pinch'!$B$3:$B$40</c:f>
              <c:numCache>
                <c:formatCode>0.000</c:formatCode>
                <c:ptCount val="38"/>
                <c:pt idx="0" formatCode="0.0000">
                  <c:v>0.1726</c:v>
                </c:pt>
                <c:pt idx="1">
                  <c:v>0.94169999999999998</c:v>
                </c:pt>
                <c:pt idx="2" formatCode="0.00E+00">
                  <c:v>1.171</c:v>
                </c:pt>
                <c:pt idx="3" formatCode="0.00E+00">
                  <c:v>1.4770000000000001</c:v>
                </c:pt>
                <c:pt idx="4">
                  <c:v>1.857</c:v>
                </c:pt>
                <c:pt idx="5">
                  <c:v>2.33</c:v>
                </c:pt>
                <c:pt idx="6">
                  <c:v>2.95</c:v>
                </c:pt>
                <c:pt idx="7">
                  <c:v>3.6890000000000001</c:v>
                </c:pt>
                <c:pt idx="8">
                  <c:v>4.6559999999999997</c:v>
                </c:pt>
                <c:pt idx="9">
                  <c:v>5.867</c:v>
                </c:pt>
                <c:pt idx="10">
                  <c:v>7.37</c:v>
                </c:pt>
                <c:pt idx="11">
                  <c:v>9.2390000000000008</c:v>
                </c:pt>
                <c:pt idx="12">
                  <c:v>11.58</c:v>
                </c:pt>
                <c:pt idx="13">
                  <c:v>14.47</c:v>
                </c:pt>
                <c:pt idx="14">
                  <c:v>17.97</c:v>
                </c:pt>
                <c:pt idx="15">
                  <c:v>22.15</c:v>
                </c:pt>
                <c:pt idx="16">
                  <c:v>27.34</c:v>
                </c:pt>
                <c:pt idx="17">
                  <c:v>33.01</c:v>
                </c:pt>
                <c:pt idx="18">
                  <c:v>39.51</c:v>
                </c:pt>
                <c:pt idx="19">
                  <c:v>46.58</c:v>
                </c:pt>
                <c:pt idx="20">
                  <c:v>53.75</c:v>
                </c:pt>
                <c:pt idx="21">
                  <c:v>61.06</c:v>
                </c:pt>
                <c:pt idx="22">
                  <c:v>68.94</c:v>
                </c:pt>
                <c:pt idx="23">
                  <c:v>77.52</c:v>
                </c:pt>
                <c:pt idx="24">
                  <c:v>87.61</c:v>
                </c:pt>
                <c:pt idx="25">
                  <c:v>98.58</c:v>
                </c:pt>
                <c:pt idx="26">
                  <c:v>111.4</c:v>
                </c:pt>
                <c:pt idx="27">
                  <c:v>123.9</c:v>
                </c:pt>
                <c:pt idx="28">
                  <c:v>136.30000000000001</c:v>
                </c:pt>
                <c:pt idx="29">
                  <c:v>146.1</c:v>
                </c:pt>
                <c:pt idx="30">
                  <c:v>155.30000000000001</c:v>
                </c:pt>
                <c:pt idx="31">
                  <c:v>165.3</c:v>
                </c:pt>
                <c:pt idx="32">
                  <c:v>175.5</c:v>
                </c:pt>
                <c:pt idx="33">
                  <c:v>187.1</c:v>
                </c:pt>
                <c:pt idx="34">
                  <c:v>199.4</c:v>
                </c:pt>
                <c:pt idx="35">
                  <c:v>212.7</c:v>
                </c:pt>
                <c:pt idx="36">
                  <c:v>227.5</c:v>
                </c:pt>
                <c:pt idx="37">
                  <c:v>242.8</c:v>
                </c:pt>
              </c:numCache>
            </c:numRef>
          </c:yVal>
          <c:smooth val="1"/>
        </c:ser>
        <c:ser>
          <c:idx val="1"/>
          <c:order val="1"/>
          <c:xVal>
            <c:numRef>
              <c:f>'Yield, Bubble Pinch'!$C$3:$C$40</c:f>
              <c:numCache>
                <c:formatCode>0.000</c:formatCode>
                <c:ptCount val="38"/>
                <c:pt idx="0">
                  <c:v>3.0087000000000001E-4</c:v>
                </c:pt>
                <c:pt idx="1">
                  <c:v>1.2731000000000001E-3</c:v>
                </c:pt>
                <c:pt idx="2">
                  <c:v>1.5873E-3</c:v>
                </c:pt>
                <c:pt idx="3">
                  <c:v>1.9889999999999999E-3</c:v>
                </c:pt>
                <c:pt idx="4">
                  <c:v>2.5205000000000002E-3</c:v>
                </c:pt>
                <c:pt idx="5">
                  <c:v>3.1429000000000001E-3</c:v>
                </c:pt>
                <c:pt idx="6">
                  <c:v>4.0057000000000001E-3</c:v>
                </c:pt>
                <c:pt idx="7">
                  <c:v>4.9975000000000002E-3</c:v>
                </c:pt>
                <c:pt idx="8">
                  <c:v>6.3051000000000001E-3</c:v>
                </c:pt>
                <c:pt idx="9">
                  <c:v>7.9632999999999995E-3</c:v>
                </c:pt>
                <c:pt idx="10">
                  <c:v>1.0014E-2</c:v>
                </c:pt>
                <c:pt idx="11">
                  <c:v>1.2611000000000001E-2</c:v>
                </c:pt>
                <c:pt idx="12">
                  <c:v>1.5896E-2</c:v>
                </c:pt>
                <c:pt idx="13">
                  <c:v>2.0048E-2</c:v>
                </c:pt>
                <c:pt idx="14">
                  <c:v>2.5312000000000001E-2</c:v>
                </c:pt>
                <c:pt idx="15">
                  <c:v>3.1850999999999997E-2</c:v>
                </c:pt>
                <c:pt idx="16">
                  <c:v>4.0568E-2</c:v>
                </c:pt>
                <c:pt idx="17">
                  <c:v>5.1194999999999997E-2</c:v>
                </c:pt>
                <c:pt idx="18">
                  <c:v>6.4949999999999994E-2</c:v>
                </c:pt>
                <c:pt idx="19">
                  <c:v>8.2507999999999998E-2</c:v>
                </c:pt>
                <c:pt idx="20">
                  <c:v>0.10442</c:v>
                </c:pt>
                <c:pt idx="21">
                  <c:v>0.13153000000000001</c:v>
                </c:pt>
                <c:pt idx="22">
                  <c:v>0.16552</c:v>
                </c:pt>
                <c:pt idx="23">
                  <c:v>0.20766999999999999</c:v>
                </c:pt>
                <c:pt idx="24">
                  <c:v>0.26168999999999998</c:v>
                </c:pt>
                <c:pt idx="25">
                  <c:v>0.32678000000000001</c:v>
                </c:pt>
                <c:pt idx="26">
                  <c:v>0.41389999999999999</c:v>
                </c:pt>
                <c:pt idx="27">
                  <c:v>0.51868000000000003</c:v>
                </c:pt>
                <c:pt idx="28">
                  <c:v>0.66381000000000001</c:v>
                </c:pt>
                <c:pt idx="29">
                  <c:v>0.83838000000000001</c:v>
                </c:pt>
                <c:pt idx="30">
                  <c:v>1.046</c:v>
                </c:pt>
                <c:pt idx="31">
                  <c:v>1.3216000000000001</c:v>
                </c:pt>
                <c:pt idx="32">
                  <c:v>1.6436999999999999</c:v>
                </c:pt>
                <c:pt idx="33">
                  <c:v>2.0539999999999998</c:v>
                </c:pt>
                <c:pt idx="34">
                  <c:v>2.5880999999999998</c:v>
                </c:pt>
                <c:pt idx="35">
                  <c:v>3.2326999999999999</c:v>
                </c:pt>
                <c:pt idx="36">
                  <c:v>4.0495999999999999</c:v>
                </c:pt>
                <c:pt idx="37">
                  <c:v>5.0956999999999999</c:v>
                </c:pt>
              </c:numCache>
            </c:numRef>
          </c:xVal>
          <c:yVal>
            <c:numRef>
              <c:f>'Yield, Bubble Pinch'!$K$3:$K$40</c:f>
              <c:numCache>
                <c:formatCode>0.000</c:formatCode>
                <c:ptCount val="38"/>
                <c:pt idx="0">
                  <c:v>0.22210838391980567</c:v>
                </c:pt>
                <c:pt idx="1">
                  <c:v>0.93982822838066948</c:v>
                </c:pt>
                <c:pt idx="2">
                  <c:v>1.1717770214950594</c:v>
                </c:pt>
                <c:pt idx="3">
                  <c:v>1.4683200838567729</c:v>
                </c:pt>
                <c:pt idx="4">
                  <c:v>1.8606841307705171</c:v>
                </c:pt>
                <c:pt idx="5">
                  <c:v>2.3201523956794805</c:v>
                </c:pt>
                <c:pt idx="6">
                  <c:v>2.9570888014690913</c:v>
                </c:pt>
                <c:pt idx="7">
                  <c:v>3.6892556156347567</c:v>
                </c:pt>
                <c:pt idx="8">
                  <c:v>4.6545523752667632</c:v>
                </c:pt>
                <c:pt idx="9">
                  <c:v>5.878669144020046</c:v>
                </c:pt>
                <c:pt idx="10">
                  <c:v>7.3925373491113247</c:v>
                </c:pt>
                <c:pt idx="11">
                  <c:v>9.3096952603718925</c:v>
                </c:pt>
                <c:pt idx="12">
                  <c:v>11.73474868297142</c:v>
                </c:pt>
                <c:pt idx="13">
                  <c:v>14.799839036284428</c:v>
                </c:pt>
                <c:pt idx="14">
                  <c:v>18.685830274203429</c:v>
                </c:pt>
                <c:pt idx="15">
                  <c:v>23.513052292583424</c:v>
                </c:pt>
                <c:pt idx="16">
                  <c:v>29.948117950056812</c:v>
                </c:pt>
                <c:pt idx="17">
                  <c:v>37.793184227671773</c:v>
                </c:pt>
                <c:pt idx="18">
                  <c:v>47.947403353351071</c:v>
                </c:pt>
                <c:pt idx="19">
                  <c:v>60.909073975574046</c:v>
                </c:pt>
                <c:pt idx="20">
                  <c:v>77.084955435543861</c:v>
                </c:pt>
                <c:pt idx="21">
                  <c:v>97.098105598914685</c:v>
                </c:pt>
                <c:pt idx="22">
                  <c:v>122.19021087567508</c:v>
                </c:pt>
                <c:pt idx="23">
                  <c:v>153.3061931473859</c:v>
                </c:pt>
                <c:pt idx="24">
                  <c:v>193.18484943013365</c:v>
                </c:pt>
                <c:pt idx="25">
                  <c:v>241.23560354794287</c:v>
                </c:pt>
                <c:pt idx="26">
                  <c:v>305.54934911167823</c:v>
                </c:pt>
                <c:pt idx="27">
                  <c:v>382.90006376007352</c:v>
                </c:pt>
                <c:pt idx="28">
                  <c:v>490.03796428423465</c:v>
                </c:pt>
                <c:pt idx="29">
                  <c:v>618.90906808429531</c:v>
                </c:pt>
                <c:pt idx="30">
                  <c:v>772.17835015434514</c:v>
                </c:pt>
                <c:pt idx="31">
                  <c:v>975.63184277791584</c:v>
                </c:pt>
                <c:pt idx="32">
                  <c:v>1213.4125756300641</c:v>
                </c:pt>
                <c:pt idx="33">
                  <c:v>1516.3043318835148</c:v>
                </c:pt>
                <c:pt idx="34">
                  <c:v>1910.5877513691789</c:v>
                </c:pt>
                <c:pt idx="35">
                  <c:v>2386.4445051614634</c:v>
                </c:pt>
                <c:pt idx="36">
                  <c:v>2989.4966028544782</c:v>
                </c:pt>
                <c:pt idx="37">
                  <c:v>3761.7487749644824</c:v>
                </c:pt>
              </c:numCache>
            </c:numRef>
          </c:yVal>
          <c:smooth val="1"/>
        </c:ser>
        <c:ser>
          <c:idx val="2"/>
          <c:order val="2"/>
          <c:xVal>
            <c:numRef>
              <c:f>'Yield, Bubble Pinch'!$C$3:$C$40</c:f>
              <c:numCache>
                <c:formatCode>0.000</c:formatCode>
                <c:ptCount val="38"/>
                <c:pt idx="0">
                  <c:v>3.0087000000000001E-4</c:v>
                </c:pt>
                <c:pt idx="1">
                  <c:v>1.2731000000000001E-3</c:v>
                </c:pt>
                <c:pt idx="2">
                  <c:v>1.5873E-3</c:v>
                </c:pt>
                <c:pt idx="3">
                  <c:v>1.9889999999999999E-3</c:v>
                </c:pt>
                <c:pt idx="4">
                  <c:v>2.5205000000000002E-3</c:v>
                </c:pt>
                <c:pt idx="5">
                  <c:v>3.1429000000000001E-3</c:v>
                </c:pt>
                <c:pt idx="6">
                  <c:v>4.0057000000000001E-3</c:v>
                </c:pt>
                <c:pt idx="7">
                  <c:v>4.9975000000000002E-3</c:v>
                </c:pt>
                <c:pt idx="8">
                  <c:v>6.3051000000000001E-3</c:v>
                </c:pt>
                <c:pt idx="9">
                  <c:v>7.9632999999999995E-3</c:v>
                </c:pt>
                <c:pt idx="10">
                  <c:v>1.0014E-2</c:v>
                </c:pt>
                <c:pt idx="11">
                  <c:v>1.2611000000000001E-2</c:v>
                </c:pt>
                <c:pt idx="12">
                  <c:v>1.5896E-2</c:v>
                </c:pt>
                <c:pt idx="13">
                  <c:v>2.0048E-2</c:v>
                </c:pt>
                <c:pt idx="14">
                  <c:v>2.5312000000000001E-2</c:v>
                </c:pt>
                <c:pt idx="15">
                  <c:v>3.1850999999999997E-2</c:v>
                </c:pt>
                <c:pt idx="16">
                  <c:v>4.0568E-2</c:v>
                </c:pt>
                <c:pt idx="17">
                  <c:v>5.1194999999999997E-2</c:v>
                </c:pt>
                <c:pt idx="18">
                  <c:v>6.4949999999999994E-2</c:v>
                </c:pt>
                <c:pt idx="19">
                  <c:v>8.2507999999999998E-2</c:v>
                </c:pt>
                <c:pt idx="20">
                  <c:v>0.10442</c:v>
                </c:pt>
                <c:pt idx="21">
                  <c:v>0.13153000000000001</c:v>
                </c:pt>
                <c:pt idx="22">
                  <c:v>0.16552</c:v>
                </c:pt>
                <c:pt idx="23">
                  <c:v>0.20766999999999999</c:v>
                </c:pt>
                <c:pt idx="24">
                  <c:v>0.26168999999999998</c:v>
                </c:pt>
                <c:pt idx="25">
                  <c:v>0.32678000000000001</c:v>
                </c:pt>
                <c:pt idx="26">
                  <c:v>0.41389999999999999</c:v>
                </c:pt>
                <c:pt idx="27">
                  <c:v>0.51868000000000003</c:v>
                </c:pt>
                <c:pt idx="28">
                  <c:v>0.66381000000000001</c:v>
                </c:pt>
                <c:pt idx="29">
                  <c:v>0.83838000000000001</c:v>
                </c:pt>
                <c:pt idx="30">
                  <c:v>1.046</c:v>
                </c:pt>
                <c:pt idx="31">
                  <c:v>1.3216000000000001</c:v>
                </c:pt>
                <c:pt idx="32">
                  <c:v>1.6436999999999999</c:v>
                </c:pt>
                <c:pt idx="33">
                  <c:v>2.0539999999999998</c:v>
                </c:pt>
                <c:pt idx="34">
                  <c:v>2.5880999999999998</c:v>
                </c:pt>
                <c:pt idx="35">
                  <c:v>3.2326999999999999</c:v>
                </c:pt>
                <c:pt idx="36">
                  <c:v>4.0495999999999999</c:v>
                </c:pt>
                <c:pt idx="37">
                  <c:v>5.0956999999999999</c:v>
                </c:pt>
              </c:numCache>
            </c:numRef>
          </c:xVal>
          <c:yVal>
            <c:numRef>
              <c:f>'Yield, Bubble Pinch'!$L$3:$L$40</c:f>
              <c:numCache>
                <c:formatCode>General</c:formatCode>
                <c:ptCount val="38"/>
                <c:pt idx="0">
                  <c:v>134.55037277514973</c:v>
                </c:pt>
                <c:pt idx="1">
                  <c:v>134.57486824797564</c:v>
                </c:pt>
                <c:pt idx="2">
                  <c:v>134.58278456156594</c:v>
                </c:pt>
                <c:pt idx="3">
                  <c:v>134.592905450074</c:v>
                </c:pt>
                <c:pt idx="4">
                  <c:v>134.60629666800284</c:v>
                </c:pt>
                <c:pt idx="5">
                  <c:v>134.62197812433197</c:v>
                </c:pt>
                <c:pt idx="6">
                  <c:v>134.64371649277791</c:v>
                </c:pt>
                <c:pt idx="7">
                  <c:v>134.66870503453114</c:v>
                </c:pt>
                <c:pt idx="8">
                  <c:v>134.70165020210177</c:v>
                </c:pt>
                <c:pt idx="9">
                  <c:v>134.74342878642847</c:v>
                </c:pt>
                <c:pt idx="10">
                  <c:v>134.79509646395755</c:v>
                </c:pt>
                <c:pt idx="11">
                  <c:v>134.8605282475159</c:v>
                </c:pt>
                <c:pt idx="12">
                  <c:v>134.94329428871308</c:v>
                </c:pt>
                <c:pt idx="13">
                  <c:v>135.04790451795228</c:v>
                </c:pt>
                <c:pt idx="14">
                  <c:v>135.18053174500312</c:v>
                </c:pt>
                <c:pt idx="15">
                  <c:v>135.34528277799811</c:v>
                </c:pt>
                <c:pt idx="16">
                  <c:v>135.5649088300882</c:v>
                </c:pt>
                <c:pt idx="17">
                  <c:v>135.83265760323968</c:v>
                </c:pt>
                <c:pt idx="18">
                  <c:v>136.1792167803074</c:v>
                </c:pt>
                <c:pt idx="19">
                  <c:v>136.6215930820853</c:v>
                </c:pt>
                <c:pt idx="20">
                  <c:v>137.17366903176963</c:v>
                </c:pt>
                <c:pt idx="21">
                  <c:v>137.85670932913828</c:v>
                </c:pt>
                <c:pt idx="22">
                  <c:v>138.71309220289558</c:v>
                </c:pt>
                <c:pt idx="23">
                  <c:v>139.77506743469525</c:v>
                </c:pt>
                <c:pt idx="24">
                  <c:v>141.13610900104916</c:v>
                </c:pt>
                <c:pt idx="25">
                  <c:v>142.77606078842376</c:v>
                </c:pt>
                <c:pt idx="26">
                  <c:v>144.97106155222889</c:v>
                </c:pt>
                <c:pt idx="27">
                  <c:v>147.61100852228745</c:v>
                </c:pt>
                <c:pt idx="28">
                  <c:v>151.26757946869515</c:v>
                </c:pt>
                <c:pt idx="29">
                  <c:v>155.66589539313799</c:v>
                </c:pt>
                <c:pt idx="30">
                  <c:v>160.89691075793621</c:v>
                </c:pt>
                <c:pt idx="31">
                  <c:v>167.84069187024906</c:v>
                </c:pt>
                <c:pt idx="32">
                  <c:v>175.95604708170029</c:v>
                </c:pt>
                <c:pt idx="33">
                  <c:v>186.29361381022699</c:v>
                </c:pt>
                <c:pt idx="34">
                  <c:v>199.75033910807269</c:v>
                </c:pt>
                <c:pt idx="35">
                  <c:v>215.99112758774197</c:v>
                </c:pt>
                <c:pt idx="36">
                  <c:v>236.57303901970261</c:v>
                </c:pt>
                <c:pt idx="37">
                  <c:v>262.92967697902941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896448"/>
        <c:axId val="155906432"/>
      </c:scatterChart>
      <c:valAx>
        <c:axId val="155896448"/>
        <c:scaling>
          <c:logBase val="10"/>
          <c:orientation val="minMax"/>
          <c:min val="1.0000000000000221E-4"/>
        </c:scaling>
        <c:delete val="0"/>
        <c:axPos val="b"/>
        <c:numFmt formatCode="0.000" sourceLinked="1"/>
        <c:majorTickMark val="out"/>
        <c:minorTickMark val="none"/>
        <c:tickLblPos val="nextTo"/>
        <c:crossAx val="155906432"/>
        <c:crosses val="autoZero"/>
        <c:crossBetween val="midCat"/>
      </c:valAx>
      <c:valAx>
        <c:axId val="155906432"/>
        <c:scaling>
          <c:logBase val="10"/>
          <c:orientation val="minMax"/>
        </c:scaling>
        <c:delete val="0"/>
        <c:axPos val="l"/>
        <c:majorGridlines/>
        <c:numFmt formatCode="0.0000" sourceLinked="1"/>
        <c:majorTickMark val="out"/>
        <c:minorTickMark val="none"/>
        <c:tickLblPos val="nextTo"/>
        <c:crossAx val="15589644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Shear Stress vs. Time</c:v>
          </c:tx>
          <c:spPr>
            <a:ln w="28575">
              <a:noFill/>
            </a:ln>
          </c:spPr>
          <c:xVal>
            <c:numRef>
              <c:f>'Fract-Band'!$A$4:$A$421</c:f>
              <c:numCache>
                <c:formatCode>0.00000</c:formatCode>
                <c:ptCount val="418"/>
                <c:pt idx="0" formatCode="0.00E+00">
                  <c:v>1E-3</c:v>
                </c:pt>
                <c:pt idx="1">
                  <c:v>2E-3</c:v>
                </c:pt>
                <c:pt idx="2" formatCode="0.00E+00">
                  <c:v>3.0000000000000001E-3</c:v>
                </c:pt>
                <c:pt idx="3" formatCode="0.00E+00">
                  <c:v>4.0000000000000001E-3</c:v>
                </c:pt>
                <c:pt idx="4" formatCode="0.000">
                  <c:v>5.0000000000000001E-3</c:v>
                </c:pt>
                <c:pt idx="5" formatCode="0.000">
                  <c:v>6.0000000000000001E-3</c:v>
                </c:pt>
                <c:pt idx="6" formatCode="0.00E+00">
                  <c:v>7.0000000000000001E-3</c:v>
                </c:pt>
                <c:pt idx="7" formatCode="0.00E+00">
                  <c:v>8.0000000000000002E-3</c:v>
                </c:pt>
                <c:pt idx="8" formatCode="0.00E+00">
                  <c:v>8.9999999999999993E-3</c:v>
                </c:pt>
                <c:pt idx="9" formatCode="General">
                  <c:v>0.01</c:v>
                </c:pt>
                <c:pt idx="10" formatCode="General">
                  <c:v>1.0999999999999999E-2</c:v>
                </c:pt>
                <c:pt idx="11" formatCode="General">
                  <c:v>1.2E-2</c:v>
                </c:pt>
                <c:pt idx="12" formatCode="General">
                  <c:v>1.2999999999999999E-2</c:v>
                </c:pt>
                <c:pt idx="13" formatCode="General">
                  <c:v>1.4E-2</c:v>
                </c:pt>
                <c:pt idx="14" formatCode="General">
                  <c:v>1.4999999999999999E-2</c:v>
                </c:pt>
                <c:pt idx="15" formatCode="General">
                  <c:v>1.6E-2</c:v>
                </c:pt>
                <c:pt idx="16" formatCode="General">
                  <c:v>1.7000000000000001E-2</c:v>
                </c:pt>
                <c:pt idx="17" formatCode="General">
                  <c:v>1.7999999999999999E-2</c:v>
                </c:pt>
                <c:pt idx="18" formatCode="General">
                  <c:v>1.9E-2</c:v>
                </c:pt>
                <c:pt idx="19" formatCode="General">
                  <c:v>0.02</c:v>
                </c:pt>
                <c:pt idx="20" formatCode="General">
                  <c:v>2.1000000000000001E-2</c:v>
                </c:pt>
                <c:pt idx="21" formatCode="General">
                  <c:v>2.1999999999999999E-2</c:v>
                </c:pt>
                <c:pt idx="22" formatCode="General">
                  <c:v>2.3E-2</c:v>
                </c:pt>
                <c:pt idx="23" formatCode="General">
                  <c:v>2.4E-2</c:v>
                </c:pt>
                <c:pt idx="24" formatCode="General">
                  <c:v>2.5000000000000001E-2</c:v>
                </c:pt>
                <c:pt idx="25" formatCode="General">
                  <c:v>2.5999999999999999E-2</c:v>
                </c:pt>
                <c:pt idx="26" formatCode="General">
                  <c:v>2.7E-2</c:v>
                </c:pt>
                <c:pt idx="27" formatCode="General">
                  <c:v>2.8000000000000001E-2</c:v>
                </c:pt>
                <c:pt idx="28" formatCode="General">
                  <c:v>2.9000000000000001E-2</c:v>
                </c:pt>
                <c:pt idx="29" formatCode="General">
                  <c:v>0.03</c:v>
                </c:pt>
                <c:pt idx="30" formatCode="General">
                  <c:v>3.1E-2</c:v>
                </c:pt>
                <c:pt idx="31" formatCode="General">
                  <c:v>3.2000000000000001E-2</c:v>
                </c:pt>
                <c:pt idx="32" formatCode="General">
                  <c:v>3.3000000000000002E-2</c:v>
                </c:pt>
                <c:pt idx="33" formatCode="General">
                  <c:v>3.4000000000000002E-2</c:v>
                </c:pt>
                <c:pt idx="34" formatCode="General">
                  <c:v>3.5000000000000003E-2</c:v>
                </c:pt>
                <c:pt idx="35" formatCode="General">
                  <c:v>3.5999999999999997E-2</c:v>
                </c:pt>
                <c:pt idx="36" formatCode="General">
                  <c:v>3.6999999999999998E-2</c:v>
                </c:pt>
                <c:pt idx="37" formatCode="General">
                  <c:v>3.7999999999999999E-2</c:v>
                </c:pt>
                <c:pt idx="38" formatCode="General">
                  <c:v>3.9E-2</c:v>
                </c:pt>
                <c:pt idx="39" formatCode="General">
                  <c:v>0.04</c:v>
                </c:pt>
                <c:pt idx="40" formatCode="General">
                  <c:v>4.1500000000000002E-2</c:v>
                </c:pt>
                <c:pt idx="41" formatCode="General">
                  <c:v>4.3499999999999997E-2</c:v>
                </c:pt>
                <c:pt idx="42" formatCode="General">
                  <c:v>4.5499999999999999E-2</c:v>
                </c:pt>
                <c:pt idx="43" formatCode="General">
                  <c:v>4.7500000000000001E-2</c:v>
                </c:pt>
                <c:pt idx="44" formatCode="General">
                  <c:v>4.9500000000000002E-2</c:v>
                </c:pt>
                <c:pt idx="45" formatCode="General">
                  <c:v>5.1499999999999997E-2</c:v>
                </c:pt>
                <c:pt idx="46" formatCode="General">
                  <c:v>5.3499999999999999E-2</c:v>
                </c:pt>
                <c:pt idx="47" formatCode="General">
                  <c:v>5.5500000000000001E-2</c:v>
                </c:pt>
                <c:pt idx="48" formatCode="General">
                  <c:v>5.7500000000000002E-2</c:v>
                </c:pt>
                <c:pt idx="49" formatCode="General">
                  <c:v>5.9499999999999997E-2</c:v>
                </c:pt>
                <c:pt idx="50" formatCode="General">
                  <c:v>6.1499999999999999E-2</c:v>
                </c:pt>
                <c:pt idx="51" formatCode="General">
                  <c:v>6.3500000000000001E-2</c:v>
                </c:pt>
                <c:pt idx="52" formatCode="General">
                  <c:v>6.5500000000000003E-2</c:v>
                </c:pt>
                <c:pt idx="53" formatCode="General">
                  <c:v>6.7500000000000004E-2</c:v>
                </c:pt>
                <c:pt idx="54" formatCode="General">
                  <c:v>6.9500000000000006E-2</c:v>
                </c:pt>
                <c:pt idx="55" formatCode="General">
                  <c:v>7.1499999999999994E-2</c:v>
                </c:pt>
                <c:pt idx="56" formatCode="General">
                  <c:v>7.3499999999999996E-2</c:v>
                </c:pt>
                <c:pt idx="57" formatCode="General">
                  <c:v>7.5499999999999998E-2</c:v>
                </c:pt>
                <c:pt idx="58" formatCode="General">
                  <c:v>7.7499999999999999E-2</c:v>
                </c:pt>
                <c:pt idx="59" formatCode="General">
                  <c:v>7.9500000000000001E-2</c:v>
                </c:pt>
                <c:pt idx="60" formatCode="General">
                  <c:v>8.1500000000000003E-2</c:v>
                </c:pt>
                <c:pt idx="61" formatCode="General">
                  <c:v>8.3500000000000005E-2</c:v>
                </c:pt>
                <c:pt idx="62" formatCode="General">
                  <c:v>8.5500000000000007E-2</c:v>
                </c:pt>
                <c:pt idx="63" formatCode="General">
                  <c:v>8.7499999999999994E-2</c:v>
                </c:pt>
                <c:pt idx="64" formatCode="General">
                  <c:v>8.9499999999999996E-2</c:v>
                </c:pt>
                <c:pt idx="65" formatCode="General">
                  <c:v>9.1499999999999998E-2</c:v>
                </c:pt>
                <c:pt idx="66" formatCode="General">
                  <c:v>9.35E-2</c:v>
                </c:pt>
                <c:pt idx="67" formatCode="General">
                  <c:v>9.5500000000000002E-2</c:v>
                </c:pt>
                <c:pt idx="68" formatCode="General">
                  <c:v>9.7500000000000003E-2</c:v>
                </c:pt>
                <c:pt idx="69" formatCode="General">
                  <c:v>9.9500000000000005E-2</c:v>
                </c:pt>
                <c:pt idx="70" formatCode="General">
                  <c:v>0.10150000000000001</c:v>
                </c:pt>
                <c:pt idx="71" formatCode="General">
                  <c:v>0.10349999999999999</c:v>
                </c:pt>
                <c:pt idx="72" formatCode="General">
                  <c:v>0.1055</c:v>
                </c:pt>
                <c:pt idx="73" formatCode="General">
                  <c:v>0.1075</c:v>
                </c:pt>
                <c:pt idx="74" formatCode="General">
                  <c:v>0.1095</c:v>
                </c:pt>
                <c:pt idx="75" formatCode="General">
                  <c:v>0.1115</c:v>
                </c:pt>
                <c:pt idx="76" formatCode="General">
                  <c:v>0.1135</c:v>
                </c:pt>
                <c:pt idx="77" formatCode="General">
                  <c:v>0.11550000000000001</c:v>
                </c:pt>
                <c:pt idx="78" formatCode="General">
                  <c:v>0.11749999999999999</c:v>
                </c:pt>
                <c:pt idx="79" formatCode="General">
                  <c:v>0.1195</c:v>
                </c:pt>
                <c:pt idx="80" formatCode="General">
                  <c:v>0.1225</c:v>
                </c:pt>
                <c:pt idx="81" formatCode="General">
                  <c:v>0.1265</c:v>
                </c:pt>
                <c:pt idx="82" formatCode="General">
                  <c:v>0.1305</c:v>
                </c:pt>
                <c:pt idx="83" formatCode="General">
                  <c:v>0.13450000000000001</c:v>
                </c:pt>
                <c:pt idx="84" formatCode="General">
                  <c:v>0.13850000000000001</c:v>
                </c:pt>
                <c:pt idx="85" formatCode="General">
                  <c:v>0.14249999999999999</c:v>
                </c:pt>
                <c:pt idx="86" formatCode="General">
                  <c:v>0.14649999999999999</c:v>
                </c:pt>
                <c:pt idx="87" formatCode="General">
                  <c:v>0.15049999999999999</c:v>
                </c:pt>
                <c:pt idx="88" formatCode="General">
                  <c:v>0.1545</c:v>
                </c:pt>
                <c:pt idx="89" formatCode="General">
                  <c:v>0.1585</c:v>
                </c:pt>
                <c:pt idx="90" formatCode="General">
                  <c:v>0.16250000000000001</c:v>
                </c:pt>
                <c:pt idx="91" formatCode="General">
                  <c:v>0.16650000000000001</c:v>
                </c:pt>
                <c:pt idx="92" formatCode="General">
                  <c:v>0.17050000000000001</c:v>
                </c:pt>
                <c:pt idx="93" formatCode="General">
                  <c:v>0.17449999999999999</c:v>
                </c:pt>
                <c:pt idx="94" formatCode="General">
                  <c:v>0.17849999999999999</c:v>
                </c:pt>
                <c:pt idx="95" formatCode="General">
                  <c:v>0.1825</c:v>
                </c:pt>
                <c:pt idx="96" formatCode="General">
                  <c:v>0.1865</c:v>
                </c:pt>
                <c:pt idx="97" formatCode="General">
                  <c:v>0.1905</c:v>
                </c:pt>
                <c:pt idx="98" formatCode="General">
                  <c:v>0.19450000000000001</c:v>
                </c:pt>
                <c:pt idx="99" formatCode="General">
                  <c:v>0.19850000000000001</c:v>
                </c:pt>
                <c:pt idx="100" formatCode="General">
                  <c:v>0.20250000000000001</c:v>
                </c:pt>
                <c:pt idx="101" formatCode="General">
                  <c:v>0.20649999999999999</c:v>
                </c:pt>
                <c:pt idx="102" formatCode="General">
                  <c:v>0.21049999999999999</c:v>
                </c:pt>
                <c:pt idx="103" formatCode="General">
                  <c:v>0.2145</c:v>
                </c:pt>
                <c:pt idx="104" formatCode="General">
                  <c:v>0.2185</c:v>
                </c:pt>
                <c:pt idx="105" formatCode="General">
                  <c:v>0.2225</c:v>
                </c:pt>
                <c:pt idx="106" formatCode="General">
                  <c:v>0.22650000000000001</c:v>
                </c:pt>
                <c:pt idx="107" formatCode="General">
                  <c:v>0.23050000000000001</c:v>
                </c:pt>
                <c:pt idx="108" formatCode="General">
                  <c:v>0.23449999999999999</c:v>
                </c:pt>
                <c:pt idx="109" formatCode="General">
                  <c:v>0.23849999999999999</c:v>
                </c:pt>
                <c:pt idx="110" formatCode="General">
                  <c:v>0.24249999999999999</c:v>
                </c:pt>
                <c:pt idx="111" formatCode="General">
                  <c:v>0.2465</c:v>
                </c:pt>
                <c:pt idx="112" formatCode="General">
                  <c:v>0.2505</c:v>
                </c:pt>
                <c:pt idx="113" formatCode="General">
                  <c:v>0.2545</c:v>
                </c:pt>
                <c:pt idx="114" formatCode="General">
                  <c:v>0.25850000000000001</c:v>
                </c:pt>
                <c:pt idx="115" formatCode="General">
                  <c:v>0.26250000000000001</c:v>
                </c:pt>
                <c:pt idx="116" formatCode="General">
                  <c:v>0.26650000000000001</c:v>
                </c:pt>
                <c:pt idx="117" formatCode="General">
                  <c:v>0.27050000000000002</c:v>
                </c:pt>
                <c:pt idx="118" formatCode="General">
                  <c:v>0.27450000000000002</c:v>
                </c:pt>
                <c:pt idx="119" formatCode="General">
                  <c:v>0.27850000000000003</c:v>
                </c:pt>
                <c:pt idx="120" formatCode="General">
                  <c:v>0.28449999999999998</c:v>
                </c:pt>
                <c:pt idx="121" formatCode="General">
                  <c:v>0.29249999999999998</c:v>
                </c:pt>
                <c:pt idx="122" formatCode="General">
                  <c:v>0.30049999999999999</c:v>
                </c:pt>
                <c:pt idx="123" formatCode="General">
                  <c:v>0.3085</c:v>
                </c:pt>
                <c:pt idx="124" formatCode="General">
                  <c:v>0.3165</c:v>
                </c:pt>
                <c:pt idx="125" formatCode="General">
                  <c:v>0.32450000000000001</c:v>
                </c:pt>
                <c:pt idx="126" formatCode="General">
                  <c:v>0.33250000000000002</c:v>
                </c:pt>
                <c:pt idx="127" formatCode="General">
                  <c:v>0.34050000000000002</c:v>
                </c:pt>
                <c:pt idx="128" formatCode="General">
                  <c:v>0.34849999999999998</c:v>
                </c:pt>
                <c:pt idx="129" formatCode="General">
                  <c:v>0.35649999999999998</c:v>
                </c:pt>
                <c:pt idx="130" formatCode="General">
                  <c:v>0.36449999999999999</c:v>
                </c:pt>
                <c:pt idx="131" formatCode="General">
                  <c:v>0.3725</c:v>
                </c:pt>
                <c:pt idx="132" formatCode="General">
                  <c:v>0.3805</c:v>
                </c:pt>
                <c:pt idx="133" formatCode="General">
                  <c:v>0.38850000000000001</c:v>
                </c:pt>
                <c:pt idx="134" formatCode="General">
                  <c:v>0.39650000000000002</c:v>
                </c:pt>
                <c:pt idx="135" formatCode="General">
                  <c:v>0.40450000000000003</c:v>
                </c:pt>
                <c:pt idx="136" formatCode="General">
                  <c:v>0.41249999999999998</c:v>
                </c:pt>
                <c:pt idx="137" formatCode="General">
                  <c:v>0.42049999999999998</c:v>
                </c:pt>
                <c:pt idx="138" formatCode="General">
                  <c:v>0.42849999999999999</c:v>
                </c:pt>
                <c:pt idx="139" formatCode="General">
                  <c:v>0.4365</c:v>
                </c:pt>
                <c:pt idx="140" formatCode="General">
                  <c:v>0.44450000000000001</c:v>
                </c:pt>
                <c:pt idx="141" formatCode="General">
                  <c:v>0.45250000000000001</c:v>
                </c:pt>
                <c:pt idx="142" formatCode="General">
                  <c:v>0.46050000000000002</c:v>
                </c:pt>
                <c:pt idx="143" formatCode="General">
                  <c:v>0.46850000000000003</c:v>
                </c:pt>
                <c:pt idx="144" formatCode="General">
                  <c:v>0.47649999999999998</c:v>
                </c:pt>
                <c:pt idx="145" formatCode="General">
                  <c:v>0.48449999999999999</c:v>
                </c:pt>
                <c:pt idx="146" formatCode="General">
                  <c:v>0.49249999999999999</c:v>
                </c:pt>
                <c:pt idx="147" formatCode="General">
                  <c:v>0.50049999999999994</c:v>
                </c:pt>
                <c:pt idx="148" formatCode="General">
                  <c:v>0.50849999999999995</c:v>
                </c:pt>
                <c:pt idx="149" formatCode="General">
                  <c:v>0.51649999999999996</c:v>
                </c:pt>
                <c:pt idx="150" formatCode="General">
                  <c:v>0.52449999999999997</c:v>
                </c:pt>
                <c:pt idx="151" formatCode="General">
                  <c:v>0.53249999999999997</c:v>
                </c:pt>
                <c:pt idx="152" formatCode="General">
                  <c:v>0.54049999999999998</c:v>
                </c:pt>
                <c:pt idx="153" formatCode="General">
                  <c:v>0.54849999999999999</c:v>
                </c:pt>
                <c:pt idx="154" formatCode="General">
                  <c:v>0.55649999999999999</c:v>
                </c:pt>
                <c:pt idx="155" formatCode="General">
                  <c:v>0.5645</c:v>
                </c:pt>
                <c:pt idx="156" formatCode="General">
                  <c:v>0.57250000000000001</c:v>
                </c:pt>
                <c:pt idx="157" formatCode="General">
                  <c:v>0.58050000000000002</c:v>
                </c:pt>
                <c:pt idx="158" formatCode="General">
                  <c:v>0.58850000000000002</c:v>
                </c:pt>
                <c:pt idx="159" formatCode="General">
                  <c:v>0.59650000000000003</c:v>
                </c:pt>
                <c:pt idx="160" formatCode="General">
                  <c:v>0.60850000000000004</c:v>
                </c:pt>
                <c:pt idx="161" formatCode="General">
                  <c:v>0.62450000000000006</c:v>
                </c:pt>
                <c:pt idx="162" formatCode="General">
                  <c:v>0.64049999999999996</c:v>
                </c:pt>
                <c:pt idx="163" formatCode="General">
                  <c:v>0.65649999999999997</c:v>
                </c:pt>
                <c:pt idx="164" formatCode="General">
                  <c:v>0.67249999999999999</c:v>
                </c:pt>
                <c:pt idx="165" formatCode="General">
                  <c:v>0.6885</c:v>
                </c:pt>
                <c:pt idx="166" formatCode="General">
                  <c:v>0.70450000000000002</c:v>
                </c:pt>
                <c:pt idx="167" formatCode="General">
                  <c:v>0.72050000000000003</c:v>
                </c:pt>
                <c:pt idx="168" formatCode="General">
                  <c:v>0.73650000000000004</c:v>
                </c:pt>
                <c:pt idx="169" formatCode="General">
                  <c:v>0.75249999999999995</c:v>
                </c:pt>
                <c:pt idx="170" formatCode="General">
                  <c:v>0.76849999999999996</c:v>
                </c:pt>
                <c:pt idx="171" formatCode="General">
                  <c:v>0.78449999999999998</c:v>
                </c:pt>
                <c:pt idx="172" formatCode="General">
                  <c:v>0.80049999999999999</c:v>
                </c:pt>
                <c:pt idx="173" formatCode="General">
                  <c:v>0.8165</c:v>
                </c:pt>
                <c:pt idx="174" formatCode="General">
                  <c:v>0.83250000000000002</c:v>
                </c:pt>
                <c:pt idx="175" formatCode="General">
                  <c:v>0.84850000000000003</c:v>
                </c:pt>
                <c:pt idx="176" formatCode="General">
                  <c:v>0.86450000000000005</c:v>
                </c:pt>
                <c:pt idx="177" formatCode="General">
                  <c:v>0.88049999999999995</c:v>
                </c:pt>
                <c:pt idx="178" formatCode="General">
                  <c:v>0.89649999999999996</c:v>
                </c:pt>
                <c:pt idx="179" formatCode="General">
                  <c:v>0.91249999999999998</c:v>
                </c:pt>
                <c:pt idx="180" formatCode="General">
                  <c:v>0.92849999999999999</c:v>
                </c:pt>
                <c:pt idx="181" formatCode="General">
                  <c:v>0.94450000000000001</c:v>
                </c:pt>
                <c:pt idx="182" formatCode="General">
                  <c:v>0.96050000000000002</c:v>
                </c:pt>
                <c:pt idx="183" formatCode="General">
                  <c:v>0.97650000000000003</c:v>
                </c:pt>
                <c:pt idx="184" formatCode="General">
                  <c:v>0.99250000000000005</c:v>
                </c:pt>
                <c:pt idx="185" formatCode="General">
                  <c:v>1.0085</c:v>
                </c:pt>
                <c:pt idx="186" formatCode="General">
                  <c:v>1.0245</c:v>
                </c:pt>
                <c:pt idx="187" formatCode="General">
                  <c:v>1.0405</c:v>
                </c:pt>
                <c:pt idx="188" formatCode="General">
                  <c:v>1.0565</c:v>
                </c:pt>
                <c:pt idx="189" formatCode="General">
                  <c:v>1.0725</c:v>
                </c:pt>
                <c:pt idx="190" formatCode="General">
                  <c:v>1.0885</c:v>
                </c:pt>
                <c:pt idx="191" formatCode="General">
                  <c:v>1.1045</c:v>
                </c:pt>
                <c:pt idx="192" formatCode="General">
                  <c:v>1.1205000000000001</c:v>
                </c:pt>
                <c:pt idx="193" formatCode="General">
                  <c:v>1.1365000000000001</c:v>
                </c:pt>
                <c:pt idx="194" formatCode="General">
                  <c:v>1.1525000000000001</c:v>
                </c:pt>
                <c:pt idx="195" formatCode="General">
                  <c:v>1.1685000000000001</c:v>
                </c:pt>
                <c:pt idx="196" formatCode="General">
                  <c:v>1.1845000000000001</c:v>
                </c:pt>
                <c:pt idx="197" formatCode="General">
                  <c:v>1.2004999999999999</c:v>
                </c:pt>
                <c:pt idx="198" formatCode="General">
                  <c:v>1.2164999999999999</c:v>
                </c:pt>
                <c:pt idx="199" formatCode="General">
                  <c:v>1.2324999999999999</c:v>
                </c:pt>
                <c:pt idx="200" formatCode="General">
                  <c:v>1.2565</c:v>
                </c:pt>
                <c:pt idx="201" formatCode="General">
                  <c:v>1.2885</c:v>
                </c:pt>
                <c:pt idx="202" formatCode="General">
                  <c:v>1.3205</c:v>
                </c:pt>
                <c:pt idx="203" formatCode="General">
                  <c:v>1.3525</c:v>
                </c:pt>
                <c:pt idx="204" formatCode="General">
                  <c:v>1.3845000000000001</c:v>
                </c:pt>
                <c:pt idx="205" formatCode="General">
                  <c:v>1.4165000000000001</c:v>
                </c:pt>
                <c:pt idx="206" formatCode="General">
                  <c:v>1.4484999999999999</c:v>
                </c:pt>
                <c:pt idx="207" formatCode="General">
                  <c:v>1.4804999999999999</c:v>
                </c:pt>
                <c:pt idx="208" formatCode="General">
                  <c:v>1.5125</c:v>
                </c:pt>
                <c:pt idx="209" formatCode="General">
                  <c:v>1.5445</c:v>
                </c:pt>
                <c:pt idx="210" formatCode="General">
                  <c:v>1.5765</c:v>
                </c:pt>
                <c:pt idx="211" formatCode="General">
                  <c:v>1.6085</c:v>
                </c:pt>
                <c:pt idx="212" formatCode="General">
                  <c:v>1.6405000000000001</c:v>
                </c:pt>
                <c:pt idx="213" formatCode="General">
                  <c:v>1.6725000000000001</c:v>
                </c:pt>
                <c:pt idx="214" formatCode="General">
                  <c:v>1.7044999999999999</c:v>
                </c:pt>
                <c:pt idx="215" formatCode="General">
                  <c:v>1.7364999999999999</c:v>
                </c:pt>
                <c:pt idx="216" formatCode="General">
                  <c:v>1.7685</c:v>
                </c:pt>
                <c:pt idx="217" formatCode="General">
                  <c:v>1.8005</c:v>
                </c:pt>
                <c:pt idx="218" formatCode="General">
                  <c:v>1.8325</c:v>
                </c:pt>
                <c:pt idx="219" formatCode="General">
                  <c:v>1.8645</c:v>
                </c:pt>
                <c:pt idx="220" formatCode="General">
                  <c:v>1.8965000000000001</c:v>
                </c:pt>
                <c:pt idx="221" formatCode="General">
                  <c:v>1.9285000000000001</c:v>
                </c:pt>
                <c:pt idx="222" formatCode="General">
                  <c:v>1.9604999999999999</c:v>
                </c:pt>
                <c:pt idx="223" formatCode="General">
                  <c:v>1.9924999999999999</c:v>
                </c:pt>
                <c:pt idx="224" formatCode="General">
                  <c:v>2.0245000000000002</c:v>
                </c:pt>
                <c:pt idx="225" formatCode="General">
                  <c:v>2.0565000000000002</c:v>
                </c:pt>
                <c:pt idx="226" formatCode="General">
                  <c:v>2.0884999999999998</c:v>
                </c:pt>
                <c:pt idx="227" formatCode="General">
                  <c:v>2.1204999999999998</c:v>
                </c:pt>
                <c:pt idx="228" formatCode="General">
                  <c:v>2.1524999999999999</c:v>
                </c:pt>
                <c:pt idx="229" formatCode="General">
                  <c:v>2.1844999999999999</c:v>
                </c:pt>
                <c:pt idx="230" formatCode="General">
                  <c:v>2.2164999999999999</c:v>
                </c:pt>
                <c:pt idx="231" formatCode="General">
                  <c:v>2.2484999999999999</c:v>
                </c:pt>
                <c:pt idx="232" formatCode="General">
                  <c:v>2.2805</c:v>
                </c:pt>
                <c:pt idx="233" formatCode="General">
                  <c:v>2.3125</c:v>
                </c:pt>
                <c:pt idx="234" formatCode="General">
                  <c:v>2.3445</c:v>
                </c:pt>
                <c:pt idx="235" formatCode="General">
                  <c:v>2.3765000000000001</c:v>
                </c:pt>
                <c:pt idx="236" formatCode="General">
                  <c:v>2.4085000000000001</c:v>
                </c:pt>
                <c:pt idx="237" formatCode="General">
                  <c:v>2.4405000000000001</c:v>
                </c:pt>
                <c:pt idx="238" formatCode="General">
                  <c:v>2.4725000000000001</c:v>
                </c:pt>
                <c:pt idx="239" formatCode="General">
                  <c:v>2.5045000000000002</c:v>
                </c:pt>
                <c:pt idx="240" formatCode="General">
                  <c:v>2.5525000000000002</c:v>
                </c:pt>
                <c:pt idx="241" formatCode="General">
                  <c:v>2.6164999999999998</c:v>
                </c:pt>
                <c:pt idx="242" formatCode="General">
                  <c:v>2.6804999999999999</c:v>
                </c:pt>
                <c:pt idx="243" formatCode="General">
                  <c:v>2.7444999999999999</c:v>
                </c:pt>
                <c:pt idx="244" formatCode="General">
                  <c:v>2.8085</c:v>
                </c:pt>
                <c:pt idx="245" formatCode="General">
                  <c:v>2.8725000000000001</c:v>
                </c:pt>
                <c:pt idx="246" formatCode="General">
                  <c:v>2.9365000000000001</c:v>
                </c:pt>
                <c:pt idx="247" formatCode="General">
                  <c:v>3.0005000000000002</c:v>
                </c:pt>
                <c:pt idx="248" formatCode="General">
                  <c:v>3.0644999999999998</c:v>
                </c:pt>
                <c:pt idx="249" formatCode="General">
                  <c:v>3.1284999999999998</c:v>
                </c:pt>
                <c:pt idx="250" formatCode="General">
                  <c:v>3.1924999999999999</c:v>
                </c:pt>
                <c:pt idx="251" formatCode="General">
                  <c:v>3.2565</c:v>
                </c:pt>
                <c:pt idx="252" formatCode="General">
                  <c:v>3.3205</c:v>
                </c:pt>
                <c:pt idx="253" formatCode="General">
                  <c:v>3.3845000000000001</c:v>
                </c:pt>
                <c:pt idx="254" formatCode="General">
                  <c:v>3.4485000000000001</c:v>
                </c:pt>
                <c:pt idx="255" formatCode="General">
                  <c:v>3.5125000000000002</c:v>
                </c:pt>
                <c:pt idx="256" formatCode="General">
                  <c:v>3.5764999999999998</c:v>
                </c:pt>
                <c:pt idx="257" formatCode="General">
                  <c:v>3.6404999999999998</c:v>
                </c:pt>
                <c:pt idx="258" formatCode="General">
                  <c:v>3.7044999999999999</c:v>
                </c:pt>
                <c:pt idx="259" formatCode="General">
                  <c:v>3.7685</c:v>
                </c:pt>
                <c:pt idx="260" formatCode="General">
                  <c:v>3.8325</c:v>
                </c:pt>
                <c:pt idx="261" formatCode="General">
                  <c:v>3.8965000000000001</c:v>
                </c:pt>
                <c:pt idx="262" formatCode="General">
                  <c:v>3.9605000000000001</c:v>
                </c:pt>
                <c:pt idx="263" formatCode="General">
                  <c:v>4.0244999999999997</c:v>
                </c:pt>
                <c:pt idx="264" formatCode="General">
                  <c:v>4.0884999999999998</c:v>
                </c:pt>
                <c:pt idx="265" formatCode="General">
                  <c:v>4.1524999999999999</c:v>
                </c:pt>
                <c:pt idx="266" formatCode="General">
                  <c:v>4.2164999999999999</c:v>
                </c:pt>
                <c:pt idx="267" formatCode="General">
                  <c:v>4.2805</c:v>
                </c:pt>
                <c:pt idx="268" formatCode="General">
                  <c:v>4.3445</c:v>
                </c:pt>
                <c:pt idx="269" formatCode="General">
                  <c:v>4.4085000000000001</c:v>
                </c:pt>
                <c:pt idx="270" formatCode="General">
                  <c:v>4.4725000000000001</c:v>
                </c:pt>
                <c:pt idx="271" formatCode="General">
                  <c:v>4.5365000000000002</c:v>
                </c:pt>
                <c:pt idx="272" formatCode="General">
                  <c:v>4.6005000000000003</c:v>
                </c:pt>
                <c:pt idx="273" formatCode="General">
                  <c:v>4.6645000000000003</c:v>
                </c:pt>
                <c:pt idx="274" formatCode="General">
                  <c:v>4.7285000000000004</c:v>
                </c:pt>
                <c:pt idx="275" formatCode="General">
                  <c:v>4.7925000000000004</c:v>
                </c:pt>
                <c:pt idx="276" formatCode="General">
                  <c:v>4.8564999999999996</c:v>
                </c:pt>
                <c:pt idx="277" formatCode="General">
                  <c:v>4.9204999999999997</c:v>
                </c:pt>
                <c:pt idx="278" formatCode="General">
                  <c:v>4.9844999999999997</c:v>
                </c:pt>
                <c:pt idx="279" formatCode="General">
                  <c:v>5.0484999999999998</c:v>
                </c:pt>
                <c:pt idx="280" formatCode="General">
                  <c:v>5.1444999999999999</c:v>
                </c:pt>
                <c:pt idx="281" formatCode="General">
                  <c:v>5.2725</c:v>
                </c:pt>
                <c:pt idx="282" formatCode="General">
                  <c:v>5.4005000000000001</c:v>
                </c:pt>
                <c:pt idx="283" formatCode="General">
                  <c:v>5.5285000000000002</c:v>
                </c:pt>
                <c:pt idx="284" formatCode="General">
                  <c:v>5.6565000000000003</c:v>
                </c:pt>
                <c:pt idx="285" formatCode="General">
                  <c:v>5.7845000000000004</c:v>
                </c:pt>
                <c:pt idx="286" formatCode="General">
                  <c:v>5.9124999999999996</c:v>
                </c:pt>
                <c:pt idx="287" formatCode="General">
                  <c:v>6.0404999999999998</c:v>
                </c:pt>
                <c:pt idx="288" formatCode="General">
                  <c:v>6.1684999999999999</c:v>
                </c:pt>
                <c:pt idx="289" formatCode="General">
                  <c:v>6.2965</c:v>
                </c:pt>
                <c:pt idx="290" formatCode="General">
                  <c:v>6.4245000000000001</c:v>
                </c:pt>
                <c:pt idx="291" formatCode="General">
                  <c:v>6.5525000000000002</c:v>
                </c:pt>
                <c:pt idx="292" formatCode="General">
                  <c:v>6.6805000000000003</c:v>
                </c:pt>
                <c:pt idx="293" formatCode="General">
                  <c:v>6.8085000000000004</c:v>
                </c:pt>
                <c:pt idx="294" formatCode="General">
                  <c:v>6.9364999999999997</c:v>
                </c:pt>
                <c:pt idx="295" formatCode="General">
                  <c:v>7.0644999999999998</c:v>
                </c:pt>
                <c:pt idx="296" formatCode="General">
                  <c:v>7.1924999999999999</c:v>
                </c:pt>
                <c:pt idx="297" formatCode="General">
                  <c:v>7.3205</c:v>
                </c:pt>
                <c:pt idx="298" formatCode="General">
                  <c:v>7.4485000000000001</c:v>
                </c:pt>
                <c:pt idx="299" formatCode="General">
                  <c:v>7.5765000000000002</c:v>
                </c:pt>
                <c:pt idx="300" formatCode="General">
                  <c:v>7.7045000000000003</c:v>
                </c:pt>
                <c:pt idx="301" formatCode="General">
                  <c:v>7.8324999999999996</c:v>
                </c:pt>
                <c:pt idx="302" formatCode="General">
                  <c:v>7.9604999999999997</c:v>
                </c:pt>
                <c:pt idx="303" formatCode="General">
                  <c:v>8.0884999999999998</c:v>
                </c:pt>
                <c:pt idx="304" formatCode="General">
                  <c:v>8.2164999999999999</c:v>
                </c:pt>
                <c:pt idx="305" formatCode="General">
                  <c:v>8.3445</c:v>
                </c:pt>
                <c:pt idx="306" formatCode="General">
                  <c:v>8.4725000000000001</c:v>
                </c:pt>
                <c:pt idx="307" formatCode="General">
                  <c:v>8.6005000000000003</c:v>
                </c:pt>
                <c:pt idx="308" formatCode="General">
                  <c:v>8.7285000000000004</c:v>
                </c:pt>
                <c:pt idx="309" formatCode="General">
                  <c:v>8.8565000000000005</c:v>
                </c:pt>
                <c:pt idx="310" formatCode="General">
                  <c:v>8.9845000000000006</c:v>
                </c:pt>
                <c:pt idx="311" formatCode="General">
                  <c:v>9.1125000000000007</c:v>
                </c:pt>
                <c:pt idx="312" formatCode="General">
                  <c:v>9.2405000000000008</c:v>
                </c:pt>
                <c:pt idx="313" formatCode="General">
                  <c:v>9.3684999999999992</c:v>
                </c:pt>
                <c:pt idx="314" formatCode="General">
                  <c:v>9.4964999999999993</c:v>
                </c:pt>
                <c:pt idx="315" formatCode="General">
                  <c:v>9.6244999999999994</c:v>
                </c:pt>
                <c:pt idx="316" formatCode="General">
                  <c:v>9.7524999999999995</c:v>
                </c:pt>
                <c:pt idx="317" formatCode="General">
                  <c:v>9.8804999999999996</c:v>
                </c:pt>
                <c:pt idx="318" formatCode="General">
                  <c:v>10.009</c:v>
                </c:pt>
                <c:pt idx="319" formatCode="General">
                  <c:v>10.137</c:v>
                </c:pt>
                <c:pt idx="320" formatCode="General">
                  <c:v>10.327999999999999</c:v>
                </c:pt>
                <c:pt idx="321" formatCode="General">
                  <c:v>10.585000000000001</c:v>
                </c:pt>
                <c:pt idx="322" formatCode="General">
                  <c:v>10.84</c:v>
                </c:pt>
                <c:pt idx="323" formatCode="General">
                  <c:v>11.097</c:v>
                </c:pt>
                <c:pt idx="324" formatCode="General">
                  <c:v>11.352</c:v>
                </c:pt>
                <c:pt idx="325" formatCode="General">
                  <c:v>11.608000000000001</c:v>
                </c:pt>
                <c:pt idx="326" formatCode="General">
                  <c:v>11.865</c:v>
                </c:pt>
                <c:pt idx="327" formatCode="General">
                  <c:v>12.12</c:v>
                </c:pt>
                <c:pt idx="328" formatCode="General">
                  <c:v>12.377000000000001</c:v>
                </c:pt>
                <c:pt idx="329" formatCode="General">
                  <c:v>12.632</c:v>
                </c:pt>
                <c:pt idx="330" formatCode="General">
                  <c:v>12.888999999999999</c:v>
                </c:pt>
                <c:pt idx="331" formatCode="General">
                  <c:v>13.144</c:v>
                </c:pt>
                <c:pt idx="332" formatCode="General">
                  <c:v>13.401</c:v>
                </c:pt>
                <c:pt idx="333" formatCode="General">
                  <c:v>13.656000000000001</c:v>
                </c:pt>
                <c:pt idx="334" formatCode="General">
                  <c:v>13.913</c:v>
                </c:pt>
                <c:pt idx="335" formatCode="General">
                  <c:v>14.167999999999999</c:v>
                </c:pt>
                <c:pt idx="336" formatCode="General">
                  <c:v>14.425000000000001</c:v>
                </c:pt>
                <c:pt idx="337" formatCode="General">
                  <c:v>14.680999999999999</c:v>
                </c:pt>
                <c:pt idx="338" formatCode="General">
                  <c:v>14.936</c:v>
                </c:pt>
                <c:pt idx="339" formatCode="General">
                  <c:v>15.193</c:v>
                </c:pt>
                <c:pt idx="340" formatCode="General">
                  <c:v>15.448</c:v>
                </c:pt>
                <c:pt idx="341" formatCode="General">
                  <c:v>15.705</c:v>
                </c:pt>
                <c:pt idx="342" formatCode="General">
                  <c:v>15.96</c:v>
                </c:pt>
                <c:pt idx="343" formatCode="General">
                  <c:v>16.216000000000001</c:v>
                </c:pt>
                <c:pt idx="344" formatCode="General">
                  <c:v>16.472000000000001</c:v>
                </c:pt>
                <c:pt idx="345" formatCode="General">
                  <c:v>16.728999999999999</c:v>
                </c:pt>
                <c:pt idx="346" formatCode="General">
                  <c:v>16.984999999999999</c:v>
                </c:pt>
                <c:pt idx="347" formatCode="General">
                  <c:v>17.239999999999998</c:v>
                </c:pt>
                <c:pt idx="348" formatCode="General">
                  <c:v>17.497</c:v>
                </c:pt>
                <c:pt idx="349" formatCode="General">
                  <c:v>17.753</c:v>
                </c:pt>
                <c:pt idx="350" formatCode="General">
                  <c:v>18.007999999999999</c:v>
                </c:pt>
                <c:pt idx="351" formatCode="General">
                  <c:v>18.263999999999999</c:v>
                </c:pt>
                <c:pt idx="352" formatCode="General">
                  <c:v>18.521000000000001</c:v>
                </c:pt>
                <c:pt idx="353" formatCode="General">
                  <c:v>18.777000000000001</c:v>
                </c:pt>
                <c:pt idx="354" formatCode="General">
                  <c:v>19.032</c:v>
                </c:pt>
                <c:pt idx="355" formatCode="General">
                  <c:v>19.288</c:v>
                </c:pt>
                <c:pt idx="356" formatCode="General">
                  <c:v>19.545000000000002</c:v>
                </c:pt>
                <c:pt idx="357" formatCode="General">
                  <c:v>19.800999999999998</c:v>
                </c:pt>
                <c:pt idx="358" formatCode="General">
                  <c:v>20.056000000000001</c:v>
                </c:pt>
                <c:pt idx="359" formatCode="General">
                  <c:v>20.312999999999999</c:v>
                </c:pt>
                <c:pt idx="360" formatCode="General">
                  <c:v>20.696999999999999</c:v>
                </c:pt>
                <c:pt idx="361" formatCode="General">
                  <c:v>21.207999999999998</c:v>
                </c:pt>
                <c:pt idx="362" formatCode="General">
                  <c:v>21.721</c:v>
                </c:pt>
                <c:pt idx="363" formatCode="General">
                  <c:v>22.233000000000001</c:v>
                </c:pt>
                <c:pt idx="364" formatCode="General">
                  <c:v>22.744</c:v>
                </c:pt>
                <c:pt idx="365" formatCode="General">
                  <c:v>23.257000000000001</c:v>
                </c:pt>
                <c:pt idx="366" formatCode="General">
                  <c:v>23.768000000000001</c:v>
                </c:pt>
                <c:pt idx="367" formatCode="General">
                  <c:v>24.280999999999999</c:v>
                </c:pt>
                <c:pt idx="368" formatCode="General">
                  <c:v>24.792000000000002</c:v>
                </c:pt>
                <c:pt idx="369" formatCode="General">
                  <c:v>25.305</c:v>
                </c:pt>
                <c:pt idx="370" formatCode="General">
                  <c:v>25.815999999999999</c:v>
                </c:pt>
                <c:pt idx="371" formatCode="General">
                  <c:v>26.329000000000001</c:v>
                </c:pt>
                <c:pt idx="372" formatCode="General">
                  <c:v>26.84</c:v>
                </c:pt>
                <c:pt idx="373" formatCode="General">
                  <c:v>27.353000000000002</c:v>
                </c:pt>
                <c:pt idx="374" formatCode="General">
                  <c:v>27.864999999999998</c:v>
                </c:pt>
                <c:pt idx="375" formatCode="General">
                  <c:v>28.376000000000001</c:v>
                </c:pt>
                <c:pt idx="376" formatCode="General">
                  <c:v>28.888999999999999</c:v>
                </c:pt>
                <c:pt idx="377" formatCode="General">
                  <c:v>29.4</c:v>
                </c:pt>
                <c:pt idx="378" formatCode="General">
                  <c:v>29.913</c:v>
                </c:pt>
                <c:pt idx="379" formatCode="General">
                  <c:v>30.423999999999999</c:v>
                </c:pt>
                <c:pt idx="380" formatCode="General">
                  <c:v>30.937000000000001</c:v>
                </c:pt>
                <c:pt idx="381" formatCode="General">
                  <c:v>31.448</c:v>
                </c:pt>
                <c:pt idx="382" formatCode="General">
                  <c:v>31.960999999999999</c:v>
                </c:pt>
                <c:pt idx="383" formatCode="General">
                  <c:v>32.472000000000001</c:v>
                </c:pt>
                <c:pt idx="384" formatCode="General">
                  <c:v>32.984999999999999</c:v>
                </c:pt>
                <c:pt idx="385" formatCode="General">
                  <c:v>33.496000000000002</c:v>
                </c:pt>
                <c:pt idx="386" formatCode="General">
                  <c:v>34.008000000000003</c:v>
                </c:pt>
                <c:pt idx="387" formatCode="General">
                  <c:v>34.521000000000001</c:v>
                </c:pt>
                <c:pt idx="388" formatCode="General">
                  <c:v>35.033000000000001</c:v>
                </c:pt>
                <c:pt idx="389" formatCode="General">
                  <c:v>35.543999999999997</c:v>
                </c:pt>
                <c:pt idx="390" formatCode="General">
                  <c:v>36.055999999999997</c:v>
                </c:pt>
                <c:pt idx="391" formatCode="General">
                  <c:v>36.569000000000003</c:v>
                </c:pt>
                <c:pt idx="392" formatCode="General">
                  <c:v>37.081000000000003</c:v>
                </c:pt>
                <c:pt idx="393" formatCode="General">
                  <c:v>37.591999999999999</c:v>
                </c:pt>
                <c:pt idx="394" formatCode="General">
                  <c:v>38.103999999999999</c:v>
                </c:pt>
                <c:pt idx="395" formatCode="General">
                  <c:v>38.616999999999997</c:v>
                </c:pt>
                <c:pt idx="396" formatCode="General">
                  <c:v>39.128999999999998</c:v>
                </c:pt>
                <c:pt idx="397" formatCode="General">
                  <c:v>39.64</c:v>
                </c:pt>
                <c:pt idx="398" formatCode="General">
                  <c:v>40.152999999999999</c:v>
                </c:pt>
                <c:pt idx="399" formatCode="General">
                  <c:v>40.664999999999999</c:v>
                </c:pt>
                <c:pt idx="400" formatCode="General">
                  <c:v>41.432000000000002</c:v>
                </c:pt>
                <c:pt idx="401" formatCode="General">
                  <c:v>42.457000000000001</c:v>
                </c:pt>
                <c:pt idx="402" formatCode="General">
                  <c:v>43.48</c:v>
                </c:pt>
                <c:pt idx="403" formatCode="General">
                  <c:v>44.505000000000003</c:v>
                </c:pt>
                <c:pt idx="404" formatCode="General">
                  <c:v>45.527999999999999</c:v>
                </c:pt>
                <c:pt idx="405" formatCode="General">
                  <c:v>46.552999999999997</c:v>
                </c:pt>
                <c:pt idx="406" formatCode="General">
                  <c:v>47.576000000000001</c:v>
                </c:pt>
                <c:pt idx="407" formatCode="General">
                  <c:v>48.6</c:v>
                </c:pt>
                <c:pt idx="408" formatCode="General">
                  <c:v>49.625</c:v>
                </c:pt>
                <c:pt idx="409" formatCode="General">
                  <c:v>50.648000000000003</c:v>
                </c:pt>
                <c:pt idx="410" formatCode="General">
                  <c:v>51.673000000000002</c:v>
                </c:pt>
                <c:pt idx="411" formatCode="General">
                  <c:v>52.695999999999998</c:v>
                </c:pt>
                <c:pt idx="412" formatCode="General">
                  <c:v>53.720999999999997</c:v>
                </c:pt>
                <c:pt idx="413" formatCode="General">
                  <c:v>54.744</c:v>
                </c:pt>
                <c:pt idx="414" formatCode="General">
                  <c:v>55.768999999999998</c:v>
                </c:pt>
                <c:pt idx="415" formatCode="General">
                  <c:v>56.792000000000002</c:v>
                </c:pt>
                <c:pt idx="416" formatCode="General">
                  <c:v>57.817</c:v>
                </c:pt>
                <c:pt idx="417" formatCode="General">
                  <c:v>58.84</c:v>
                </c:pt>
              </c:numCache>
            </c:numRef>
          </c:xVal>
          <c:yVal>
            <c:numRef>
              <c:f>'Fract-Band'!$D$4:$D$421</c:f>
              <c:numCache>
                <c:formatCode>0.00E+00</c:formatCode>
                <c:ptCount val="418"/>
                <c:pt idx="0" formatCode="General">
                  <c:v>-19.579999999999998</c:v>
                </c:pt>
                <c:pt idx="1">
                  <c:v>-19.600000000000001</c:v>
                </c:pt>
                <c:pt idx="2">
                  <c:v>-19.600000000000001</c:v>
                </c:pt>
                <c:pt idx="3">
                  <c:v>-19.59</c:v>
                </c:pt>
                <c:pt idx="4">
                  <c:v>-19.559999999999999</c:v>
                </c:pt>
                <c:pt idx="5">
                  <c:v>-19.52</c:v>
                </c:pt>
                <c:pt idx="6">
                  <c:v>-19.48</c:v>
                </c:pt>
                <c:pt idx="7">
                  <c:v>-19.420000000000002</c:v>
                </c:pt>
                <c:pt idx="8">
                  <c:v>-19.37</c:v>
                </c:pt>
                <c:pt idx="9">
                  <c:v>-19.309999999999999</c:v>
                </c:pt>
                <c:pt idx="10">
                  <c:v>-19.25</c:v>
                </c:pt>
                <c:pt idx="11">
                  <c:v>-19.18</c:v>
                </c:pt>
                <c:pt idx="12">
                  <c:v>-19.12</c:v>
                </c:pt>
                <c:pt idx="13">
                  <c:v>-19.059999999999999</c:v>
                </c:pt>
                <c:pt idx="14">
                  <c:v>-19</c:v>
                </c:pt>
                <c:pt idx="15">
                  <c:v>-18.95</c:v>
                </c:pt>
                <c:pt idx="16">
                  <c:v>-18.899999999999999</c:v>
                </c:pt>
                <c:pt idx="17">
                  <c:v>-18.84</c:v>
                </c:pt>
                <c:pt idx="18">
                  <c:v>-18.79</c:v>
                </c:pt>
                <c:pt idx="19">
                  <c:v>-18.75</c:v>
                </c:pt>
                <c:pt idx="20">
                  <c:v>-18.7</c:v>
                </c:pt>
                <c:pt idx="21">
                  <c:v>-18.649999999999999</c:v>
                </c:pt>
                <c:pt idx="22">
                  <c:v>-18.61</c:v>
                </c:pt>
                <c:pt idx="23">
                  <c:v>-18.559999999999999</c:v>
                </c:pt>
                <c:pt idx="24">
                  <c:v>-18.52</c:v>
                </c:pt>
                <c:pt idx="25">
                  <c:v>-18.47</c:v>
                </c:pt>
                <c:pt idx="26">
                  <c:v>-18.41</c:v>
                </c:pt>
                <c:pt idx="27">
                  <c:v>-18.36</c:v>
                </c:pt>
                <c:pt idx="28">
                  <c:v>-18.3</c:v>
                </c:pt>
                <c:pt idx="29">
                  <c:v>-18.23</c:v>
                </c:pt>
                <c:pt idx="30">
                  <c:v>-18.170000000000002</c:v>
                </c:pt>
                <c:pt idx="31">
                  <c:v>-18.100000000000001</c:v>
                </c:pt>
                <c:pt idx="32">
                  <c:v>-18.03</c:v>
                </c:pt>
                <c:pt idx="33">
                  <c:v>-17.96</c:v>
                </c:pt>
                <c:pt idx="34">
                  <c:v>-17.89</c:v>
                </c:pt>
                <c:pt idx="35">
                  <c:v>-17.809999999999999</c:v>
                </c:pt>
                <c:pt idx="36">
                  <c:v>-17.73</c:v>
                </c:pt>
                <c:pt idx="37">
                  <c:v>-17.64</c:v>
                </c:pt>
                <c:pt idx="38">
                  <c:v>-17.559999999999999</c:v>
                </c:pt>
                <c:pt idx="39">
                  <c:v>-17.48</c:v>
                </c:pt>
                <c:pt idx="40">
                  <c:v>-17.350000000000001</c:v>
                </c:pt>
                <c:pt idx="41">
                  <c:v>-17.18</c:v>
                </c:pt>
                <c:pt idx="42">
                  <c:v>-17.010000000000002</c:v>
                </c:pt>
                <c:pt idx="43">
                  <c:v>-16.84</c:v>
                </c:pt>
                <c:pt idx="44">
                  <c:v>-16.68</c:v>
                </c:pt>
                <c:pt idx="45">
                  <c:v>-16.52</c:v>
                </c:pt>
                <c:pt idx="46">
                  <c:v>-16.36</c:v>
                </c:pt>
                <c:pt idx="47">
                  <c:v>-16.2</c:v>
                </c:pt>
                <c:pt idx="48">
                  <c:v>-16.05</c:v>
                </c:pt>
                <c:pt idx="49">
                  <c:v>-15.9</c:v>
                </c:pt>
                <c:pt idx="50">
                  <c:v>-15.75</c:v>
                </c:pt>
                <c:pt idx="51">
                  <c:v>-15.6</c:v>
                </c:pt>
                <c:pt idx="52">
                  <c:v>-15.45</c:v>
                </c:pt>
                <c:pt idx="53">
                  <c:v>-15.3</c:v>
                </c:pt>
                <c:pt idx="54">
                  <c:v>-15.15</c:v>
                </c:pt>
                <c:pt idx="55">
                  <c:v>-15</c:v>
                </c:pt>
                <c:pt idx="56">
                  <c:v>-14.84</c:v>
                </c:pt>
                <c:pt idx="57">
                  <c:v>-14.68</c:v>
                </c:pt>
                <c:pt idx="58">
                  <c:v>-14.52</c:v>
                </c:pt>
                <c:pt idx="59">
                  <c:v>-14.36</c:v>
                </c:pt>
                <c:pt idx="60">
                  <c:v>-14.2</c:v>
                </c:pt>
                <c:pt idx="61">
                  <c:v>-14.03</c:v>
                </c:pt>
                <c:pt idx="62">
                  <c:v>-13.87</c:v>
                </c:pt>
                <c:pt idx="63">
                  <c:v>-13.71</c:v>
                </c:pt>
                <c:pt idx="64">
                  <c:v>-13.55</c:v>
                </c:pt>
                <c:pt idx="65">
                  <c:v>-13.39</c:v>
                </c:pt>
                <c:pt idx="66">
                  <c:v>-13.24</c:v>
                </c:pt>
                <c:pt idx="67">
                  <c:v>-13.08</c:v>
                </c:pt>
                <c:pt idx="68">
                  <c:v>-12.93</c:v>
                </c:pt>
                <c:pt idx="69">
                  <c:v>-12.77</c:v>
                </c:pt>
                <c:pt idx="70">
                  <c:v>-12.61</c:v>
                </c:pt>
                <c:pt idx="71">
                  <c:v>-12.42</c:v>
                </c:pt>
                <c:pt idx="72">
                  <c:v>-12.23</c:v>
                </c:pt>
                <c:pt idx="73">
                  <c:v>-12.04</c:v>
                </c:pt>
                <c:pt idx="74">
                  <c:v>-11.86</c:v>
                </c:pt>
                <c:pt idx="75">
                  <c:v>-11.68</c:v>
                </c:pt>
                <c:pt idx="76">
                  <c:v>-11.51</c:v>
                </c:pt>
                <c:pt idx="77">
                  <c:v>-11.34</c:v>
                </c:pt>
                <c:pt idx="78">
                  <c:v>-11.18</c:v>
                </c:pt>
                <c:pt idx="79">
                  <c:v>-11.02</c:v>
                </c:pt>
                <c:pt idx="80">
                  <c:v>-10.77</c:v>
                </c:pt>
                <c:pt idx="81">
                  <c:v>-10.43</c:v>
                </c:pt>
                <c:pt idx="82">
                  <c:v>-10.06</c:v>
                </c:pt>
                <c:pt idx="83">
                  <c:v>-9.6989999999999998</c:v>
                </c:pt>
                <c:pt idx="84">
                  <c:v>-9.35</c:v>
                </c:pt>
                <c:pt idx="85">
                  <c:v>-9.0250000000000004</c:v>
                </c:pt>
                <c:pt idx="86">
                  <c:v>-8.7040000000000006</c:v>
                </c:pt>
                <c:pt idx="87">
                  <c:v>-8.3840000000000003</c:v>
                </c:pt>
                <c:pt idx="88">
                  <c:v>-8.0579999999999998</c:v>
                </c:pt>
                <c:pt idx="89">
                  <c:v>-7.7329999999999997</c:v>
                </c:pt>
                <c:pt idx="90">
                  <c:v>-7.4029999999999996</c:v>
                </c:pt>
                <c:pt idx="91">
                  <c:v>-7.0739999999999998</c:v>
                </c:pt>
                <c:pt idx="92">
                  <c:v>-6.7439999999999998</c:v>
                </c:pt>
                <c:pt idx="93">
                  <c:v>-6.4080000000000004</c:v>
                </c:pt>
                <c:pt idx="94">
                  <c:v>-6.0629999999999997</c:v>
                </c:pt>
                <c:pt idx="95">
                  <c:v>-5.7169999999999996</c:v>
                </c:pt>
                <c:pt idx="96">
                  <c:v>-5.38</c:v>
                </c:pt>
                <c:pt idx="97">
                  <c:v>-5.05</c:v>
                </c:pt>
                <c:pt idx="98">
                  <c:v>-4.72</c:v>
                </c:pt>
                <c:pt idx="99">
                  <c:v>-4.3849999999999998</c:v>
                </c:pt>
                <c:pt idx="100">
                  <c:v>-4.0519999999999996</c:v>
                </c:pt>
                <c:pt idx="101">
                  <c:v>-3.7149999999999999</c:v>
                </c:pt>
                <c:pt idx="102">
                  <c:v>-3.3879999999999999</c:v>
                </c:pt>
                <c:pt idx="103">
                  <c:v>-3.069</c:v>
                </c:pt>
                <c:pt idx="104">
                  <c:v>-2.7549999999999999</c:v>
                </c:pt>
                <c:pt idx="105">
                  <c:v>-2.4289999999999998</c:v>
                </c:pt>
                <c:pt idx="106">
                  <c:v>-2.097</c:v>
                </c:pt>
                <c:pt idx="107">
                  <c:v>-1.7549999999999999</c:v>
                </c:pt>
                <c:pt idx="108">
                  <c:v>-1.419</c:v>
                </c:pt>
                <c:pt idx="109">
                  <c:v>-1.0820000000000001</c:v>
                </c:pt>
                <c:pt idx="110">
                  <c:v>-0.74960000000000004</c:v>
                </c:pt>
                <c:pt idx="111">
                  <c:v>-0.41049999999999998</c:v>
                </c:pt>
                <c:pt idx="112">
                  <c:v>-7.034E-2</c:v>
                </c:pt>
                <c:pt idx="113">
                  <c:v>0.2666</c:v>
                </c:pt>
                <c:pt idx="114">
                  <c:v>0.59160000000000001</c:v>
                </c:pt>
                <c:pt idx="115">
                  <c:v>0.91</c:v>
                </c:pt>
                <c:pt idx="116">
                  <c:v>1.232</c:v>
                </c:pt>
                <c:pt idx="117">
                  <c:v>1.5649999999999999</c:v>
                </c:pt>
                <c:pt idx="118">
                  <c:v>1.9019999999999999</c:v>
                </c:pt>
                <c:pt idx="119">
                  <c:v>2.2320000000000002</c:v>
                </c:pt>
                <c:pt idx="120">
                  <c:v>2.7170000000000001</c:v>
                </c:pt>
                <c:pt idx="121">
                  <c:v>3.3759999999999999</c:v>
                </c:pt>
                <c:pt idx="122">
                  <c:v>4.0590000000000002</c:v>
                </c:pt>
                <c:pt idx="123">
                  <c:v>4.7249999999999996</c:v>
                </c:pt>
                <c:pt idx="124">
                  <c:v>5.7489999999999997</c:v>
                </c:pt>
                <c:pt idx="125">
                  <c:v>7.5819999999999999</c:v>
                </c:pt>
                <c:pt idx="126">
                  <c:v>9.7279999999999998</c:v>
                </c:pt>
                <c:pt idx="127">
                  <c:v>12.25</c:v>
                </c:pt>
                <c:pt idx="128">
                  <c:v>15.42</c:v>
                </c:pt>
                <c:pt idx="129">
                  <c:v>18.989999999999998</c:v>
                </c:pt>
                <c:pt idx="130">
                  <c:v>22.73</c:v>
                </c:pt>
                <c:pt idx="131">
                  <c:v>26.77</c:v>
                </c:pt>
                <c:pt idx="132">
                  <c:v>30.96</c:v>
                </c:pt>
                <c:pt idx="133">
                  <c:v>35.299999999999997</c:v>
                </c:pt>
                <c:pt idx="134">
                  <c:v>39.68</c:v>
                </c:pt>
                <c:pt idx="135">
                  <c:v>43.99</c:v>
                </c:pt>
                <c:pt idx="136">
                  <c:v>47.82</c:v>
                </c:pt>
                <c:pt idx="137">
                  <c:v>49.9</c:v>
                </c:pt>
                <c:pt idx="138">
                  <c:v>52.47</c:v>
                </c:pt>
                <c:pt idx="139">
                  <c:v>54.75</c:v>
                </c:pt>
                <c:pt idx="140">
                  <c:v>56.3</c:v>
                </c:pt>
                <c:pt idx="141">
                  <c:v>57.83</c:v>
                </c:pt>
                <c:pt idx="142">
                  <c:v>59.54</c:v>
                </c:pt>
                <c:pt idx="143">
                  <c:v>61.16</c:v>
                </c:pt>
                <c:pt idx="144">
                  <c:v>62.55</c:v>
                </c:pt>
                <c:pt idx="145">
                  <c:v>64</c:v>
                </c:pt>
                <c:pt idx="146">
                  <c:v>65.459999999999994</c:v>
                </c:pt>
                <c:pt idx="147">
                  <c:v>66.86</c:v>
                </c:pt>
                <c:pt idx="148">
                  <c:v>68.36</c:v>
                </c:pt>
                <c:pt idx="149">
                  <c:v>69.7</c:v>
                </c:pt>
                <c:pt idx="150">
                  <c:v>72.45</c:v>
                </c:pt>
                <c:pt idx="151">
                  <c:v>82.47</c:v>
                </c:pt>
                <c:pt idx="152">
                  <c:v>87.23</c:v>
                </c:pt>
                <c:pt idx="153">
                  <c:v>91.49</c:v>
                </c:pt>
                <c:pt idx="154">
                  <c:v>97.29</c:v>
                </c:pt>
                <c:pt idx="155">
                  <c:v>99.76</c:v>
                </c:pt>
                <c:pt idx="156">
                  <c:v>101.5</c:v>
                </c:pt>
                <c:pt idx="157">
                  <c:v>102.2</c:v>
                </c:pt>
                <c:pt idx="158">
                  <c:v>102.8</c:v>
                </c:pt>
                <c:pt idx="159">
                  <c:v>103.1</c:v>
                </c:pt>
                <c:pt idx="160">
                  <c:v>103.3</c:v>
                </c:pt>
                <c:pt idx="161">
                  <c:v>102.8</c:v>
                </c:pt>
                <c:pt idx="162">
                  <c:v>102</c:v>
                </c:pt>
                <c:pt idx="163">
                  <c:v>101.4</c:v>
                </c:pt>
                <c:pt idx="164">
                  <c:v>101.5</c:v>
                </c:pt>
                <c:pt idx="165">
                  <c:v>101.8</c:v>
                </c:pt>
                <c:pt idx="166">
                  <c:v>102.1</c:v>
                </c:pt>
                <c:pt idx="167">
                  <c:v>102.7</c:v>
                </c:pt>
                <c:pt idx="168">
                  <c:v>103.3</c:v>
                </c:pt>
                <c:pt idx="169">
                  <c:v>103.9</c:v>
                </c:pt>
                <c:pt idx="170">
                  <c:v>104.4</c:v>
                </c:pt>
                <c:pt idx="171">
                  <c:v>104.8</c:v>
                </c:pt>
                <c:pt idx="172">
                  <c:v>105.4</c:v>
                </c:pt>
                <c:pt idx="173">
                  <c:v>105.9</c:v>
                </c:pt>
                <c:pt idx="174">
                  <c:v>106.3</c:v>
                </c:pt>
                <c:pt idx="175">
                  <c:v>106.7</c:v>
                </c:pt>
                <c:pt idx="176">
                  <c:v>106.9</c:v>
                </c:pt>
                <c:pt idx="177">
                  <c:v>107.4</c:v>
                </c:pt>
                <c:pt idx="178">
                  <c:v>107.8</c:v>
                </c:pt>
                <c:pt idx="179">
                  <c:v>108</c:v>
                </c:pt>
                <c:pt idx="180">
                  <c:v>108.2</c:v>
                </c:pt>
                <c:pt idx="181">
                  <c:v>108.5</c:v>
                </c:pt>
                <c:pt idx="182">
                  <c:v>108.7</c:v>
                </c:pt>
                <c:pt idx="183">
                  <c:v>109</c:v>
                </c:pt>
                <c:pt idx="184">
                  <c:v>109.1</c:v>
                </c:pt>
                <c:pt idx="185">
                  <c:v>109.2</c:v>
                </c:pt>
                <c:pt idx="186">
                  <c:v>109.4</c:v>
                </c:pt>
                <c:pt idx="187">
                  <c:v>109.7</c:v>
                </c:pt>
                <c:pt idx="188">
                  <c:v>109.8</c:v>
                </c:pt>
                <c:pt idx="189">
                  <c:v>109.8</c:v>
                </c:pt>
                <c:pt idx="190">
                  <c:v>110</c:v>
                </c:pt>
                <c:pt idx="191">
                  <c:v>110.1</c:v>
                </c:pt>
                <c:pt idx="192">
                  <c:v>110.2</c:v>
                </c:pt>
                <c:pt idx="193">
                  <c:v>110.3</c:v>
                </c:pt>
                <c:pt idx="194">
                  <c:v>110.3</c:v>
                </c:pt>
                <c:pt idx="195">
                  <c:v>110.4</c:v>
                </c:pt>
                <c:pt idx="196">
                  <c:v>110.5</c:v>
                </c:pt>
                <c:pt idx="197">
                  <c:v>110.6</c:v>
                </c:pt>
                <c:pt idx="198">
                  <c:v>110.5</c:v>
                </c:pt>
                <c:pt idx="199">
                  <c:v>110.6</c:v>
                </c:pt>
                <c:pt idx="200" formatCode="General">
                  <c:v>110.6</c:v>
                </c:pt>
                <c:pt idx="201" formatCode="General">
                  <c:v>110.6</c:v>
                </c:pt>
                <c:pt idx="202" formatCode="General">
                  <c:v>110.6</c:v>
                </c:pt>
                <c:pt idx="203" formatCode="General">
                  <c:v>110.6</c:v>
                </c:pt>
                <c:pt idx="204" formatCode="General">
                  <c:v>110.6</c:v>
                </c:pt>
                <c:pt idx="205" formatCode="General">
                  <c:v>110.6</c:v>
                </c:pt>
                <c:pt idx="206" formatCode="General">
                  <c:v>110.5</c:v>
                </c:pt>
                <c:pt idx="207" formatCode="General">
                  <c:v>110.4</c:v>
                </c:pt>
                <c:pt idx="208" formatCode="General">
                  <c:v>110.4</c:v>
                </c:pt>
                <c:pt idx="209" formatCode="General">
                  <c:v>110.3</c:v>
                </c:pt>
                <c:pt idx="210" formatCode="General">
                  <c:v>110.2</c:v>
                </c:pt>
                <c:pt idx="211" formatCode="General">
                  <c:v>110.1</c:v>
                </c:pt>
                <c:pt idx="212" formatCode="General">
                  <c:v>110</c:v>
                </c:pt>
                <c:pt idx="213" formatCode="General">
                  <c:v>109.9</c:v>
                </c:pt>
                <c:pt idx="214" formatCode="General">
                  <c:v>109.8</c:v>
                </c:pt>
                <c:pt idx="215" formatCode="General">
                  <c:v>109.6</c:v>
                </c:pt>
                <c:pt idx="216" formatCode="General">
                  <c:v>109.6</c:v>
                </c:pt>
                <c:pt idx="217" formatCode="General">
                  <c:v>109.4</c:v>
                </c:pt>
                <c:pt idx="218" formatCode="General">
                  <c:v>109.3</c:v>
                </c:pt>
                <c:pt idx="219" formatCode="General">
                  <c:v>109.2</c:v>
                </c:pt>
                <c:pt idx="220" formatCode="General">
                  <c:v>109.1</c:v>
                </c:pt>
                <c:pt idx="221" formatCode="General">
                  <c:v>109</c:v>
                </c:pt>
                <c:pt idx="222" formatCode="General">
                  <c:v>108.8</c:v>
                </c:pt>
                <c:pt idx="223" formatCode="General">
                  <c:v>108.9</c:v>
                </c:pt>
                <c:pt idx="224" formatCode="General">
                  <c:v>108.7</c:v>
                </c:pt>
                <c:pt idx="225" formatCode="General">
                  <c:v>108.6</c:v>
                </c:pt>
                <c:pt idx="226" formatCode="General">
                  <c:v>108.5</c:v>
                </c:pt>
                <c:pt idx="227" formatCode="General">
                  <c:v>108.4</c:v>
                </c:pt>
                <c:pt idx="228" formatCode="General">
                  <c:v>108.3</c:v>
                </c:pt>
                <c:pt idx="229" formatCode="General">
                  <c:v>108.2</c:v>
                </c:pt>
                <c:pt idx="230" formatCode="General">
                  <c:v>108.1</c:v>
                </c:pt>
                <c:pt idx="231" formatCode="General">
                  <c:v>108</c:v>
                </c:pt>
                <c:pt idx="232" formatCode="General">
                  <c:v>108</c:v>
                </c:pt>
                <c:pt idx="233" formatCode="General">
                  <c:v>107.9</c:v>
                </c:pt>
                <c:pt idx="234" formatCode="General">
                  <c:v>107.8</c:v>
                </c:pt>
                <c:pt idx="235" formatCode="General">
                  <c:v>107.8</c:v>
                </c:pt>
                <c:pt idx="236" formatCode="General">
                  <c:v>107.7</c:v>
                </c:pt>
                <c:pt idx="237" formatCode="General">
                  <c:v>107.6</c:v>
                </c:pt>
                <c:pt idx="238" formatCode="General">
                  <c:v>107.5</c:v>
                </c:pt>
                <c:pt idx="239" formatCode="General">
                  <c:v>107.4</c:v>
                </c:pt>
                <c:pt idx="240" formatCode="General">
                  <c:v>107.4</c:v>
                </c:pt>
                <c:pt idx="241" formatCode="General">
                  <c:v>107.3</c:v>
                </c:pt>
                <c:pt idx="242" formatCode="General">
                  <c:v>107.1</c:v>
                </c:pt>
                <c:pt idx="243" formatCode="General">
                  <c:v>107</c:v>
                </c:pt>
                <c:pt idx="244" formatCode="General">
                  <c:v>106.9</c:v>
                </c:pt>
                <c:pt idx="245" formatCode="General">
                  <c:v>106.8</c:v>
                </c:pt>
                <c:pt idx="246" formatCode="General">
                  <c:v>106.7</c:v>
                </c:pt>
                <c:pt idx="247" formatCode="General">
                  <c:v>106.6</c:v>
                </c:pt>
                <c:pt idx="248" formatCode="General">
                  <c:v>106.6</c:v>
                </c:pt>
                <c:pt idx="249" formatCode="General">
                  <c:v>106.4</c:v>
                </c:pt>
                <c:pt idx="250" formatCode="General">
                  <c:v>106.4</c:v>
                </c:pt>
                <c:pt idx="251" formatCode="General">
                  <c:v>106.3</c:v>
                </c:pt>
                <c:pt idx="252" formatCode="General">
                  <c:v>106.3</c:v>
                </c:pt>
                <c:pt idx="253" formatCode="General">
                  <c:v>106.2</c:v>
                </c:pt>
                <c:pt idx="254" formatCode="General">
                  <c:v>106.1</c:v>
                </c:pt>
                <c:pt idx="255" formatCode="General">
                  <c:v>106.1</c:v>
                </c:pt>
                <c:pt idx="256" formatCode="General">
                  <c:v>106</c:v>
                </c:pt>
                <c:pt idx="257" formatCode="General">
                  <c:v>105.9</c:v>
                </c:pt>
                <c:pt idx="258" formatCode="General">
                  <c:v>105.9</c:v>
                </c:pt>
                <c:pt idx="259" formatCode="General">
                  <c:v>105.9</c:v>
                </c:pt>
                <c:pt idx="260" formatCode="General">
                  <c:v>105.8</c:v>
                </c:pt>
                <c:pt idx="261" formatCode="General">
                  <c:v>105.8</c:v>
                </c:pt>
                <c:pt idx="262" formatCode="General">
                  <c:v>105.7</c:v>
                </c:pt>
                <c:pt idx="263" formatCode="General">
                  <c:v>105.7</c:v>
                </c:pt>
                <c:pt idx="264" formatCode="General">
                  <c:v>105.6</c:v>
                </c:pt>
                <c:pt idx="265" formatCode="General">
                  <c:v>105.6</c:v>
                </c:pt>
                <c:pt idx="266" formatCode="General">
                  <c:v>105.5</c:v>
                </c:pt>
                <c:pt idx="267" formatCode="General">
                  <c:v>105.5</c:v>
                </c:pt>
                <c:pt idx="268" formatCode="General">
                  <c:v>105.5</c:v>
                </c:pt>
                <c:pt idx="269" formatCode="General">
                  <c:v>105.5</c:v>
                </c:pt>
                <c:pt idx="270" formatCode="General">
                  <c:v>105.4</c:v>
                </c:pt>
                <c:pt idx="271" formatCode="General">
                  <c:v>105.4</c:v>
                </c:pt>
                <c:pt idx="272" formatCode="General">
                  <c:v>105.4</c:v>
                </c:pt>
                <c:pt idx="273" formatCode="General">
                  <c:v>105.3</c:v>
                </c:pt>
                <c:pt idx="274" formatCode="General">
                  <c:v>105.3</c:v>
                </c:pt>
                <c:pt idx="275" formatCode="General">
                  <c:v>105.3</c:v>
                </c:pt>
                <c:pt idx="276" formatCode="General">
                  <c:v>105.2</c:v>
                </c:pt>
                <c:pt idx="277" formatCode="General">
                  <c:v>105.2</c:v>
                </c:pt>
                <c:pt idx="278" formatCode="General">
                  <c:v>105.2</c:v>
                </c:pt>
                <c:pt idx="279" formatCode="General">
                  <c:v>105.2</c:v>
                </c:pt>
                <c:pt idx="280" formatCode="General">
                  <c:v>105.2</c:v>
                </c:pt>
                <c:pt idx="281" formatCode="General">
                  <c:v>105.1</c:v>
                </c:pt>
                <c:pt idx="282" formatCode="General">
                  <c:v>105.1</c:v>
                </c:pt>
                <c:pt idx="283" formatCode="General">
                  <c:v>105.1</c:v>
                </c:pt>
                <c:pt idx="284" formatCode="General">
                  <c:v>105</c:v>
                </c:pt>
                <c:pt idx="285" formatCode="General">
                  <c:v>105</c:v>
                </c:pt>
                <c:pt idx="286" formatCode="General">
                  <c:v>105</c:v>
                </c:pt>
                <c:pt idx="287" formatCode="General">
                  <c:v>104.9</c:v>
                </c:pt>
                <c:pt idx="288" formatCode="General">
                  <c:v>104.9</c:v>
                </c:pt>
                <c:pt idx="289" formatCode="General">
                  <c:v>104.9</c:v>
                </c:pt>
                <c:pt idx="290" formatCode="General">
                  <c:v>104.9</c:v>
                </c:pt>
                <c:pt idx="291" formatCode="General">
                  <c:v>104.9</c:v>
                </c:pt>
                <c:pt idx="292" formatCode="General">
                  <c:v>104.8</c:v>
                </c:pt>
                <c:pt idx="293" formatCode="General">
                  <c:v>104.8</c:v>
                </c:pt>
                <c:pt idx="294" formatCode="General">
                  <c:v>104.8</c:v>
                </c:pt>
                <c:pt idx="295" formatCode="General">
                  <c:v>104.8</c:v>
                </c:pt>
                <c:pt idx="296" formatCode="General">
                  <c:v>104.8</c:v>
                </c:pt>
                <c:pt idx="297" formatCode="General">
                  <c:v>104.8</c:v>
                </c:pt>
                <c:pt idx="298" formatCode="General">
                  <c:v>104.7</c:v>
                </c:pt>
                <c:pt idx="299" formatCode="General">
                  <c:v>104.8</c:v>
                </c:pt>
                <c:pt idx="300" formatCode="General">
                  <c:v>104.7</c:v>
                </c:pt>
                <c:pt idx="301" formatCode="General">
                  <c:v>104.7</c:v>
                </c:pt>
                <c:pt idx="302" formatCode="General">
                  <c:v>104.7</c:v>
                </c:pt>
                <c:pt idx="303" formatCode="General">
                  <c:v>104.7</c:v>
                </c:pt>
                <c:pt idx="304" formatCode="General">
                  <c:v>104.7</c:v>
                </c:pt>
                <c:pt idx="305" formatCode="General">
                  <c:v>104.7</c:v>
                </c:pt>
                <c:pt idx="306" formatCode="General">
                  <c:v>104.7</c:v>
                </c:pt>
                <c:pt idx="307" formatCode="General">
                  <c:v>104.7</c:v>
                </c:pt>
                <c:pt idx="308" formatCode="General">
                  <c:v>104.6</c:v>
                </c:pt>
                <c:pt idx="309" formatCode="General">
                  <c:v>104.6</c:v>
                </c:pt>
                <c:pt idx="310" formatCode="General">
                  <c:v>104.6</c:v>
                </c:pt>
                <c:pt idx="311" formatCode="General">
                  <c:v>104.6</c:v>
                </c:pt>
                <c:pt idx="312" formatCode="General">
                  <c:v>104.6</c:v>
                </c:pt>
                <c:pt idx="313" formatCode="General">
                  <c:v>104.6</c:v>
                </c:pt>
                <c:pt idx="314" formatCode="General">
                  <c:v>104.6</c:v>
                </c:pt>
                <c:pt idx="315" formatCode="General">
                  <c:v>104.6</c:v>
                </c:pt>
                <c:pt idx="316" formatCode="General">
                  <c:v>104.6</c:v>
                </c:pt>
                <c:pt idx="317" formatCode="General">
                  <c:v>104.6</c:v>
                </c:pt>
                <c:pt idx="318" formatCode="General">
                  <c:v>104.6</c:v>
                </c:pt>
                <c:pt idx="319" formatCode="General">
                  <c:v>104.6</c:v>
                </c:pt>
                <c:pt idx="320" formatCode="General">
                  <c:v>104.5</c:v>
                </c:pt>
                <c:pt idx="321" formatCode="General">
                  <c:v>104.5</c:v>
                </c:pt>
                <c:pt idx="322" formatCode="General">
                  <c:v>104.5</c:v>
                </c:pt>
                <c:pt idx="323" formatCode="General">
                  <c:v>104.5</c:v>
                </c:pt>
                <c:pt idx="324" formatCode="General">
                  <c:v>104.5</c:v>
                </c:pt>
                <c:pt idx="325" formatCode="General">
                  <c:v>104.5</c:v>
                </c:pt>
                <c:pt idx="326" formatCode="General">
                  <c:v>104.5</c:v>
                </c:pt>
                <c:pt idx="327" formatCode="General">
                  <c:v>104.5</c:v>
                </c:pt>
                <c:pt idx="328" formatCode="General">
                  <c:v>104.5</c:v>
                </c:pt>
                <c:pt idx="329" formatCode="General">
                  <c:v>104.5</c:v>
                </c:pt>
                <c:pt idx="330" formatCode="General">
                  <c:v>104.5</c:v>
                </c:pt>
                <c:pt idx="331" formatCode="General">
                  <c:v>104.5</c:v>
                </c:pt>
                <c:pt idx="332" formatCode="General">
                  <c:v>104.4</c:v>
                </c:pt>
                <c:pt idx="333" formatCode="General">
                  <c:v>104.4</c:v>
                </c:pt>
                <c:pt idx="334" formatCode="General">
                  <c:v>104.4</c:v>
                </c:pt>
                <c:pt idx="335" formatCode="General">
                  <c:v>104.4</c:v>
                </c:pt>
                <c:pt idx="336" formatCode="General">
                  <c:v>104.4</c:v>
                </c:pt>
                <c:pt idx="337" formatCode="General">
                  <c:v>104.4</c:v>
                </c:pt>
                <c:pt idx="338" formatCode="General">
                  <c:v>104.4</c:v>
                </c:pt>
                <c:pt idx="339" formatCode="General">
                  <c:v>104.4</c:v>
                </c:pt>
                <c:pt idx="340" formatCode="General">
                  <c:v>104.3</c:v>
                </c:pt>
                <c:pt idx="341" formatCode="General">
                  <c:v>104.3</c:v>
                </c:pt>
                <c:pt idx="342" formatCode="General">
                  <c:v>104.3</c:v>
                </c:pt>
                <c:pt idx="343" formatCode="General">
                  <c:v>104.3</c:v>
                </c:pt>
                <c:pt idx="344" formatCode="General">
                  <c:v>104.3</c:v>
                </c:pt>
                <c:pt idx="345" formatCode="General">
                  <c:v>104.3</c:v>
                </c:pt>
                <c:pt idx="346" formatCode="General">
                  <c:v>104.3</c:v>
                </c:pt>
                <c:pt idx="347" formatCode="General">
                  <c:v>104.3</c:v>
                </c:pt>
                <c:pt idx="348" formatCode="General">
                  <c:v>104.2</c:v>
                </c:pt>
                <c:pt idx="349" formatCode="General">
                  <c:v>104.2</c:v>
                </c:pt>
                <c:pt idx="350" formatCode="General">
                  <c:v>104.3</c:v>
                </c:pt>
                <c:pt idx="351" formatCode="General">
                  <c:v>104.2</c:v>
                </c:pt>
                <c:pt idx="352" formatCode="General">
                  <c:v>104.2</c:v>
                </c:pt>
                <c:pt idx="353" formatCode="General">
                  <c:v>104.2</c:v>
                </c:pt>
                <c:pt idx="354" formatCode="General">
                  <c:v>104.2</c:v>
                </c:pt>
                <c:pt idx="355" formatCode="General">
                  <c:v>104.2</c:v>
                </c:pt>
                <c:pt idx="356" formatCode="General">
                  <c:v>104.2</c:v>
                </c:pt>
                <c:pt idx="357" formatCode="General">
                  <c:v>104.2</c:v>
                </c:pt>
                <c:pt idx="358" formatCode="General">
                  <c:v>104.2</c:v>
                </c:pt>
                <c:pt idx="359" formatCode="General">
                  <c:v>104.1</c:v>
                </c:pt>
                <c:pt idx="360" formatCode="General">
                  <c:v>104.1</c:v>
                </c:pt>
                <c:pt idx="361" formatCode="General">
                  <c:v>104.1</c:v>
                </c:pt>
                <c:pt idx="362" formatCode="General">
                  <c:v>104.1</c:v>
                </c:pt>
                <c:pt idx="363" formatCode="General">
                  <c:v>104.1</c:v>
                </c:pt>
                <c:pt idx="364" formatCode="General">
                  <c:v>104.1</c:v>
                </c:pt>
                <c:pt idx="365" formatCode="General">
                  <c:v>104</c:v>
                </c:pt>
                <c:pt idx="366" formatCode="General">
                  <c:v>104</c:v>
                </c:pt>
                <c:pt idx="367" formatCode="General">
                  <c:v>104</c:v>
                </c:pt>
                <c:pt idx="368" formatCode="General">
                  <c:v>104</c:v>
                </c:pt>
                <c:pt idx="369" formatCode="General">
                  <c:v>103.9</c:v>
                </c:pt>
                <c:pt idx="370" formatCode="General">
                  <c:v>103.9</c:v>
                </c:pt>
                <c:pt idx="371" formatCode="General">
                  <c:v>103.9</c:v>
                </c:pt>
                <c:pt idx="372" formatCode="General">
                  <c:v>103.9</c:v>
                </c:pt>
                <c:pt idx="373" formatCode="General">
                  <c:v>103.8</c:v>
                </c:pt>
                <c:pt idx="374" formatCode="General">
                  <c:v>103.8</c:v>
                </c:pt>
                <c:pt idx="375" formatCode="General">
                  <c:v>103.8</c:v>
                </c:pt>
                <c:pt idx="376" formatCode="General">
                  <c:v>103.8</c:v>
                </c:pt>
                <c:pt idx="377" formatCode="General">
                  <c:v>103.7</c:v>
                </c:pt>
                <c:pt idx="378" formatCode="General">
                  <c:v>103.7</c:v>
                </c:pt>
                <c:pt idx="379" formatCode="General">
                  <c:v>103.7</c:v>
                </c:pt>
                <c:pt idx="380" formatCode="General">
                  <c:v>103.6</c:v>
                </c:pt>
                <c:pt idx="381" formatCode="General">
                  <c:v>103.6</c:v>
                </c:pt>
                <c:pt idx="382" formatCode="General">
                  <c:v>103.5</c:v>
                </c:pt>
                <c:pt idx="383" formatCode="General">
                  <c:v>103.5</c:v>
                </c:pt>
                <c:pt idx="384" formatCode="General">
                  <c:v>103.5</c:v>
                </c:pt>
                <c:pt idx="385" formatCode="General">
                  <c:v>103.4</c:v>
                </c:pt>
                <c:pt idx="386" formatCode="General">
                  <c:v>103.3</c:v>
                </c:pt>
                <c:pt idx="387" formatCode="General">
                  <c:v>103.3</c:v>
                </c:pt>
                <c:pt idx="388" formatCode="General">
                  <c:v>103.3</c:v>
                </c:pt>
                <c:pt idx="389" formatCode="General">
                  <c:v>103.2</c:v>
                </c:pt>
                <c:pt idx="390" formatCode="General">
                  <c:v>103.1</c:v>
                </c:pt>
                <c:pt idx="391" formatCode="General">
                  <c:v>103.1</c:v>
                </c:pt>
                <c:pt idx="392" formatCode="General">
                  <c:v>103.1</c:v>
                </c:pt>
                <c:pt idx="393" formatCode="General">
                  <c:v>103</c:v>
                </c:pt>
                <c:pt idx="394" formatCode="General">
                  <c:v>103</c:v>
                </c:pt>
                <c:pt idx="395" formatCode="General">
                  <c:v>102.9</c:v>
                </c:pt>
                <c:pt idx="396" formatCode="General">
                  <c:v>102.9</c:v>
                </c:pt>
                <c:pt idx="397" formatCode="General">
                  <c:v>102.8</c:v>
                </c:pt>
                <c:pt idx="398" formatCode="General">
                  <c:v>102.7</c:v>
                </c:pt>
                <c:pt idx="399" formatCode="General">
                  <c:v>102.7</c:v>
                </c:pt>
                <c:pt idx="400" formatCode="General">
                  <c:v>102.6</c:v>
                </c:pt>
                <c:pt idx="401" formatCode="General">
                  <c:v>102.5</c:v>
                </c:pt>
                <c:pt idx="402" formatCode="General">
                  <c:v>102.4</c:v>
                </c:pt>
                <c:pt idx="403" formatCode="General">
                  <c:v>102.3</c:v>
                </c:pt>
                <c:pt idx="404" formatCode="General">
                  <c:v>102.2</c:v>
                </c:pt>
                <c:pt idx="405" formatCode="General">
                  <c:v>102.1</c:v>
                </c:pt>
                <c:pt idx="406" formatCode="General">
                  <c:v>101.9</c:v>
                </c:pt>
                <c:pt idx="407" formatCode="General">
                  <c:v>101.8</c:v>
                </c:pt>
                <c:pt idx="408" formatCode="General">
                  <c:v>101.7</c:v>
                </c:pt>
                <c:pt idx="409" formatCode="General">
                  <c:v>101.5</c:v>
                </c:pt>
                <c:pt idx="410" formatCode="General">
                  <c:v>101.4</c:v>
                </c:pt>
                <c:pt idx="411" formatCode="General">
                  <c:v>101.3</c:v>
                </c:pt>
                <c:pt idx="412" formatCode="General">
                  <c:v>101.2</c:v>
                </c:pt>
                <c:pt idx="413" formatCode="General">
                  <c:v>101</c:v>
                </c:pt>
                <c:pt idx="414" formatCode="General">
                  <c:v>100.9</c:v>
                </c:pt>
                <c:pt idx="415" formatCode="General">
                  <c:v>100.8</c:v>
                </c:pt>
                <c:pt idx="416" formatCode="General">
                  <c:v>100.6</c:v>
                </c:pt>
                <c:pt idx="417" formatCode="General">
                  <c:v>100.5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217536"/>
        <c:axId val="157219072"/>
      </c:scatterChart>
      <c:valAx>
        <c:axId val="157217536"/>
        <c:scaling>
          <c:orientation val="minMax"/>
          <c:max val="60"/>
        </c:scaling>
        <c:delete val="0"/>
        <c:axPos val="b"/>
        <c:numFmt formatCode="#,##0" sourceLinked="0"/>
        <c:majorTickMark val="out"/>
        <c:minorTickMark val="none"/>
        <c:tickLblPos val="nextTo"/>
        <c:crossAx val="157219072"/>
        <c:crosses val="autoZero"/>
        <c:crossBetween val="midCat"/>
      </c:valAx>
      <c:valAx>
        <c:axId val="1572190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721753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371475</xdr:colOff>
      <xdr:row>5</xdr:row>
      <xdr:rowOff>22412</xdr:rowOff>
    </xdr:from>
    <xdr:to>
      <xdr:col>25</xdr:col>
      <xdr:colOff>314325</xdr:colOff>
      <xdr:row>26</xdr:row>
      <xdr:rowOff>14240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18</xdr:col>
      <xdr:colOff>135031</xdr:colOff>
      <xdr:row>1</xdr:row>
      <xdr:rowOff>66675</xdr:rowOff>
    </xdr:from>
    <xdr:to>
      <xdr:col>22</xdr:col>
      <xdr:colOff>435069</xdr:colOff>
      <xdr:row>5</xdr:row>
      <xdr:rowOff>28575</xdr:rowOff>
    </xdr:to>
    <xdr:pic>
      <xdr:nvPicPr>
        <xdr:cNvPr id="3" name="Object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0498231" y="257175"/>
          <a:ext cx="2738438" cy="533400"/>
        </a:xfrm>
        <a:prstGeom prst="rect">
          <a:avLst/>
        </a:prstGeom>
        <a:solidFill>
          <a:schemeClr val="bg1"/>
        </a:solidFill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95250</xdr:colOff>
          <xdr:row>7</xdr:row>
          <xdr:rowOff>104775</xdr:rowOff>
        </xdr:from>
        <xdr:to>
          <xdr:col>12</xdr:col>
          <xdr:colOff>590550</xdr:colOff>
          <xdr:row>9</xdr:row>
          <xdr:rowOff>133350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Calculate!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266699</xdr:colOff>
      <xdr:row>4</xdr:row>
      <xdr:rowOff>66674</xdr:rowOff>
    </xdr:from>
    <xdr:to>
      <xdr:col>26</xdr:col>
      <xdr:colOff>603251</xdr:colOff>
      <xdr:row>28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238125</xdr:colOff>
          <xdr:row>27</xdr:row>
          <xdr:rowOff>47625</xdr:rowOff>
        </xdr:from>
        <xdr:to>
          <xdr:col>7</xdr:col>
          <xdr:colOff>619125</xdr:colOff>
          <xdr:row>29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Yield, etc.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600074</xdr:colOff>
      <xdr:row>2</xdr:row>
      <xdr:rowOff>9524</xdr:rowOff>
    </xdr:from>
    <xdr:to>
      <xdr:col>20</xdr:col>
      <xdr:colOff>590549</xdr:colOff>
      <xdr:row>21</xdr:row>
      <xdr:rowOff>41909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1009650</xdr:colOff>
          <xdr:row>9</xdr:row>
          <xdr:rowOff>28575</xdr:rowOff>
        </xdr:from>
        <xdr:to>
          <xdr:col>8</xdr:col>
          <xdr:colOff>495300</xdr:colOff>
          <xdr:row>11</xdr:row>
          <xdr:rowOff>28575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F/Y, etc.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G61"/>
  <sheetViews>
    <sheetView zoomScale="85" zoomScaleNormal="85" workbookViewId="0">
      <pane xSplit="3" ySplit="3" topLeftCell="D4" activePane="bottomRight" state="frozen"/>
      <selection activeCell="E28" sqref="E28"/>
      <selection pane="topRight" activeCell="E28" sqref="E28"/>
      <selection pane="bottomLeft" activeCell="E28" sqref="E28"/>
      <selection pane="bottomRight" activeCell="A4" sqref="A4"/>
    </sheetView>
  </sheetViews>
  <sheetFormatPr defaultRowHeight="15" x14ac:dyDescent="0.25"/>
  <cols>
    <col min="1" max="1" width="7.5703125" style="22" customWidth="1"/>
    <col min="2" max="2" width="10.5703125" style="35" customWidth="1"/>
    <col min="3" max="3" width="31.85546875" style="35" bestFit="1" customWidth="1"/>
    <col min="4" max="4" width="34" style="1" bestFit="1" customWidth="1"/>
    <col min="5" max="5" width="7.5703125" style="1" bestFit="1" customWidth="1"/>
    <col min="6" max="6" width="13.5703125" style="16" customWidth="1"/>
    <col min="7" max="7" width="8.5703125" style="16" bestFit="1" customWidth="1"/>
    <col min="8" max="8" width="12.140625" style="18" customWidth="1"/>
    <col min="9" max="9" width="14.5703125" style="16" customWidth="1"/>
    <col min="10" max="10" width="6.5703125" style="24" customWidth="1"/>
    <col min="11" max="11" width="8.5703125" style="1" customWidth="1"/>
    <col min="12" max="12" width="10.42578125" style="21" customWidth="1"/>
    <col min="13" max="13" width="11.5703125" style="21" customWidth="1"/>
    <col min="14" max="14" width="8.42578125" style="35" customWidth="1"/>
    <col min="15" max="15" width="11.5703125" style="6" customWidth="1"/>
    <col min="16" max="16" width="10" style="6" customWidth="1"/>
    <col min="17" max="17" width="10.85546875" style="6" customWidth="1"/>
    <col min="18" max="18" width="10.42578125" style="6" customWidth="1"/>
    <col min="19" max="20" width="9.42578125" style="6" customWidth="1"/>
    <col min="21" max="21" width="11.5703125" style="35" customWidth="1"/>
    <col min="22" max="22" width="10.5703125" style="35" customWidth="1"/>
    <col min="23" max="23" width="13.7109375" style="35" bestFit="1" customWidth="1"/>
    <col min="24" max="24" width="9.5703125" style="35" bestFit="1" customWidth="1"/>
    <col min="25" max="25" width="10.5703125" style="35" bestFit="1" customWidth="1"/>
    <col min="26" max="26" width="13.7109375" style="35" bestFit="1" customWidth="1"/>
    <col min="27" max="27" width="13.140625" style="35" bestFit="1" customWidth="1"/>
    <col min="28" max="16384" width="9.140625" style="35"/>
  </cols>
  <sheetData>
    <row r="1" spans="1:30" ht="21.75" thickBot="1" x14ac:dyDescent="0.3">
      <c r="A1" s="57" t="s">
        <v>123</v>
      </c>
      <c r="B1" s="58"/>
      <c r="C1" s="58" t="s">
        <v>124</v>
      </c>
      <c r="D1" s="59"/>
      <c r="E1" s="54"/>
    </row>
    <row r="2" spans="1:30" x14ac:dyDescent="0.25">
      <c r="A2" s="67"/>
      <c r="C2" s="26"/>
      <c r="I2" s="16" t="s">
        <v>5</v>
      </c>
      <c r="J2" s="23">
        <v>0.95</v>
      </c>
      <c r="L2" s="20" t="s">
        <v>16</v>
      </c>
      <c r="M2" s="20" t="s">
        <v>16</v>
      </c>
    </row>
    <row r="3" spans="1:30" s="26" customFormat="1" ht="46.5" customHeight="1" thickBot="1" x14ac:dyDescent="0.3">
      <c r="A3" s="51" t="s">
        <v>89</v>
      </c>
      <c r="B3" s="60" t="s">
        <v>88</v>
      </c>
      <c r="C3" s="60" t="s">
        <v>42</v>
      </c>
      <c r="D3" s="51" t="s">
        <v>86</v>
      </c>
      <c r="E3" s="51" t="s">
        <v>87</v>
      </c>
      <c r="F3" s="28" t="s">
        <v>20</v>
      </c>
      <c r="G3" s="28" t="s">
        <v>15</v>
      </c>
      <c r="H3" s="29" t="s">
        <v>12</v>
      </c>
      <c r="I3" s="28" t="s">
        <v>2</v>
      </c>
      <c r="J3" s="12" t="s">
        <v>59</v>
      </c>
      <c r="K3" s="12" t="s">
        <v>14</v>
      </c>
      <c r="L3" s="32" t="s">
        <v>17</v>
      </c>
      <c r="M3" s="32" t="s">
        <v>18</v>
      </c>
      <c r="N3" s="13" t="s">
        <v>14</v>
      </c>
      <c r="O3" s="29" t="s">
        <v>38</v>
      </c>
      <c r="P3" s="29" t="s">
        <v>39</v>
      </c>
      <c r="Q3" s="29" t="s">
        <v>40</v>
      </c>
      <c r="R3" s="13" t="s">
        <v>41</v>
      </c>
      <c r="S3" s="29" t="s">
        <v>46</v>
      </c>
      <c r="T3" s="29" t="s">
        <v>47</v>
      </c>
      <c r="U3" s="13" t="s">
        <v>54</v>
      </c>
      <c r="V3" s="13" t="s">
        <v>55</v>
      </c>
      <c r="W3" s="27" t="s">
        <v>60</v>
      </c>
      <c r="X3" s="27" t="s">
        <v>61</v>
      </c>
      <c r="Y3" s="27" t="s">
        <v>62</v>
      </c>
      <c r="Z3" s="27" t="s">
        <v>63</v>
      </c>
      <c r="AA3" s="27" t="s">
        <v>64</v>
      </c>
    </row>
    <row r="4" spans="1:30" ht="15" customHeight="1" x14ac:dyDescent="0.25">
      <c r="A4" s="70" t="s">
        <v>99</v>
      </c>
      <c r="B4" s="72">
        <v>42107</v>
      </c>
      <c r="C4" s="26" t="s">
        <v>125</v>
      </c>
      <c r="D4" s="26" t="s">
        <v>126</v>
      </c>
      <c r="E4" s="35">
        <v>29664</v>
      </c>
      <c r="F4" s="16">
        <v>4.3878533208301436E-2</v>
      </c>
      <c r="G4" s="30">
        <v>4.2718004432232322</v>
      </c>
      <c r="H4" s="16">
        <v>0.35757608646462036</v>
      </c>
      <c r="I4" s="16">
        <v>3.0092281220957626</v>
      </c>
      <c r="J4" s="68">
        <f>IF(OR(ISBLANK(G4),ISBLANK(H4),ISBLANK(I4)),0,-I4*LN(1-((1-$J$2)*(H4-I4)+I4-H4)/(I4-H4)))</f>
        <v>9.0148418038485421</v>
      </c>
      <c r="K4" s="76">
        <f>AVERAGE(J4:J7)</f>
        <v>9.0619730642552483</v>
      </c>
      <c r="L4" s="52">
        <v>-6.59</v>
      </c>
      <c r="M4" s="52">
        <v>0.73599999999999999</v>
      </c>
      <c r="N4" s="76">
        <f>AVERAGE(L4:L7)</f>
        <v>-7.1374999999999993</v>
      </c>
      <c r="O4" s="41"/>
      <c r="P4" s="41"/>
      <c r="Q4" s="41"/>
      <c r="R4" s="41"/>
      <c r="S4" s="41"/>
      <c r="T4" s="41"/>
      <c r="U4" s="41"/>
      <c r="V4" s="41"/>
      <c r="W4" s="50">
        <v>1</v>
      </c>
      <c r="X4" s="46">
        <v>95.09</v>
      </c>
      <c r="Y4" s="46">
        <v>91.9</v>
      </c>
      <c r="Z4" s="46">
        <v>-3.1899999999999977</v>
      </c>
      <c r="AA4" s="46">
        <v>98.43</v>
      </c>
    </row>
    <row r="5" spans="1:30" s="26" customFormat="1" ht="15" customHeight="1" x14ac:dyDescent="0.25">
      <c r="A5" s="70" t="s">
        <v>101</v>
      </c>
      <c r="B5" s="72">
        <v>42107</v>
      </c>
      <c r="C5" s="26" t="s">
        <v>125</v>
      </c>
      <c r="D5" s="26" t="s">
        <v>126</v>
      </c>
      <c r="E5" s="35">
        <v>29664</v>
      </c>
      <c r="F5" s="30">
        <v>4.0705846337374507E-2</v>
      </c>
      <c r="G5" s="30">
        <v>4.3277655817778538</v>
      </c>
      <c r="H5" s="53">
        <v>0.346454778666201</v>
      </c>
      <c r="I5" s="53">
        <v>3.2281811670989491</v>
      </c>
      <c r="J5" s="68">
        <f t="shared" ref="J5:J27" si="0">IF(OR(ISBLANK(G5),ISBLANK(H5),ISBLANK(I5)),0,-I5*LN(1-((1-$J$2)*(H5-I5)+I5-H5)/(I5-H5)))</f>
        <v>9.6707665071575004</v>
      </c>
      <c r="K5" s="76"/>
      <c r="L5" s="52">
        <v>-7.0309999999999997</v>
      </c>
      <c r="M5" s="52">
        <v>1</v>
      </c>
      <c r="N5" s="76"/>
      <c r="O5" s="41"/>
      <c r="P5" s="41"/>
      <c r="Q5" s="41"/>
      <c r="R5" s="41"/>
      <c r="S5" s="41"/>
      <c r="T5" s="41"/>
      <c r="U5" s="41"/>
      <c r="V5" s="41"/>
      <c r="W5" s="35">
        <v>1</v>
      </c>
      <c r="X5" s="46">
        <v>98.68</v>
      </c>
      <c r="Y5" s="46">
        <v>94.64</v>
      </c>
      <c r="Z5" s="46">
        <v>-4.0400000000000063</v>
      </c>
      <c r="AA5" s="46">
        <v>104.1</v>
      </c>
    </row>
    <row r="6" spans="1:30" ht="15" customHeight="1" x14ac:dyDescent="0.25">
      <c r="A6" s="70" t="s">
        <v>127</v>
      </c>
      <c r="B6" s="72">
        <v>42107</v>
      </c>
      <c r="C6" s="26" t="s">
        <v>125</v>
      </c>
      <c r="D6" s="26" t="s">
        <v>126</v>
      </c>
      <c r="E6" s="35">
        <v>29664</v>
      </c>
      <c r="F6" s="16">
        <v>1.9600031904578007E-2</v>
      </c>
      <c r="G6" s="30">
        <v>4.4514138924432691</v>
      </c>
      <c r="H6" s="30">
        <v>0.30089009781721471</v>
      </c>
      <c r="I6" s="30">
        <v>3.0224265936704717</v>
      </c>
      <c r="J6" s="68">
        <f t="shared" si="0"/>
        <v>9.0543808911064776</v>
      </c>
      <c r="K6" s="76"/>
      <c r="L6" s="43">
        <v>-7.3719999999999999</v>
      </c>
      <c r="M6" s="43">
        <v>0.78</v>
      </c>
      <c r="N6" s="76"/>
      <c r="O6" s="38">
        <v>34.114496300777247</v>
      </c>
      <c r="P6" s="38">
        <v>6.3315396155736239E-2</v>
      </c>
      <c r="Q6" s="38">
        <v>110.64286871666468</v>
      </c>
      <c r="R6" s="38">
        <v>0.53639345152522988</v>
      </c>
      <c r="S6" s="55">
        <v>119.51250000000007</v>
      </c>
      <c r="T6" s="55">
        <v>0.62126999999999999</v>
      </c>
      <c r="U6" s="55">
        <v>656.08</v>
      </c>
      <c r="V6" s="55">
        <v>89.655999999999992</v>
      </c>
      <c r="W6" s="47"/>
      <c r="X6" s="47"/>
      <c r="Y6" s="47"/>
      <c r="Z6" s="47"/>
      <c r="AA6" s="47"/>
      <c r="AC6" s="55"/>
      <c r="AD6" s="55"/>
    </row>
    <row r="7" spans="1:30" ht="15" customHeight="1" thickBot="1" x14ac:dyDescent="0.3">
      <c r="A7" s="71" t="s">
        <v>128</v>
      </c>
      <c r="B7" s="73">
        <v>42107</v>
      </c>
      <c r="C7" s="40" t="s">
        <v>125</v>
      </c>
      <c r="D7" s="40" t="s">
        <v>126</v>
      </c>
      <c r="E7" s="40">
        <v>29664</v>
      </c>
      <c r="F7" s="28">
        <v>1.7417881052851983E-2</v>
      </c>
      <c r="G7" s="28">
        <v>4.2357003223584426</v>
      </c>
      <c r="H7" s="28">
        <v>0.29192000206607482</v>
      </c>
      <c r="I7" s="28">
        <v>2.8400078104493343</v>
      </c>
      <c r="J7" s="69">
        <f t="shared" si="0"/>
        <v>8.5079030549084731</v>
      </c>
      <c r="K7" s="77"/>
      <c r="L7" s="44">
        <v>-7.5570000000000004</v>
      </c>
      <c r="M7" s="44">
        <v>0.72799999999999998</v>
      </c>
      <c r="N7" s="77"/>
      <c r="O7" s="45">
        <v>33.27468203354271</v>
      </c>
      <c r="P7" s="45">
        <v>6.1733230377036742E-2</v>
      </c>
      <c r="Q7" s="45">
        <v>112.40486832015156</v>
      </c>
      <c r="R7" s="45">
        <v>0.53449899830704017</v>
      </c>
      <c r="S7" s="56">
        <v>118.99455782312903</v>
      </c>
      <c r="T7" s="56">
        <v>0.63776591836734775</v>
      </c>
      <c r="U7" s="56">
        <v>673.66</v>
      </c>
      <c r="V7" s="56">
        <v>93.083999999999989</v>
      </c>
      <c r="W7" s="48"/>
      <c r="X7" s="48"/>
      <c r="Y7" s="48"/>
      <c r="Z7" s="48"/>
      <c r="AA7" s="48"/>
      <c r="AC7" s="55"/>
      <c r="AD7" s="55"/>
    </row>
    <row r="8" spans="1:30" ht="15" customHeight="1" x14ac:dyDescent="0.25">
      <c r="A8" s="70" t="s">
        <v>102</v>
      </c>
      <c r="B8" s="72">
        <v>42107</v>
      </c>
      <c r="C8" s="26" t="s">
        <v>129</v>
      </c>
      <c r="D8" s="26" t="s">
        <v>130</v>
      </c>
      <c r="E8" s="35">
        <v>29674</v>
      </c>
      <c r="F8" s="16">
        <v>1.8617846701595706E-3</v>
      </c>
      <c r="G8" s="30">
        <v>6.4718280829103181</v>
      </c>
      <c r="H8" s="30">
        <v>0.25827502027303595</v>
      </c>
      <c r="I8" s="30">
        <v>1.4051255335890414</v>
      </c>
      <c r="J8" s="68">
        <f t="shared" si="0"/>
        <v>4.2093799093674651</v>
      </c>
      <c r="K8" s="76">
        <f>AVERAGE(J8:J11)</f>
        <v>3.8542872215550998</v>
      </c>
      <c r="L8" s="52">
        <v>-5.5439999999999996</v>
      </c>
      <c r="M8" s="52">
        <v>0.70399999999999996</v>
      </c>
      <c r="N8" s="76">
        <f>AVERAGE(L8:L11)</f>
        <v>-5.1790000000000003</v>
      </c>
      <c r="O8" s="41"/>
      <c r="P8" s="41"/>
      <c r="Q8" s="41"/>
      <c r="R8" s="41"/>
      <c r="S8" s="41"/>
      <c r="T8" s="41"/>
      <c r="U8" s="41"/>
      <c r="V8" s="41"/>
      <c r="W8" s="50">
        <v>1</v>
      </c>
      <c r="X8" s="46">
        <v>39.65</v>
      </c>
      <c r="Y8" s="46">
        <v>51.17</v>
      </c>
      <c r="Z8" s="46">
        <v>11.520000000000003</v>
      </c>
      <c r="AA8" s="46">
        <v>51.17</v>
      </c>
      <c r="AB8"/>
    </row>
    <row r="9" spans="1:30" ht="15" customHeight="1" x14ac:dyDescent="0.25">
      <c r="A9" s="70" t="s">
        <v>107</v>
      </c>
      <c r="B9" s="72">
        <v>42107</v>
      </c>
      <c r="C9" s="26" t="s">
        <v>129</v>
      </c>
      <c r="D9" s="26" t="s">
        <v>130</v>
      </c>
      <c r="E9" s="35">
        <v>29674</v>
      </c>
      <c r="F9" s="30">
        <v>2.2325360486935238E-3</v>
      </c>
      <c r="G9" s="30">
        <v>1.4735038478069393</v>
      </c>
      <c r="H9" s="30">
        <v>0.27566021984824968</v>
      </c>
      <c r="I9" s="30">
        <v>1.5240399790127148</v>
      </c>
      <c r="J9" s="68">
        <f t="shared" si="0"/>
        <v>4.5656157513149349</v>
      </c>
      <c r="K9" s="76"/>
      <c r="L9" s="52">
        <v>-5.4690000000000003</v>
      </c>
      <c r="M9" s="52">
        <v>0.72399999999999998</v>
      </c>
      <c r="N9" s="76"/>
      <c r="O9" s="41"/>
      <c r="P9" s="41"/>
      <c r="Q9" s="41"/>
      <c r="R9" s="41"/>
      <c r="S9" s="41"/>
      <c r="T9" s="41"/>
      <c r="U9" s="41"/>
      <c r="V9" s="41"/>
      <c r="W9" s="35">
        <v>1</v>
      </c>
      <c r="X9" s="46">
        <v>44.82</v>
      </c>
      <c r="Y9" s="46">
        <v>54.84</v>
      </c>
      <c r="Z9" s="46">
        <v>10.020000000000003</v>
      </c>
      <c r="AA9" s="46">
        <v>60.28</v>
      </c>
      <c r="AB9"/>
    </row>
    <row r="10" spans="1:30" ht="15" customHeight="1" x14ac:dyDescent="0.25">
      <c r="A10" s="70" t="s">
        <v>131</v>
      </c>
      <c r="B10" s="72">
        <v>42107</v>
      </c>
      <c r="C10" s="26" t="s">
        <v>129</v>
      </c>
      <c r="D10" s="26" t="s">
        <v>130</v>
      </c>
      <c r="E10" s="35">
        <v>29674</v>
      </c>
      <c r="F10" s="30">
        <v>6.4934454940451681E-3</v>
      </c>
      <c r="G10" s="30">
        <v>9.0492236753854556</v>
      </c>
      <c r="H10" s="30">
        <v>0.18270974771944432</v>
      </c>
      <c r="I10" s="30">
        <v>1.1082538988504584</v>
      </c>
      <c r="J10" s="68">
        <f t="shared" si="0"/>
        <v>3.3200319720783575</v>
      </c>
      <c r="K10" s="76"/>
      <c r="L10" s="43">
        <v>-4.8710000000000004</v>
      </c>
      <c r="M10" s="43">
        <v>0.97199999999999998</v>
      </c>
      <c r="N10" s="76"/>
      <c r="O10" s="38">
        <v>16.827591301921288</v>
      </c>
      <c r="P10" s="38">
        <v>4.1031879583479675E-2</v>
      </c>
      <c r="Q10" s="38">
        <v>70.791779758702603</v>
      </c>
      <c r="R10" s="38">
        <v>0.44149901044244833</v>
      </c>
      <c r="S10" s="55">
        <v>115.8416666666667</v>
      </c>
      <c r="T10" s="55">
        <v>0.37787291666666645</v>
      </c>
      <c r="U10" s="55">
        <v>463.6</v>
      </c>
      <c r="V10" s="55">
        <v>81.341999999999985</v>
      </c>
      <c r="W10" s="47"/>
      <c r="X10" s="47"/>
      <c r="Y10" s="47"/>
      <c r="Z10" s="47"/>
      <c r="AA10" s="47"/>
      <c r="AB10"/>
    </row>
    <row r="11" spans="1:30" ht="15" customHeight="1" thickBot="1" x14ac:dyDescent="0.3">
      <c r="A11" s="71" t="s">
        <v>132</v>
      </c>
      <c r="B11" s="73">
        <v>42107</v>
      </c>
      <c r="C11" s="40" t="s">
        <v>129</v>
      </c>
      <c r="D11" s="40" t="s">
        <v>130</v>
      </c>
      <c r="E11" s="40">
        <v>29674</v>
      </c>
      <c r="F11" s="28">
        <v>4.6322717748331658E-3</v>
      </c>
      <c r="G11" s="28">
        <v>10.040690278236788</v>
      </c>
      <c r="H11" s="28">
        <v>0.20490556056147824</v>
      </c>
      <c r="I11" s="28">
        <v>1.1089513181090918</v>
      </c>
      <c r="J11" s="69">
        <f t="shared" si="0"/>
        <v>3.3221212534596409</v>
      </c>
      <c r="K11" s="77"/>
      <c r="L11" s="44">
        <v>-4.8319999999999999</v>
      </c>
      <c r="M11" s="44">
        <v>0.72799999999999998</v>
      </c>
      <c r="N11" s="77"/>
      <c r="O11" s="45">
        <v>16.72988170960917</v>
      </c>
      <c r="P11" s="45">
        <v>3.9773630342528656E-2</v>
      </c>
      <c r="Q11" s="45">
        <v>71.684168192611423</v>
      </c>
      <c r="R11" s="45">
        <v>0.43061575133688323</v>
      </c>
      <c r="S11" s="56">
        <v>121.3825396825397</v>
      </c>
      <c r="T11" s="56">
        <v>0.3672055026455025</v>
      </c>
      <c r="U11" s="56">
        <v>475.56000000000006</v>
      </c>
      <c r="V11" s="56">
        <v>84.08</v>
      </c>
      <c r="W11" s="48"/>
      <c r="X11" s="48"/>
      <c r="Y11" s="48"/>
      <c r="Z11" s="48"/>
      <c r="AA11" s="48"/>
      <c r="AB11"/>
    </row>
    <row r="12" spans="1:30" ht="15" customHeight="1" x14ac:dyDescent="0.25">
      <c r="A12" s="70" t="s">
        <v>94</v>
      </c>
      <c r="B12" s="72">
        <v>42107</v>
      </c>
      <c r="C12" s="26" t="s">
        <v>133</v>
      </c>
      <c r="D12" s="26" t="s">
        <v>134</v>
      </c>
      <c r="E12" s="35">
        <v>29684</v>
      </c>
      <c r="F12" s="16">
        <v>9.892613008260609E-2</v>
      </c>
      <c r="G12" s="30">
        <v>2.6426191659150065</v>
      </c>
      <c r="H12" s="16">
        <v>0.34779187625352287</v>
      </c>
      <c r="I12" s="16">
        <v>3.7298480836462558</v>
      </c>
      <c r="J12" s="68">
        <f t="shared" si="0"/>
        <v>11.17362627963259</v>
      </c>
      <c r="K12" s="76">
        <f>AVERAGE(J12:J15)</f>
        <v>10.866627291545097</v>
      </c>
      <c r="L12" s="52">
        <v>-7.8570000000000002</v>
      </c>
      <c r="M12" s="52">
        <v>0.74</v>
      </c>
      <c r="N12" s="76">
        <f>AVERAGE(L12:L15)</f>
        <v>-7.9987500000000002</v>
      </c>
      <c r="O12" s="41"/>
      <c r="P12" s="41"/>
      <c r="Q12" s="41"/>
      <c r="R12" s="41"/>
      <c r="S12" s="41"/>
      <c r="T12" s="41"/>
      <c r="U12" s="41"/>
      <c r="V12" s="41"/>
      <c r="W12" s="50">
        <v>1</v>
      </c>
      <c r="X12" s="46">
        <v>109.7</v>
      </c>
      <c r="Y12" s="46">
        <v>106</v>
      </c>
      <c r="Z12" s="46">
        <v>-3.7000000000000028</v>
      </c>
      <c r="AA12" s="46">
        <v>113.8</v>
      </c>
      <c r="AB12"/>
      <c r="AC12"/>
      <c r="AD12"/>
    </row>
    <row r="13" spans="1:30" ht="15" customHeight="1" x14ac:dyDescent="0.25">
      <c r="A13" s="70" t="s">
        <v>111</v>
      </c>
      <c r="B13" s="72">
        <v>42107</v>
      </c>
      <c r="C13" s="26" t="s">
        <v>133</v>
      </c>
      <c r="D13" s="26" t="s">
        <v>134</v>
      </c>
      <c r="E13" s="35">
        <v>29684</v>
      </c>
      <c r="F13" s="30">
        <v>0.24481818377206985</v>
      </c>
      <c r="G13" s="30">
        <v>2.8717098794110916</v>
      </c>
      <c r="H13" s="53">
        <v>0.34350230196324794</v>
      </c>
      <c r="I13" s="53">
        <v>3.9003359946863063</v>
      </c>
      <c r="J13" s="68">
        <f t="shared" si="0"/>
        <v>11.684362416986071</v>
      </c>
      <c r="K13" s="76"/>
      <c r="L13" s="52">
        <v>-7.3159999999999998</v>
      </c>
      <c r="M13" s="52">
        <v>1.016</v>
      </c>
      <c r="N13" s="76"/>
      <c r="O13" s="41"/>
      <c r="P13" s="41"/>
      <c r="Q13" s="41"/>
      <c r="R13" s="41"/>
      <c r="S13" s="41"/>
      <c r="T13" s="41"/>
      <c r="U13" s="41"/>
      <c r="V13" s="41"/>
      <c r="W13" s="35">
        <v>1</v>
      </c>
      <c r="X13" s="46">
        <v>105.6</v>
      </c>
      <c r="Y13" s="46">
        <v>104.2</v>
      </c>
      <c r="Z13" s="46">
        <v>-1.3999999999999915</v>
      </c>
      <c r="AA13" s="46">
        <v>107.3</v>
      </c>
      <c r="AB13"/>
      <c r="AC13"/>
      <c r="AD13"/>
    </row>
    <row r="14" spans="1:30" ht="15" customHeight="1" x14ac:dyDescent="0.25">
      <c r="A14" s="70" t="s">
        <v>135</v>
      </c>
      <c r="B14" s="72">
        <v>42107</v>
      </c>
      <c r="C14" s="35" t="s">
        <v>133</v>
      </c>
      <c r="D14" s="26" t="s">
        <v>134</v>
      </c>
      <c r="E14" s="35">
        <v>29684</v>
      </c>
      <c r="F14" s="16">
        <v>0.1437482734183024</v>
      </c>
      <c r="G14" s="30">
        <v>4.0233126519422395</v>
      </c>
      <c r="H14" s="30">
        <v>0.32090433502864163</v>
      </c>
      <c r="I14" s="30">
        <v>3.1937805512665522</v>
      </c>
      <c r="J14" s="68">
        <f t="shared" si="0"/>
        <v>9.5677114720782566</v>
      </c>
      <c r="K14" s="76"/>
      <c r="L14" s="43">
        <v>-8.3629999999999995</v>
      </c>
      <c r="M14" s="43">
        <v>0.71199999999999997</v>
      </c>
      <c r="N14" s="76"/>
      <c r="O14" s="38">
        <v>36.198711972590139</v>
      </c>
      <c r="P14" s="38">
        <v>6.281716822685858E-2</v>
      </c>
      <c r="Q14" s="38">
        <v>122.11422291966966</v>
      </c>
      <c r="R14" s="38">
        <v>0.54387570499985627</v>
      </c>
      <c r="S14" s="55">
        <v>135.01785714285705</v>
      </c>
      <c r="T14" s="55">
        <v>0.60880589285714315</v>
      </c>
      <c r="U14" s="55">
        <v>717.04000000000008</v>
      </c>
      <c r="V14" s="55">
        <v>92.908000000000001</v>
      </c>
      <c r="W14" s="47"/>
      <c r="X14" s="47"/>
      <c r="Y14" s="47"/>
      <c r="Z14" s="47"/>
      <c r="AA14" s="47"/>
      <c r="AB14"/>
      <c r="AC14"/>
      <c r="AD14"/>
    </row>
    <row r="15" spans="1:30" ht="15" customHeight="1" thickBot="1" x14ac:dyDescent="0.3">
      <c r="A15" s="71" t="s">
        <v>136</v>
      </c>
      <c r="B15" s="73">
        <v>42107</v>
      </c>
      <c r="C15" s="40" t="s">
        <v>133</v>
      </c>
      <c r="D15" s="40" t="s">
        <v>134</v>
      </c>
      <c r="E15" s="40">
        <v>29684</v>
      </c>
      <c r="F15" s="28">
        <v>0.14781705401645875</v>
      </c>
      <c r="G15" s="28">
        <v>3.2146565928224797</v>
      </c>
      <c r="H15" s="28">
        <v>0.28086501709836786</v>
      </c>
      <c r="I15" s="28">
        <v>3.6855125856708111</v>
      </c>
      <c r="J15" s="69">
        <f t="shared" si="0"/>
        <v>11.040808997483463</v>
      </c>
      <c r="K15" s="77"/>
      <c r="L15" s="44">
        <v>-8.4589999999999996</v>
      </c>
      <c r="M15" s="44">
        <v>0.69199999999999995</v>
      </c>
      <c r="N15" s="77"/>
      <c r="O15" s="45">
        <v>34.989416567871992</v>
      </c>
      <c r="P15" s="45">
        <v>6.267768848920055E-2</v>
      </c>
      <c r="Q15" s="45">
        <v>115.00247656117801</v>
      </c>
      <c r="R15" s="45">
        <v>0.48386706230628967</v>
      </c>
      <c r="S15" s="56">
        <v>126.11443850267385</v>
      </c>
      <c r="T15" s="56">
        <v>0.63657240641711188</v>
      </c>
      <c r="U15" s="56">
        <v>692.83999999999992</v>
      </c>
      <c r="V15" s="56">
        <v>94.216000000000008</v>
      </c>
      <c r="W15" s="48"/>
      <c r="X15" s="48"/>
      <c r="Y15" s="48"/>
      <c r="Z15" s="48"/>
      <c r="AA15" s="48"/>
      <c r="AB15"/>
      <c r="AC15"/>
      <c r="AD15"/>
    </row>
    <row r="16" spans="1:30" x14ac:dyDescent="0.25">
      <c r="A16" s="70" t="s">
        <v>109</v>
      </c>
      <c r="B16" s="72">
        <v>42107</v>
      </c>
      <c r="C16" s="26" t="s">
        <v>137</v>
      </c>
      <c r="D16" s="26" t="s">
        <v>138</v>
      </c>
      <c r="E16" s="35">
        <v>29694</v>
      </c>
      <c r="F16" s="16">
        <v>4.9792360724490491E-3</v>
      </c>
      <c r="G16" s="30">
        <v>8.1681214390884467</v>
      </c>
      <c r="H16" s="30">
        <v>0.28513214545148452</v>
      </c>
      <c r="I16" s="30">
        <v>1.3469394375660926</v>
      </c>
      <c r="J16" s="68">
        <f t="shared" si="0"/>
        <v>4.0350699436394057</v>
      </c>
      <c r="K16" s="76">
        <f>AVERAGE(J16:J19)</f>
        <v>4.3161244410748631</v>
      </c>
      <c r="L16" s="52">
        <v>-5.2640000000000002</v>
      </c>
      <c r="M16" s="52">
        <v>0.82399999999999995</v>
      </c>
      <c r="N16" s="76">
        <f>AVERAGE(L16:L19)</f>
        <v>-5.4917499999999997</v>
      </c>
      <c r="O16" s="41"/>
      <c r="P16" s="41"/>
      <c r="Q16" s="41"/>
      <c r="R16" s="41"/>
      <c r="S16" s="41"/>
      <c r="T16" s="41"/>
      <c r="U16" s="41"/>
      <c r="V16" s="41"/>
      <c r="W16" s="50">
        <v>1</v>
      </c>
      <c r="X16" s="46">
        <v>44.91</v>
      </c>
      <c r="Y16" s="46">
        <v>46.22</v>
      </c>
      <c r="Z16" s="46">
        <v>1.3100000000000023</v>
      </c>
      <c r="AA16" s="46">
        <v>51.87</v>
      </c>
      <c r="AB16"/>
      <c r="AC16"/>
      <c r="AD16"/>
    </row>
    <row r="17" spans="1:33" x14ac:dyDescent="0.25">
      <c r="A17" s="70" t="s">
        <v>114</v>
      </c>
      <c r="B17" s="72">
        <v>42107</v>
      </c>
      <c r="C17" s="26" t="s">
        <v>137</v>
      </c>
      <c r="D17" s="26" t="s">
        <v>138</v>
      </c>
      <c r="E17" s="35">
        <v>29694</v>
      </c>
      <c r="F17" s="30">
        <v>3.8343720744969537E-3</v>
      </c>
      <c r="G17" s="30">
        <v>9.7815637419059662</v>
      </c>
      <c r="H17" s="30">
        <v>0.31230380869823382</v>
      </c>
      <c r="I17" s="30">
        <v>1.2890389682856995</v>
      </c>
      <c r="J17" s="68">
        <f t="shared" si="0"/>
        <v>3.8616156391622081</v>
      </c>
      <c r="K17" s="76"/>
      <c r="L17" s="52">
        <v>-5.5579999999999998</v>
      </c>
      <c r="M17" s="52">
        <v>0.85199999999999998</v>
      </c>
      <c r="N17" s="76"/>
      <c r="O17" s="41"/>
      <c r="P17" s="41"/>
      <c r="Q17" s="41"/>
      <c r="R17" s="41"/>
      <c r="S17" s="41"/>
      <c r="T17" s="41"/>
      <c r="U17" s="41"/>
      <c r="V17" s="41"/>
      <c r="W17" s="35">
        <v>1</v>
      </c>
      <c r="X17" s="46">
        <v>48.57</v>
      </c>
      <c r="Y17" s="46">
        <v>49.66</v>
      </c>
      <c r="Z17" s="46">
        <v>1.0899999999999963</v>
      </c>
      <c r="AA17" s="46">
        <v>56.11</v>
      </c>
      <c r="AB17"/>
      <c r="AC17"/>
      <c r="AD17"/>
    </row>
    <row r="18" spans="1:33" x14ac:dyDescent="0.25">
      <c r="A18" s="70" t="s">
        <v>139</v>
      </c>
      <c r="B18" s="72">
        <v>42107</v>
      </c>
      <c r="C18" s="26" t="s">
        <v>137</v>
      </c>
      <c r="D18" s="26" t="s">
        <v>138</v>
      </c>
      <c r="E18" s="35">
        <v>29694</v>
      </c>
      <c r="F18" s="30">
        <v>1.1382479777675661E-2</v>
      </c>
      <c r="G18" s="30">
        <v>8.6895434003498195</v>
      </c>
      <c r="H18" s="30">
        <v>0.22312989174016723</v>
      </c>
      <c r="I18" s="30">
        <v>1.2215313917520585</v>
      </c>
      <c r="J18" s="68">
        <f t="shared" si="0"/>
        <v>3.6593810134309637</v>
      </c>
      <c r="K18" s="76"/>
      <c r="L18" s="43">
        <v>-5.4539999999999997</v>
      </c>
      <c r="M18" s="43">
        <v>0.82799999999999996</v>
      </c>
      <c r="N18" s="76"/>
      <c r="O18" s="38">
        <v>19.89379893408535</v>
      </c>
      <c r="P18" s="38">
        <v>5.810474912461458E-2</v>
      </c>
      <c r="Q18" s="38">
        <v>73.307768535494148</v>
      </c>
      <c r="R18" s="38">
        <v>0.45605992532082529</v>
      </c>
      <c r="S18" s="55">
        <v>122.72359550561796</v>
      </c>
      <c r="T18" s="55">
        <v>0.36511741573033696</v>
      </c>
      <c r="U18" s="55">
        <v>368.12</v>
      </c>
      <c r="V18" s="55">
        <v>94.09</v>
      </c>
      <c r="W18" s="47"/>
      <c r="X18" s="47"/>
      <c r="Y18" s="47"/>
      <c r="Z18" s="47"/>
      <c r="AA18" s="47"/>
      <c r="AB18"/>
      <c r="AC18"/>
      <c r="AD18"/>
    </row>
    <row r="19" spans="1:33" ht="15.75" thickBot="1" x14ac:dyDescent="0.3">
      <c r="A19" s="71" t="s">
        <v>140</v>
      </c>
      <c r="B19" s="73">
        <v>42107</v>
      </c>
      <c r="C19" s="40" t="s">
        <v>137</v>
      </c>
      <c r="D19" s="40" t="s">
        <v>138</v>
      </c>
      <c r="E19" s="40">
        <v>29694</v>
      </c>
      <c r="F19" s="28">
        <v>4.6715967250082783E-3</v>
      </c>
      <c r="G19" s="28">
        <v>1.2163187373050848</v>
      </c>
      <c r="H19" s="28">
        <v>0.25116041928082622</v>
      </c>
      <c r="I19" s="28">
        <v>1.9055211370055694</v>
      </c>
      <c r="J19" s="69">
        <f t="shared" si="0"/>
        <v>5.7084311680668742</v>
      </c>
      <c r="K19" s="77"/>
      <c r="L19" s="44">
        <v>-5.6909999999999998</v>
      </c>
      <c r="M19" s="44">
        <v>0.65200000000000002</v>
      </c>
      <c r="N19" s="77"/>
      <c r="O19" s="45">
        <v>22.962104610103285</v>
      </c>
      <c r="P19" s="45">
        <v>6.7933046740783709E-2</v>
      </c>
      <c r="Q19" s="45">
        <v>77.928762982300128</v>
      </c>
      <c r="R19" s="45">
        <v>0.48718321014172628</v>
      </c>
      <c r="S19" s="56">
        <v>124.85135135135137</v>
      </c>
      <c r="T19" s="56">
        <v>0.37506232432432429</v>
      </c>
      <c r="U19" s="56">
        <v>371.22000000000008</v>
      </c>
      <c r="V19" s="56">
        <v>92.568000000000012</v>
      </c>
      <c r="W19" s="48"/>
      <c r="X19" s="48"/>
      <c r="Y19" s="48"/>
      <c r="Z19" s="48"/>
      <c r="AA19" s="48"/>
      <c r="AB19"/>
      <c r="AC19"/>
      <c r="AD19"/>
    </row>
    <row r="20" spans="1:33" x14ac:dyDescent="0.25">
      <c r="A20" s="70" t="s">
        <v>98</v>
      </c>
      <c r="B20" s="72">
        <v>42107</v>
      </c>
      <c r="C20" s="26" t="s">
        <v>141</v>
      </c>
      <c r="D20" s="26" t="s">
        <v>142</v>
      </c>
      <c r="E20" s="35">
        <v>29704</v>
      </c>
      <c r="F20" s="16">
        <v>2.3104343749944516E-2</v>
      </c>
      <c r="G20" s="30">
        <v>5.5945600065096972</v>
      </c>
      <c r="H20" s="16">
        <v>0.25650629379440359</v>
      </c>
      <c r="I20" s="16">
        <v>1.3929754150405742</v>
      </c>
      <c r="J20" s="68">
        <f t="shared" si="0"/>
        <v>4.1729814071043094</v>
      </c>
      <c r="K20" s="76">
        <f>AVERAGE(J20:J23)</f>
        <v>3.5493649661845614</v>
      </c>
      <c r="L20" s="52">
        <v>-5.8319999999999999</v>
      </c>
      <c r="M20" s="52">
        <v>0.72799999999999998</v>
      </c>
      <c r="N20" s="76">
        <f>AVERAGE(L20:L23)</f>
        <v>-5.81</v>
      </c>
      <c r="O20" s="41"/>
      <c r="P20" s="41"/>
      <c r="Q20" s="41"/>
      <c r="R20" s="41"/>
      <c r="S20" s="41"/>
      <c r="T20" s="41"/>
      <c r="U20" s="41"/>
      <c r="V20" s="41"/>
      <c r="W20" s="50">
        <v>1</v>
      </c>
      <c r="X20" s="46">
        <v>77.28</v>
      </c>
      <c r="Y20" s="46">
        <v>75.33</v>
      </c>
      <c r="Z20" s="46">
        <v>-1.9500000000000028</v>
      </c>
      <c r="AA20" s="46">
        <v>84.6</v>
      </c>
      <c r="AB20"/>
      <c r="AC20"/>
      <c r="AD20"/>
      <c r="AE20"/>
      <c r="AF20"/>
      <c r="AG20"/>
    </row>
    <row r="21" spans="1:33" x14ac:dyDescent="0.25">
      <c r="A21" s="70" t="s">
        <v>105</v>
      </c>
      <c r="B21" s="72">
        <v>42107</v>
      </c>
      <c r="C21" s="26" t="s">
        <v>141</v>
      </c>
      <c r="D21" s="26" t="s">
        <v>142</v>
      </c>
      <c r="E21" s="35">
        <v>29704</v>
      </c>
      <c r="F21" s="30">
        <v>6.0843138205608129E-3</v>
      </c>
      <c r="G21" s="30">
        <v>6.7735935189458765</v>
      </c>
      <c r="H21" s="53">
        <v>0.27515741034200453</v>
      </c>
      <c r="I21" s="53">
        <v>1.2639691664654942</v>
      </c>
      <c r="J21" s="68">
        <f t="shared" si="0"/>
        <v>3.7865132247578166</v>
      </c>
      <c r="K21" s="76"/>
      <c r="L21" s="52">
        <v>-5.6609999999999996</v>
      </c>
      <c r="M21" s="52">
        <v>0.77200000000000002</v>
      </c>
      <c r="N21" s="76"/>
      <c r="O21" s="41"/>
      <c r="P21" s="41"/>
      <c r="Q21" s="41"/>
      <c r="R21" s="41"/>
      <c r="S21" s="41"/>
      <c r="T21" s="41"/>
      <c r="U21" s="41"/>
      <c r="V21" s="41"/>
      <c r="W21" s="35">
        <v>1</v>
      </c>
      <c r="X21" s="46">
        <v>69.89</v>
      </c>
      <c r="Y21" s="46">
        <v>70.98</v>
      </c>
      <c r="Z21" s="46">
        <v>1.0900000000000034</v>
      </c>
      <c r="AA21" s="46">
        <v>74.19</v>
      </c>
      <c r="AB21"/>
      <c r="AC21"/>
      <c r="AD21"/>
      <c r="AE21"/>
      <c r="AF21"/>
      <c r="AG21"/>
    </row>
    <row r="22" spans="1:33" x14ac:dyDescent="0.25">
      <c r="A22" s="70" t="s">
        <v>143</v>
      </c>
      <c r="B22" s="72">
        <v>42107</v>
      </c>
      <c r="C22" s="26" t="s">
        <v>141</v>
      </c>
      <c r="D22" s="26" t="s">
        <v>142</v>
      </c>
      <c r="E22" s="35">
        <v>29704</v>
      </c>
      <c r="F22" s="16">
        <v>1.135693014312196E-2</v>
      </c>
      <c r="G22" s="30">
        <v>8.2080568785557144</v>
      </c>
      <c r="H22" s="30">
        <v>0.23426341108672485</v>
      </c>
      <c r="I22" s="30">
        <v>1.1478200213816774</v>
      </c>
      <c r="J22" s="68">
        <f t="shared" si="0"/>
        <v>3.4385614822845243</v>
      </c>
      <c r="K22" s="76"/>
      <c r="L22" s="43">
        <v>-5.9630000000000001</v>
      </c>
      <c r="M22" s="43">
        <v>0.64400000000000002</v>
      </c>
      <c r="N22" s="76"/>
      <c r="O22" s="38">
        <v>29.545361894698832</v>
      </c>
      <c r="P22" s="38">
        <v>6.2662839335071885E-2</v>
      </c>
      <c r="Q22" s="38">
        <v>92.976813158687108</v>
      </c>
      <c r="R22" s="38">
        <v>0.46661887325097673</v>
      </c>
      <c r="S22" s="55">
        <v>132.10000000000005</v>
      </c>
      <c r="T22" s="55">
        <v>0.46298128205128186</v>
      </c>
      <c r="U22" s="55">
        <v>565.82000000000005</v>
      </c>
      <c r="V22" s="55">
        <v>70.882000000000005</v>
      </c>
      <c r="W22" s="47"/>
      <c r="X22" s="47"/>
      <c r="Y22" s="47"/>
      <c r="Z22" s="47"/>
      <c r="AA22" s="47"/>
      <c r="AB22"/>
      <c r="AC22"/>
      <c r="AD22"/>
      <c r="AE22"/>
      <c r="AF22"/>
      <c r="AG22"/>
    </row>
    <row r="23" spans="1:33" ht="15.75" thickBot="1" x14ac:dyDescent="0.3">
      <c r="A23" s="71" t="s">
        <v>144</v>
      </c>
      <c r="B23" s="73">
        <v>42107</v>
      </c>
      <c r="C23" s="40" t="s">
        <v>141</v>
      </c>
      <c r="D23" s="40" t="s">
        <v>142</v>
      </c>
      <c r="E23" s="40">
        <v>29704</v>
      </c>
      <c r="F23" s="28">
        <v>4.4415984322602221E-3</v>
      </c>
      <c r="G23" s="28">
        <v>14.166469827292863</v>
      </c>
      <c r="H23" s="28">
        <v>0.21886545941044047</v>
      </c>
      <c r="I23" s="28">
        <v>0.93446392900475017</v>
      </c>
      <c r="J23" s="69">
        <f t="shared" si="0"/>
        <v>2.7994037505915945</v>
      </c>
      <c r="K23" s="77"/>
      <c r="L23" s="44">
        <v>-5.7839999999999998</v>
      </c>
      <c r="M23" s="44">
        <v>0.74</v>
      </c>
      <c r="N23" s="77"/>
      <c r="O23" s="45">
        <v>28.618448801934964</v>
      </c>
      <c r="P23" s="45">
        <v>6.2142266881499326E-2</v>
      </c>
      <c r="Q23" s="45">
        <v>89.652272441658795</v>
      </c>
      <c r="R23" s="45">
        <v>0.47243304019733495</v>
      </c>
      <c r="S23" s="56">
        <v>119.01818181818189</v>
      </c>
      <c r="T23" s="56">
        <v>0.49103909090909059</v>
      </c>
      <c r="U23" s="56">
        <v>558.5</v>
      </c>
      <c r="V23" s="56">
        <v>75.534000000000006</v>
      </c>
      <c r="W23" s="48"/>
      <c r="X23" s="48"/>
      <c r="Y23" s="48"/>
      <c r="Z23" s="48"/>
      <c r="AA23" s="48"/>
      <c r="AB23"/>
      <c r="AC23"/>
      <c r="AD23"/>
      <c r="AE23"/>
      <c r="AF23"/>
      <c r="AG23"/>
    </row>
    <row r="24" spans="1:33" x14ac:dyDescent="0.25">
      <c r="A24" s="70" t="s">
        <v>104</v>
      </c>
      <c r="B24" s="72">
        <v>42107</v>
      </c>
      <c r="C24" s="26" t="s">
        <v>145</v>
      </c>
      <c r="D24" s="26" t="s">
        <v>146</v>
      </c>
      <c r="E24" s="35">
        <v>29714</v>
      </c>
      <c r="F24" s="16">
        <v>4.6322718124363668E-3</v>
      </c>
      <c r="G24" s="30">
        <v>10.040931101711578</v>
      </c>
      <c r="H24" s="30">
        <v>0.20490568931477149</v>
      </c>
      <c r="I24" s="30">
        <v>1.1089413005231337</v>
      </c>
      <c r="J24" s="68">
        <f t="shared" si="0"/>
        <v>3.3220912434540857</v>
      </c>
      <c r="K24" s="76">
        <f>AVERAGE(J24:J27)</f>
        <v>4.9105924183765257</v>
      </c>
      <c r="L24" s="52">
        <v>-7.4690000000000003</v>
      </c>
      <c r="M24" s="52">
        <v>0.71599999999999997</v>
      </c>
      <c r="N24" s="76">
        <f>AVERAGE(L24:L27)</f>
        <v>-7.4027500000000002</v>
      </c>
      <c r="O24" s="41"/>
      <c r="P24" s="41"/>
      <c r="Q24" s="41"/>
      <c r="R24" s="41"/>
      <c r="S24" s="41"/>
      <c r="T24" s="41"/>
      <c r="U24" s="41"/>
      <c r="V24" s="41"/>
      <c r="W24" s="50">
        <v>1</v>
      </c>
      <c r="X24" s="46">
        <v>92.84</v>
      </c>
      <c r="Y24" s="46">
        <v>90.72</v>
      </c>
      <c r="Z24" s="46">
        <v>-2.1200000000000045</v>
      </c>
      <c r="AA24" s="46">
        <v>96.44</v>
      </c>
      <c r="AB24"/>
      <c r="AC24"/>
      <c r="AD24"/>
      <c r="AE24"/>
      <c r="AF24"/>
      <c r="AG24"/>
    </row>
    <row r="25" spans="1:33" x14ac:dyDescent="0.25">
      <c r="A25" s="70" t="s">
        <v>108</v>
      </c>
      <c r="B25" s="72">
        <v>42107</v>
      </c>
      <c r="C25" s="26" t="s">
        <v>145</v>
      </c>
      <c r="D25" s="26" t="s">
        <v>146</v>
      </c>
      <c r="E25" s="35">
        <v>29714</v>
      </c>
      <c r="F25" s="30">
        <v>6.5528646723170408E-3</v>
      </c>
      <c r="G25" s="30">
        <v>5.4810492868018095</v>
      </c>
      <c r="H25" s="30">
        <v>0.39942156222519704</v>
      </c>
      <c r="I25" s="30">
        <v>2.0990167601733534</v>
      </c>
      <c r="J25" s="68">
        <f t="shared" si="0"/>
        <v>6.2880922511820501</v>
      </c>
      <c r="K25" s="76"/>
      <c r="L25" s="52">
        <v>-7.4</v>
      </c>
      <c r="M25" s="52">
        <v>0.82399999999999995</v>
      </c>
      <c r="N25" s="76"/>
      <c r="O25" s="41"/>
      <c r="P25" s="41"/>
      <c r="Q25" s="41"/>
      <c r="R25" s="41"/>
      <c r="S25" s="41"/>
      <c r="T25" s="41"/>
      <c r="U25" s="41"/>
      <c r="V25" s="41"/>
      <c r="W25" s="35">
        <v>1</v>
      </c>
      <c r="X25" s="46">
        <v>93.63</v>
      </c>
      <c r="Y25" s="46">
        <v>90.26</v>
      </c>
      <c r="Z25" s="46">
        <v>-3.3699999999999903</v>
      </c>
      <c r="AA25" s="46">
        <v>98.03</v>
      </c>
      <c r="AB25"/>
      <c r="AC25"/>
      <c r="AD25"/>
      <c r="AE25"/>
      <c r="AF25"/>
      <c r="AG25"/>
    </row>
    <row r="26" spans="1:33" x14ac:dyDescent="0.25">
      <c r="A26" s="70" t="s">
        <v>147</v>
      </c>
      <c r="B26" s="72">
        <v>42107</v>
      </c>
      <c r="C26" s="26" t="s">
        <v>145</v>
      </c>
      <c r="D26" s="26" t="s">
        <v>146</v>
      </c>
      <c r="E26" s="35">
        <v>29714</v>
      </c>
      <c r="F26" s="30">
        <v>2.3147039740978766E-2</v>
      </c>
      <c r="G26" s="30">
        <v>5.8073553045413364</v>
      </c>
      <c r="H26" s="30">
        <v>0.34076576249859819</v>
      </c>
      <c r="I26" s="30">
        <v>1.6493809824359043</v>
      </c>
      <c r="J26" s="68">
        <f t="shared" si="0"/>
        <v>4.9411038404694247</v>
      </c>
      <c r="K26" s="76"/>
      <c r="L26" s="43">
        <v>-7.5519999999999996</v>
      </c>
      <c r="M26" s="43">
        <v>0.62</v>
      </c>
      <c r="N26" s="76"/>
      <c r="O26" s="38">
        <v>35.497271489233711</v>
      </c>
      <c r="P26" s="38">
        <v>6.371811197005392E-2</v>
      </c>
      <c r="Q26" s="38">
        <v>114.75483145306914</v>
      </c>
      <c r="R26" s="38">
        <v>0.51061696412703961</v>
      </c>
      <c r="S26" s="55">
        <v>155.03619631901839</v>
      </c>
      <c r="T26" s="55">
        <v>0.46633644171779137</v>
      </c>
      <c r="U26" s="55">
        <v>666.83999999999992</v>
      </c>
      <c r="V26" s="55">
        <v>88.331999999999994</v>
      </c>
      <c r="W26" s="47"/>
      <c r="X26" s="47"/>
      <c r="Y26" s="47"/>
      <c r="Z26" s="47"/>
      <c r="AA26" s="47"/>
      <c r="AB26"/>
      <c r="AC26"/>
      <c r="AD26"/>
      <c r="AE26"/>
      <c r="AF26"/>
      <c r="AG26"/>
    </row>
    <row r="27" spans="1:33" ht="15.75" thickBot="1" x14ac:dyDescent="0.3">
      <c r="A27" s="71" t="s">
        <v>148</v>
      </c>
      <c r="B27" s="73">
        <v>42107</v>
      </c>
      <c r="C27" s="40" t="s">
        <v>145</v>
      </c>
      <c r="D27" s="40" t="s">
        <v>146</v>
      </c>
      <c r="E27" s="40">
        <v>29714</v>
      </c>
      <c r="F27" s="28">
        <v>1.3022144750858604E-2</v>
      </c>
      <c r="G27" s="28">
        <v>6.7845174264823793</v>
      </c>
      <c r="H27" s="28">
        <v>0.33985718540696425</v>
      </c>
      <c r="I27" s="28">
        <v>1.699445034973279</v>
      </c>
      <c r="J27" s="69">
        <f t="shared" si="0"/>
        <v>5.0910823384005415</v>
      </c>
      <c r="K27" s="77"/>
      <c r="L27" s="44">
        <v>-7.19</v>
      </c>
      <c r="M27" s="44">
        <v>0.98</v>
      </c>
      <c r="N27" s="77"/>
      <c r="O27" s="45">
        <v>34.810620210709935</v>
      </c>
      <c r="P27" s="45">
        <v>6.2106009774131478E-2</v>
      </c>
      <c r="Q27" s="45">
        <v>114.71011485327595</v>
      </c>
      <c r="R27" s="45">
        <v>0.52144063957056308</v>
      </c>
      <c r="S27" s="56">
        <v>152.24936708860764</v>
      </c>
      <c r="T27" s="56">
        <v>0.46779632911392394</v>
      </c>
      <c r="U27" s="56">
        <v>673.28</v>
      </c>
      <c r="V27" s="56">
        <v>89.027999999999992</v>
      </c>
      <c r="W27" s="48"/>
      <c r="X27" s="48"/>
      <c r="Y27" s="48"/>
      <c r="Z27" s="48"/>
      <c r="AA27" s="48"/>
      <c r="AB27"/>
      <c r="AC27"/>
      <c r="AD27"/>
      <c r="AE27"/>
      <c r="AF27"/>
      <c r="AG27"/>
    </row>
    <row r="28" spans="1:33" x14ac:dyDescent="0.25">
      <c r="A28" s="70" t="s">
        <v>95</v>
      </c>
      <c r="B28" s="72">
        <v>42107</v>
      </c>
      <c r="C28" s="26" t="s">
        <v>149</v>
      </c>
      <c r="D28" s="26" t="s">
        <v>150</v>
      </c>
      <c r="E28" s="35">
        <v>29724</v>
      </c>
      <c r="F28" s="16">
        <v>0.24343559630785377</v>
      </c>
      <c r="G28" s="30">
        <v>3.4386476718021308</v>
      </c>
      <c r="H28" s="16">
        <v>0.35957705050699057</v>
      </c>
      <c r="I28" s="16">
        <v>4.38669755070788</v>
      </c>
      <c r="J28" s="74">
        <f>IF(OR(ISBLANK(G28),ISBLANK(H28),ISBLANK(I28)),0,-I28*LN(1-((1-$J$2)*(H28-I28)+I28-H28)/(I28-H28)))</f>
        <v>13.141371426975846</v>
      </c>
      <c r="K28" s="76">
        <f>AVERAGE(J28:J31)</f>
        <v>14.78730090198798</v>
      </c>
      <c r="L28" s="52">
        <v>-9.0909999999999993</v>
      </c>
      <c r="M28" s="52">
        <v>0.73199999999999998</v>
      </c>
      <c r="N28" s="76">
        <f>AVERAGE(L28:L31)</f>
        <v>-8.5412499999999998</v>
      </c>
      <c r="O28" s="41"/>
      <c r="P28" s="41"/>
      <c r="Q28" s="41"/>
      <c r="R28" s="41"/>
      <c r="S28" s="41"/>
      <c r="T28" s="41"/>
      <c r="U28" s="41"/>
      <c r="V28" s="41"/>
      <c r="W28" s="50">
        <v>0</v>
      </c>
      <c r="X28" s="46">
        <v>120.1</v>
      </c>
      <c r="Y28" s="46">
        <v>122.6</v>
      </c>
      <c r="Z28" s="46">
        <v>2.5</v>
      </c>
      <c r="AA28" s="46" t="s">
        <v>122</v>
      </c>
      <c r="AB28"/>
      <c r="AC28"/>
      <c r="AD28"/>
      <c r="AE28"/>
      <c r="AF28"/>
      <c r="AG28"/>
    </row>
    <row r="29" spans="1:33" x14ac:dyDescent="0.25">
      <c r="A29" s="70" t="s">
        <v>103</v>
      </c>
      <c r="B29" s="72">
        <v>42107</v>
      </c>
      <c r="C29" s="26" t="s">
        <v>149</v>
      </c>
      <c r="D29" s="26" t="s">
        <v>150</v>
      </c>
      <c r="E29" s="35">
        <v>29724</v>
      </c>
      <c r="F29" s="30">
        <v>0.11442025257263794</v>
      </c>
      <c r="G29" s="30">
        <v>2.3340090760617134</v>
      </c>
      <c r="H29" s="53">
        <v>0.40742292556125703</v>
      </c>
      <c r="I29" s="53">
        <v>5.0955839000139846</v>
      </c>
      <c r="J29" s="74">
        <f t="shared" ref="J29:J51" si="1">IF(OR(ISBLANK(G29),ISBLANK(H29),ISBLANK(I29)),0,-I29*LN(1-((1-$J$2)*(H29-I29)+I29-H29)/(I29-H29)))</f>
        <v>15.265005141874001</v>
      </c>
      <c r="K29" s="76"/>
      <c r="L29" s="52">
        <v>-8.7889999999999997</v>
      </c>
      <c r="M29" s="52">
        <v>0.91600000000000004</v>
      </c>
      <c r="N29" s="76"/>
      <c r="O29" s="41"/>
      <c r="P29" s="41"/>
      <c r="Q29" s="41"/>
      <c r="R29" s="41"/>
      <c r="S29" s="41"/>
      <c r="T29" s="41"/>
      <c r="U29" s="41"/>
      <c r="V29" s="41"/>
      <c r="W29" s="35">
        <v>0</v>
      </c>
      <c r="X29" s="46">
        <v>117.5</v>
      </c>
      <c r="Y29" s="46">
        <v>119.6</v>
      </c>
      <c r="Z29" s="46">
        <v>2.0999999999999943</v>
      </c>
      <c r="AA29" s="46" t="s">
        <v>122</v>
      </c>
      <c r="AB29"/>
      <c r="AC29"/>
      <c r="AD29"/>
      <c r="AE29"/>
      <c r="AF29"/>
      <c r="AG29"/>
    </row>
    <row r="30" spans="1:33" x14ac:dyDescent="0.25">
      <c r="A30" s="70" t="s">
        <v>151</v>
      </c>
      <c r="B30" s="72">
        <v>42107</v>
      </c>
      <c r="C30" s="26" t="s">
        <v>149</v>
      </c>
      <c r="D30" s="26" t="s">
        <v>150</v>
      </c>
      <c r="E30" s="35">
        <v>29724</v>
      </c>
      <c r="F30" s="16">
        <v>0.24468147472702984</v>
      </c>
      <c r="G30" s="30">
        <v>3.0457516229060668</v>
      </c>
      <c r="H30" s="30">
        <v>0.29881124759236338</v>
      </c>
      <c r="I30" s="30">
        <v>4.3805386669276505</v>
      </c>
      <c r="J30" s="74">
        <f t="shared" si="1"/>
        <v>13.122921060066345</v>
      </c>
      <c r="K30" s="76"/>
      <c r="L30" s="43">
        <v>-8.4269999999999996</v>
      </c>
      <c r="M30" s="43">
        <v>0.79600000000000004</v>
      </c>
      <c r="N30" s="76"/>
      <c r="O30" s="38">
        <v>49.323585520286358</v>
      </c>
      <c r="P30" s="38">
        <v>7.8164374401909514E-2</v>
      </c>
      <c r="Q30" s="38">
        <v>145.21851273891343</v>
      </c>
      <c r="R30" s="38">
        <v>0.52114038362290382</v>
      </c>
      <c r="S30" s="55">
        <v>179.33609022556391</v>
      </c>
      <c r="T30" s="55">
        <v>0.5029267293233084</v>
      </c>
      <c r="U30" s="55">
        <v>752.68000000000006</v>
      </c>
      <c r="V30" s="55">
        <v>84.531999999999996</v>
      </c>
      <c r="W30" s="47"/>
      <c r="X30" s="47"/>
      <c r="Y30" s="47"/>
      <c r="Z30" s="47"/>
      <c r="AA30" s="47"/>
      <c r="AB30"/>
      <c r="AC30"/>
      <c r="AD30"/>
      <c r="AE30"/>
      <c r="AF30"/>
      <c r="AG30"/>
    </row>
    <row r="31" spans="1:33" ht="15.75" thickBot="1" x14ac:dyDescent="0.3">
      <c r="A31" s="71" t="s">
        <v>152</v>
      </c>
      <c r="B31" s="73">
        <v>42107</v>
      </c>
      <c r="C31" s="40" t="s">
        <v>149</v>
      </c>
      <c r="D31" s="40" t="s">
        <v>150</v>
      </c>
      <c r="E31" s="40">
        <v>29724</v>
      </c>
      <c r="F31" s="28">
        <v>0.13679449739715049</v>
      </c>
      <c r="G31" s="28">
        <v>2.2817188216672561</v>
      </c>
      <c r="H31" s="28">
        <v>0.32342509544094922</v>
      </c>
      <c r="I31" s="28">
        <v>5.8816691112828785</v>
      </c>
      <c r="J31" s="75">
        <f t="shared" si="1"/>
        <v>17.619905979035732</v>
      </c>
      <c r="K31" s="77"/>
      <c r="L31" s="44">
        <v>-7.8579999999999997</v>
      </c>
      <c r="M31" s="44">
        <v>1.008</v>
      </c>
      <c r="N31" s="77"/>
      <c r="O31" s="45">
        <v>37.873191282547864</v>
      </c>
      <c r="P31" s="45">
        <v>6.1212622871360541E-2</v>
      </c>
      <c r="Q31" s="45">
        <v>128.88843664383228</v>
      </c>
      <c r="R31" s="45">
        <v>0.51575825302149125</v>
      </c>
      <c r="S31" s="56">
        <v>158.78407960198999</v>
      </c>
      <c r="T31" s="56">
        <v>0.50789203980099518</v>
      </c>
      <c r="U31" s="56">
        <v>747.99999999999989</v>
      </c>
      <c r="V31" s="56">
        <v>86.055999999999997</v>
      </c>
      <c r="W31" s="48"/>
      <c r="X31" s="48"/>
      <c r="Y31" s="48"/>
      <c r="Z31" s="48"/>
      <c r="AA31" s="48"/>
      <c r="AB31"/>
      <c r="AC31"/>
      <c r="AD31"/>
      <c r="AE31"/>
      <c r="AF31"/>
      <c r="AG31"/>
    </row>
    <row r="32" spans="1:33" x14ac:dyDescent="0.25">
      <c r="A32" s="70" t="s">
        <v>113</v>
      </c>
      <c r="B32" s="72">
        <v>42107</v>
      </c>
      <c r="C32" s="26" t="s">
        <v>153</v>
      </c>
      <c r="D32" s="26" t="s">
        <v>154</v>
      </c>
      <c r="E32" s="35">
        <v>29734</v>
      </c>
      <c r="F32" s="16">
        <v>8.6071621212914937E-2</v>
      </c>
      <c r="G32" s="30">
        <v>2.1359881077877771</v>
      </c>
      <c r="H32" s="30">
        <v>0.36123217331311142</v>
      </c>
      <c r="I32" s="30">
        <v>5.2395976626025647</v>
      </c>
      <c r="J32" s="74">
        <f t="shared" si="1"/>
        <v>15.69643181829654</v>
      </c>
      <c r="K32" s="76">
        <f>AVERAGE(J32:J35)</f>
        <v>12.554001653239514</v>
      </c>
      <c r="L32" s="52">
        <v>-7.4029999999999996</v>
      </c>
      <c r="M32" s="52">
        <v>1</v>
      </c>
      <c r="N32" s="76">
        <f>AVERAGE(L32:L35)</f>
        <v>-8.0470000000000006</v>
      </c>
      <c r="O32" s="41"/>
      <c r="P32" s="41"/>
      <c r="Q32" s="41"/>
      <c r="R32" s="41"/>
      <c r="S32" s="41"/>
      <c r="T32" s="41"/>
      <c r="U32" s="41"/>
      <c r="V32" s="41"/>
      <c r="W32" s="50">
        <v>1</v>
      </c>
      <c r="X32" s="46">
        <v>110.4</v>
      </c>
      <c r="Y32" s="46">
        <v>106.9</v>
      </c>
      <c r="Z32" s="46">
        <v>-3.5</v>
      </c>
      <c r="AA32" s="46">
        <v>111.7</v>
      </c>
      <c r="AB32"/>
      <c r="AC32"/>
      <c r="AD32"/>
      <c r="AE32"/>
      <c r="AF32"/>
      <c r="AG32"/>
    </row>
    <row r="33" spans="1:33" x14ac:dyDescent="0.25">
      <c r="A33" s="70" t="s">
        <v>115</v>
      </c>
      <c r="B33" s="72">
        <v>42107</v>
      </c>
      <c r="C33" s="26" t="s">
        <v>153</v>
      </c>
      <c r="D33" s="26" t="s">
        <v>154</v>
      </c>
      <c r="E33" s="35">
        <v>29734</v>
      </c>
      <c r="F33" s="30">
        <v>3.6536847488221218E-2</v>
      </c>
      <c r="G33" s="30">
        <v>3.0749612950445924</v>
      </c>
      <c r="H33" s="30">
        <v>0.39928606642566622</v>
      </c>
      <c r="I33" s="30">
        <v>3.391040725773645</v>
      </c>
      <c r="J33" s="74">
        <f t="shared" si="1"/>
        <v>10.158650143136054</v>
      </c>
      <c r="K33" s="76"/>
      <c r="L33" s="52">
        <v>-8.1340000000000003</v>
      </c>
      <c r="M33" s="52">
        <v>0.65200000000000002</v>
      </c>
      <c r="N33" s="76"/>
      <c r="O33" s="41"/>
      <c r="P33" s="41"/>
      <c r="Q33" s="41"/>
      <c r="R33" s="41"/>
      <c r="S33" s="41"/>
      <c r="T33" s="41"/>
      <c r="U33" s="41"/>
      <c r="V33" s="41"/>
      <c r="W33" s="35">
        <v>1</v>
      </c>
      <c r="X33" s="46">
        <v>111.5</v>
      </c>
      <c r="Y33" s="46">
        <v>108.5</v>
      </c>
      <c r="Z33" s="46">
        <v>-3</v>
      </c>
      <c r="AA33" s="46">
        <v>112.9</v>
      </c>
      <c r="AB33"/>
      <c r="AC33"/>
      <c r="AD33"/>
      <c r="AE33"/>
      <c r="AF33"/>
      <c r="AG33"/>
    </row>
    <row r="34" spans="1:33" x14ac:dyDescent="0.25">
      <c r="A34" s="70" t="s">
        <v>155</v>
      </c>
      <c r="B34" s="72">
        <v>42107</v>
      </c>
      <c r="C34" s="26" t="s">
        <v>153</v>
      </c>
      <c r="D34" s="26" t="s">
        <v>154</v>
      </c>
      <c r="E34" s="35">
        <v>29734</v>
      </c>
      <c r="F34" s="30">
        <v>6.4730514112658219E-2</v>
      </c>
      <c r="G34" s="30">
        <v>2.872150719610739</v>
      </c>
      <c r="H34" s="30">
        <v>0.28087247490539669</v>
      </c>
      <c r="I34" s="30">
        <v>4.4894237015435525</v>
      </c>
      <c r="J34" s="74">
        <f t="shared" si="1"/>
        <v>13.449111472372225</v>
      </c>
      <c r="K34" s="76"/>
      <c r="L34" s="43">
        <v>-8.1590000000000007</v>
      </c>
      <c r="M34" s="43">
        <v>0.61599999999999999</v>
      </c>
      <c r="N34" s="76"/>
      <c r="O34" s="38">
        <v>39.370518001481109</v>
      </c>
      <c r="P34" s="38">
        <v>6.3032838686108913E-2</v>
      </c>
      <c r="Q34" s="38">
        <v>122.84539162799412</v>
      </c>
      <c r="R34" s="38">
        <v>0.52002892016098867</v>
      </c>
      <c r="S34" s="55">
        <v>160.58415300546454</v>
      </c>
      <c r="T34" s="55">
        <v>0.46879803278688492</v>
      </c>
      <c r="U34" s="55">
        <v>765.76</v>
      </c>
      <c r="V34" s="55">
        <v>87.122</v>
      </c>
      <c r="W34" s="47"/>
      <c r="X34" s="47"/>
      <c r="Y34" s="47"/>
      <c r="Z34" s="47"/>
      <c r="AA34" s="47"/>
      <c r="AB34"/>
      <c r="AC34"/>
      <c r="AD34"/>
      <c r="AE34"/>
      <c r="AF34"/>
      <c r="AG34"/>
    </row>
    <row r="35" spans="1:33" ht="15.75" thickBot="1" x14ac:dyDescent="0.3">
      <c r="A35" s="71" t="s">
        <v>156</v>
      </c>
      <c r="B35" s="73">
        <v>42107</v>
      </c>
      <c r="C35" s="40" t="s">
        <v>153</v>
      </c>
      <c r="D35" s="40" t="s">
        <v>154</v>
      </c>
      <c r="E35" s="40">
        <v>29734</v>
      </c>
      <c r="F35" s="28">
        <v>3.2376360182955824E-2</v>
      </c>
      <c r="G35" s="28">
        <v>2.9636963270823791</v>
      </c>
      <c r="H35" s="28">
        <v>0.3212521434855245</v>
      </c>
      <c r="I35" s="28">
        <v>3.6424527236567772</v>
      </c>
      <c r="J35" s="75">
        <f t="shared" si="1"/>
        <v>10.911813179153231</v>
      </c>
      <c r="K35" s="77"/>
      <c r="L35" s="44">
        <v>-8.4920000000000009</v>
      </c>
      <c r="M35" s="44">
        <v>0.82799999999999996</v>
      </c>
      <c r="N35" s="77"/>
      <c r="O35" s="45">
        <v>42.472423361021121</v>
      </c>
      <c r="P35" s="45">
        <v>6.661730293203208E-2</v>
      </c>
      <c r="Q35" s="45">
        <v>131.34478833403486</v>
      </c>
      <c r="R35" s="45">
        <v>0.50658562362031789</v>
      </c>
      <c r="S35" s="56">
        <v>184.08144329896899</v>
      </c>
      <c r="T35" s="56">
        <v>0.44447783505154653</v>
      </c>
      <c r="U35" s="56">
        <v>777.30000000000007</v>
      </c>
      <c r="V35" s="56">
        <v>88.85799999999999</v>
      </c>
      <c r="W35" s="48"/>
      <c r="X35" s="48"/>
      <c r="Y35" s="48"/>
      <c r="Z35" s="48"/>
      <c r="AA35" s="48"/>
      <c r="AB35"/>
      <c r="AC35"/>
      <c r="AD35"/>
      <c r="AE35"/>
      <c r="AF35"/>
      <c r="AG35"/>
    </row>
    <row r="36" spans="1:33" x14ac:dyDescent="0.25">
      <c r="A36" s="70" t="s">
        <v>112</v>
      </c>
      <c r="B36" s="72">
        <v>42107</v>
      </c>
      <c r="C36" s="26" t="s">
        <v>157</v>
      </c>
      <c r="D36" s="26" t="s">
        <v>158</v>
      </c>
      <c r="E36" s="35">
        <v>29744</v>
      </c>
      <c r="F36" s="16">
        <v>0.21749062795426913</v>
      </c>
      <c r="G36" s="30">
        <v>2.8640165132895419</v>
      </c>
      <c r="H36" s="16">
        <v>0.39261076001171025</v>
      </c>
      <c r="I36" s="16">
        <v>3.9514498821429913</v>
      </c>
      <c r="J36" s="74">
        <f t="shared" si="1"/>
        <v>11.83748593926687</v>
      </c>
      <c r="K36" s="76">
        <f>AVERAGE(J36:J39)</f>
        <v>13.182801816098555</v>
      </c>
      <c r="L36" s="52">
        <v>-7.8</v>
      </c>
      <c r="M36" s="52">
        <v>1.016</v>
      </c>
      <c r="N36" s="76">
        <f>AVERAGE(L36:L39)</f>
        <v>-7.5752500000000005</v>
      </c>
      <c r="O36" s="41"/>
      <c r="P36" s="41"/>
      <c r="Q36" s="41"/>
      <c r="R36" s="41"/>
      <c r="S36" s="41"/>
      <c r="T36" s="41"/>
      <c r="U36" s="41"/>
      <c r="V36" s="41"/>
      <c r="W36" s="50">
        <v>1</v>
      </c>
      <c r="X36" s="46">
        <v>114.2</v>
      </c>
      <c r="Y36" s="46">
        <v>112.6</v>
      </c>
      <c r="Z36" s="46">
        <v>-1.6000000000000085</v>
      </c>
      <c r="AA36" s="46">
        <v>115.2</v>
      </c>
      <c r="AB36"/>
      <c r="AC36"/>
      <c r="AD36"/>
      <c r="AE36"/>
      <c r="AF36"/>
    </row>
    <row r="37" spans="1:33" x14ac:dyDescent="0.25">
      <c r="A37" s="70" t="s">
        <v>116</v>
      </c>
      <c r="B37" s="72">
        <v>42107</v>
      </c>
      <c r="C37" s="26" t="s">
        <v>157</v>
      </c>
      <c r="D37" s="26" t="s">
        <v>158</v>
      </c>
      <c r="E37" s="35">
        <v>29744</v>
      </c>
      <c r="F37" s="30">
        <v>0.22155457609478249</v>
      </c>
      <c r="G37" s="30">
        <v>2.8085085443480127</v>
      </c>
      <c r="H37" s="53">
        <v>0.3999968078678196</v>
      </c>
      <c r="I37" s="53">
        <v>4.401930261052625</v>
      </c>
      <c r="J37" s="74">
        <f t="shared" si="1"/>
        <v>13.18700454896929</v>
      </c>
      <c r="K37" s="76"/>
      <c r="L37" s="52">
        <v>-7.3289999999999997</v>
      </c>
      <c r="M37" s="52">
        <v>0.95199999999999996</v>
      </c>
      <c r="N37" s="76"/>
      <c r="O37" s="41"/>
      <c r="P37" s="41"/>
      <c r="Q37" s="41"/>
      <c r="R37" s="41"/>
      <c r="S37" s="41"/>
      <c r="T37" s="41"/>
      <c r="U37" s="41"/>
      <c r="V37" s="41"/>
      <c r="W37" s="35">
        <v>1</v>
      </c>
      <c r="X37" s="46">
        <v>109.1</v>
      </c>
      <c r="Y37" s="46">
        <v>108.7</v>
      </c>
      <c r="Z37" s="46">
        <v>-0.39999999999999147</v>
      </c>
      <c r="AA37" s="46">
        <v>109.9</v>
      </c>
      <c r="AB37"/>
      <c r="AC37"/>
      <c r="AD37"/>
      <c r="AE37"/>
      <c r="AF37"/>
    </row>
    <row r="38" spans="1:33" x14ac:dyDescent="0.25">
      <c r="A38" s="70" t="s">
        <v>159</v>
      </c>
      <c r="B38" s="72">
        <v>42107</v>
      </c>
      <c r="C38" s="26" t="s">
        <v>157</v>
      </c>
      <c r="D38" s="26" t="s">
        <v>158</v>
      </c>
      <c r="E38" s="35">
        <v>29744</v>
      </c>
      <c r="F38" s="16">
        <v>0.24846604451930171</v>
      </c>
      <c r="G38" s="30">
        <v>3.0544367092596065</v>
      </c>
      <c r="H38" s="30">
        <v>0.34630981013133105</v>
      </c>
      <c r="I38" s="30">
        <v>4.8979939280488178</v>
      </c>
      <c r="J38" s="74">
        <f t="shared" si="1"/>
        <v>14.673078485927324</v>
      </c>
      <c r="K38" s="76"/>
      <c r="L38" s="43">
        <v>-8.4160000000000004</v>
      </c>
      <c r="M38" s="43">
        <v>0.75600000000000001</v>
      </c>
      <c r="N38" s="76"/>
      <c r="O38" s="38">
        <v>38.963320600999687</v>
      </c>
      <c r="P38" s="38">
        <v>5.9994701874591695E-2</v>
      </c>
      <c r="Q38" s="38">
        <v>129.46037866691211</v>
      </c>
      <c r="R38" s="38">
        <v>0.5154545456064572</v>
      </c>
      <c r="S38" s="55">
        <v>134.64472049689431</v>
      </c>
      <c r="T38" s="55">
        <v>0.64194987577639784</v>
      </c>
      <c r="U38" s="55">
        <v>820.8</v>
      </c>
      <c r="V38" s="55">
        <v>100.45399999999999</v>
      </c>
      <c r="W38" s="47"/>
      <c r="X38" s="47"/>
      <c r="Y38" s="47"/>
      <c r="Z38" s="47"/>
      <c r="AA38" s="47"/>
      <c r="AB38"/>
      <c r="AC38"/>
      <c r="AD38"/>
      <c r="AE38"/>
      <c r="AF38"/>
    </row>
    <row r="39" spans="1:33" ht="15.75" thickBot="1" x14ac:dyDescent="0.3">
      <c r="A39" s="71" t="s">
        <v>160</v>
      </c>
      <c r="B39" s="73">
        <v>42107</v>
      </c>
      <c r="C39" s="40" t="s">
        <v>157</v>
      </c>
      <c r="D39" s="40" t="s">
        <v>158</v>
      </c>
      <c r="E39" s="40">
        <v>29744</v>
      </c>
      <c r="F39" s="28">
        <v>0.31880105888873456</v>
      </c>
      <c r="G39" s="28">
        <v>3.4431752533440494</v>
      </c>
      <c r="H39" s="28">
        <v>0.33596627748170066</v>
      </c>
      <c r="I39" s="28">
        <v>4.3507353461757328</v>
      </c>
      <c r="J39" s="75">
        <f t="shared" si="1"/>
        <v>13.033638290230734</v>
      </c>
      <c r="K39" s="77"/>
      <c r="L39" s="44">
        <v>-6.7560000000000002</v>
      </c>
      <c r="M39" s="44">
        <v>0.624</v>
      </c>
      <c r="N39" s="77"/>
      <c r="O39" s="45">
        <v>30.362502168211364</v>
      </c>
      <c r="P39" s="45">
        <v>5.109332298583559E-2</v>
      </c>
      <c r="Q39" s="45">
        <v>87.399688212627595</v>
      </c>
      <c r="R39" s="45">
        <v>0.32779887188970414</v>
      </c>
      <c r="S39" s="56">
        <v>88.4658227848102</v>
      </c>
      <c r="T39" s="56">
        <v>0.82120120253164519</v>
      </c>
      <c r="U39" s="56">
        <v>762.66000000000008</v>
      </c>
      <c r="V39" s="56">
        <v>107.52000000000001</v>
      </c>
      <c r="W39" s="48"/>
      <c r="X39" s="48"/>
      <c r="Y39" s="48"/>
      <c r="Z39" s="48"/>
      <c r="AA39" s="48"/>
      <c r="AB39"/>
      <c r="AC39"/>
      <c r="AD39"/>
      <c r="AE39"/>
      <c r="AF39"/>
    </row>
    <row r="40" spans="1:33" x14ac:dyDescent="0.25">
      <c r="A40" s="70" t="s">
        <v>106</v>
      </c>
      <c r="B40" s="72">
        <v>42107</v>
      </c>
      <c r="C40" s="26" t="s">
        <v>161</v>
      </c>
      <c r="D40" s="26" t="s">
        <v>162</v>
      </c>
      <c r="E40" s="35">
        <v>29754</v>
      </c>
      <c r="F40" s="16">
        <v>0.72112707973066559</v>
      </c>
      <c r="G40" s="30">
        <v>2.744335687161791</v>
      </c>
      <c r="H40" s="30">
        <v>0.38371662233232684</v>
      </c>
      <c r="I40" s="30">
        <v>5.5193533801144481</v>
      </c>
      <c r="J40" s="74">
        <f t="shared" si="1"/>
        <v>16.534505049958142</v>
      </c>
      <c r="K40" s="76">
        <f>AVERAGE(J40:J43)</f>
        <v>13.100423275631114</v>
      </c>
      <c r="L40" s="52">
        <v>-8.3620000000000001</v>
      </c>
      <c r="M40" s="52">
        <v>0.73599999999999999</v>
      </c>
      <c r="N40" s="76">
        <f>AVERAGE(L40:L43)</f>
        <v>-8.0844999999999985</v>
      </c>
      <c r="O40" s="41"/>
      <c r="P40" s="41"/>
      <c r="Q40" s="41"/>
      <c r="R40" s="41"/>
      <c r="S40" s="41"/>
      <c r="T40" s="41"/>
      <c r="U40" s="41"/>
      <c r="V40" s="41"/>
      <c r="W40" s="50">
        <v>0</v>
      </c>
      <c r="X40" s="46">
        <v>117.3</v>
      </c>
      <c r="Y40" s="46">
        <v>123.5</v>
      </c>
      <c r="Z40" s="46">
        <v>6.2000000000000028</v>
      </c>
      <c r="AA40" s="46" t="s">
        <v>122</v>
      </c>
      <c r="AB40"/>
      <c r="AC40"/>
      <c r="AD40"/>
      <c r="AE40"/>
      <c r="AF40"/>
    </row>
    <row r="41" spans="1:33" x14ac:dyDescent="0.25">
      <c r="A41" s="70" t="s">
        <v>110</v>
      </c>
      <c r="B41" s="72">
        <v>42107</v>
      </c>
      <c r="C41" s="26" t="s">
        <v>161</v>
      </c>
      <c r="D41" s="26" t="s">
        <v>162</v>
      </c>
      <c r="E41" s="35">
        <v>29754</v>
      </c>
      <c r="F41" s="30">
        <v>0.44559755959378189</v>
      </c>
      <c r="G41" s="30">
        <v>3.415717099110736</v>
      </c>
      <c r="H41" s="30">
        <v>0.42981724674000898</v>
      </c>
      <c r="I41" s="30">
        <v>4.0543494897043333</v>
      </c>
      <c r="J41" s="74">
        <f t="shared" si="1"/>
        <v>12.145745614574421</v>
      </c>
      <c r="K41" s="76"/>
      <c r="L41" s="52">
        <v>-7.9749999999999996</v>
      </c>
      <c r="M41" s="52">
        <v>0.99199999999999999</v>
      </c>
      <c r="N41" s="76"/>
      <c r="O41" s="41"/>
      <c r="P41" s="41"/>
      <c r="Q41" s="41"/>
      <c r="R41" s="41"/>
      <c r="S41" s="41"/>
      <c r="T41" s="41"/>
      <c r="U41" s="41"/>
      <c r="V41" s="41"/>
      <c r="W41" s="35">
        <v>0</v>
      </c>
      <c r="X41" s="46">
        <v>112.8</v>
      </c>
      <c r="Y41" s="46">
        <v>117.1</v>
      </c>
      <c r="Z41" s="46">
        <v>4.2999999999999972</v>
      </c>
      <c r="AA41" s="46" t="s">
        <v>122</v>
      </c>
      <c r="AB41"/>
      <c r="AC41"/>
      <c r="AD41"/>
      <c r="AE41"/>
      <c r="AF41"/>
    </row>
    <row r="42" spans="1:33" x14ac:dyDescent="0.25">
      <c r="A42" s="70" t="s">
        <v>163</v>
      </c>
      <c r="B42" s="72">
        <v>42107</v>
      </c>
      <c r="C42" s="26" t="s">
        <v>161</v>
      </c>
      <c r="D42" s="26" t="s">
        <v>162</v>
      </c>
      <c r="E42" s="35">
        <v>29754</v>
      </c>
      <c r="F42" s="30">
        <v>0.16963031114341034</v>
      </c>
      <c r="G42" s="30">
        <v>2.9649860131810897</v>
      </c>
      <c r="H42" s="30">
        <v>0.32096891646176284</v>
      </c>
      <c r="I42" s="30">
        <v>4.2429924879031953</v>
      </c>
      <c r="J42" s="74">
        <f t="shared" si="1"/>
        <v>12.71086953245875</v>
      </c>
      <c r="K42" s="76"/>
      <c r="L42" s="43">
        <v>-7.7889999999999997</v>
      </c>
      <c r="M42" s="43">
        <v>0.66400000000000003</v>
      </c>
      <c r="N42" s="76"/>
      <c r="O42" s="38">
        <v>47.438859356590726</v>
      </c>
      <c r="P42" s="38">
        <v>7.6721956526745239E-2</v>
      </c>
      <c r="Q42" s="38">
        <v>142.4914154282325</v>
      </c>
      <c r="R42" s="38">
        <v>0.56898931203936198</v>
      </c>
      <c r="S42" s="55">
        <v>174.62175925925936</v>
      </c>
      <c r="T42" s="55">
        <v>0.48490435185185149</v>
      </c>
      <c r="U42" s="55">
        <v>753.46</v>
      </c>
      <c r="V42" s="55">
        <v>86.714000000000013</v>
      </c>
      <c r="W42" s="47"/>
      <c r="X42" s="47"/>
      <c r="Y42" s="47"/>
      <c r="Z42" s="47"/>
      <c r="AA42" s="47"/>
    </row>
    <row r="43" spans="1:33" ht="15.75" thickBot="1" x14ac:dyDescent="0.3">
      <c r="A43" s="71" t="s">
        <v>164</v>
      </c>
      <c r="B43" s="73">
        <v>42107</v>
      </c>
      <c r="C43" s="40" t="s">
        <v>161</v>
      </c>
      <c r="D43" s="40" t="s">
        <v>162</v>
      </c>
      <c r="E43" s="40">
        <v>29754</v>
      </c>
      <c r="F43" s="28">
        <v>0.42165154808351518</v>
      </c>
      <c r="G43" s="28">
        <v>3.9362681896972624</v>
      </c>
      <c r="H43" s="28">
        <v>0.36259827782987547</v>
      </c>
      <c r="I43" s="28">
        <v>3.6754195302208146</v>
      </c>
      <c r="J43" s="75">
        <f t="shared" si="1"/>
        <v>11.010572905533138</v>
      </c>
      <c r="K43" s="77"/>
      <c r="L43" s="44">
        <v>-8.2119999999999997</v>
      </c>
      <c r="M43" s="44">
        <v>0.69599999999999995</v>
      </c>
      <c r="N43" s="77"/>
      <c r="O43" s="45">
        <v>44.4663787630925</v>
      </c>
      <c r="P43" s="45">
        <v>7.0048971654045208E-2</v>
      </c>
      <c r="Q43" s="45">
        <v>143.00605119886228</v>
      </c>
      <c r="R43" s="45">
        <v>0.55980016558391765</v>
      </c>
      <c r="S43" s="56">
        <v>177.4874999999999</v>
      </c>
      <c r="T43" s="56">
        <v>0.48606437500000022</v>
      </c>
      <c r="U43" s="56">
        <v>767.14</v>
      </c>
      <c r="V43" s="56">
        <v>90.123999999999995</v>
      </c>
      <c r="W43" s="48"/>
      <c r="X43" s="48"/>
      <c r="Y43" s="48"/>
      <c r="Z43" s="48"/>
      <c r="AA43" s="48"/>
    </row>
    <row r="44" spans="1:33" x14ac:dyDescent="0.25">
      <c r="A44" s="70" t="s">
        <v>97</v>
      </c>
      <c r="B44" s="72">
        <v>42107</v>
      </c>
      <c r="C44" s="26" t="s">
        <v>165</v>
      </c>
      <c r="D44" s="26" t="s">
        <v>166</v>
      </c>
      <c r="E44" s="35">
        <v>29764</v>
      </c>
      <c r="F44" s="16">
        <v>0.12052237526831081</v>
      </c>
      <c r="G44" s="30">
        <v>2.8046322699398338</v>
      </c>
      <c r="H44" s="16">
        <v>0.36734781893587831</v>
      </c>
      <c r="I44" s="16">
        <v>4.0201833448442459</v>
      </c>
      <c r="J44" s="74">
        <f t="shared" si="1"/>
        <v>12.043392991754137</v>
      </c>
      <c r="K44" s="76">
        <f>AVERAGE(J44:J47)</f>
        <v>14.710559116472528</v>
      </c>
      <c r="L44" s="52">
        <v>-8.0250000000000004</v>
      </c>
      <c r="M44" s="52">
        <v>0.72399999999999998</v>
      </c>
      <c r="N44" s="76">
        <f>AVERAGE(L44:L47)</f>
        <v>-8.14025</v>
      </c>
      <c r="O44" s="41"/>
      <c r="P44" s="41"/>
      <c r="Q44" s="41"/>
      <c r="R44" s="41"/>
      <c r="S44" s="41"/>
      <c r="T44" s="41"/>
      <c r="U44" s="41"/>
      <c r="V44" s="41"/>
      <c r="W44" s="50">
        <v>1</v>
      </c>
      <c r="X44" s="46">
        <v>113.7</v>
      </c>
      <c r="Y44" s="46">
        <v>113.6</v>
      </c>
      <c r="Z44" s="46">
        <v>-0.10000000000000853</v>
      </c>
      <c r="AA44" s="46">
        <v>114.8</v>
      </c>
    </row>
    <row r="45" spans="1:33" x14ac:dyDescent="0.25">
      <c r="A45" s="70" t="s">
        <v>0</v>
      </c>
      <c r="B45" s="72">
        <v>42107</v>
      </c>
      <c r="C45" s="26" t="s">
        <v>165</v>
      </c>
      <c r="D45" s="26" t="s">
        <v>166</v>
      </c>
      <c r="E45" s="35">
        <v>29764</v>
      </c>
      <c r="F45" s="30">
        <v>0.11079969367704531</v>
      </c>
      <c r="G45" s="30">
        <v>2.3066924194624181</v>
      </c>
      <c r="H45" s="53">
        <v>0.38582090910829836</v>
      </c>
      <c r="I45" s="53">
        <v>5.0255468192553749</v>
      </c>
      <c r="J45" s="74">
        <f t="shared" si="1"/>
        <v>15.055192798699938</v>
      </c>
      <c r="K45" s="76"/>
      <c r="L45" s="52">
        <v>-8.0350000000000001</v>
      </c>
      <c r="M45" s="52">
        <v>0.86399999999999999</v>
      </c>
      <c r="N45" s="76"/>
      <c r="O45" s="41"/>
      <c r="P45" s="41"/>
      <c r="Q45" s="41"/>
      <c r="R45" s="41"/>
      <c r="S45" s="41"/>
      <c r="T45" s="41"/>
      <c r="U45" s="41"/>
      <c r="V45" s="41"/>
      <c r="W45" s="35">
        <v>1</v>
      </c>
      <c r="X45" s="46">
        <v>116.6</v>
      </c>
      <c r="Y45" s="46">
        <v>113.7</v>
      </c>
      <c r="Z45" s="46">
        <v>-2.8999999999999915</v>
      </c>
      <c r="AA45" s="46">
        <v>117.4</v>
      </c>
    </row>
    <row r="46" spans="1:33" x14ac:dyDescent="0.25">
      <c r="A46" s="70" t="s">
        <v>167</v>
      </c>
      <c r="B46" s="72">
        <v>42107</v>
      </c>
      <c r="C46" s="26" t="s">
        <v>165</v>
      </c>
      <c r="D46" s="26" t="s">
        <v>166</v>
      </c>
      <c r="E46" s="35">
        <v>29764</v>
      </c>
      <c r="F46" s="16">
        <v>0.12447973398602355</v>
      </c>
      <c r="G46" s="30">
        <v>2.2783353366736931</v>
      </c>
      <c r="H46" s="30">
        <v>0.28092533264724928</v>
      </c>
      <c r="I46" s="30">
        <v>5.0783820228684071</v>
      </c>
      <c r="J46" s="74">
        <f t="shared" si="1"/>
        <v>15.213472923343295</v>
      </c>
      <c r="K46" s="76"/>
      <c r="L46" s="43">
        <v>-8.0739999999999998</v>
      </c>
      <c r="M46" s="43">
        <v>0.94</v>
      </c>
      <c r="N46" s="76"/>
      <c r="O46" s="38">
        <v>38.838325332217977</v>
      </c>
      <c r="P46" s="38">
        <v>6.2385197861910269E-2</v>
      </c>
      <c r="Q46" s="38">
        <v>124.84203267474352</v>
      </c>
      <c r="R46" s="38">
        <v>0.50006430180964612</v>
      </c>
      <c r="S46" s="55">
        <v>157.89473684210535</v>
      </c>
      <c r="T46" s="55">
        <v>0.49325399999999986</v>
      </c>
      <c r="U46" s="55">
        <v>761.91999999999985</v>
      </c>
      <c r="V46" s="55">
        <v>90.624000000000009</v>
      </c>
      <c r="W46" s="47"/>
      <c r="X46" s="47"/>
      <c r="Y46" s="47"/>
      <c r="Z46" s="47"/>
      <c r="AA46" s="47"/>
    </row>
    <row r="47" spans="1:33" ht="15.75" thickBot="1" x14ac:dyDescent="0.3">
      <c r="A47" s="71" t="s">
        <v>168</v>
      </c>
      <c r="B47" s="73">
        <v>42107</v>
      </c>
      <c r="C47" s="40" t="s">
        <v>165</v>
      </c>
      <c r="D47" s="40" t="s">
        <v>166</v>
      </c>
      <c r="E47" s="40">
        <v>29764</v>
      </c>
      <c r="F47" s="28">
        <v>0.16240105683147987</v>
      </c>
      <c r="G47" s="28">
        <v>2.2449241711090751</v>
      </c>
      <c r="H47" s="28">
        <v>0.28361430308874597</v>
      </c>
      <c r="I47" s="28">
        <v>5.5179088926001221</v>
      </c>
      <c r="J47" s="75">
        <f t="shared" si="1"/>
        <v>16.530177752092744</v>
      </c>
      <c r="K47" s="77"/>
      <c r="L47" s="44">
        <v>-8.4269999999999996</v>
      </c>
      <c r="M47" s="44">
        <v>0.78400000000000003</v>
      </c>
      <c r="N47" s="77"/>
      <c r="O47" s="45">
        <v>41.203062160278357</v>
      </c>
      <c r="P47" s="45">
        <v>6.3632757103962559E-2</v>
      </c>
      <c r="Q47" s="45">
        <v>132.82570846217146</v>
      </c>
      <c r="R47" s="45">
        <v>0.52028844005664798</v>
      </c>
      <c r="S47" s="56">
        <v>172.72187500000001</v>
      </c>
      <c r="T47" s="56">
        <v>0.47355187500000007</v>
      </c>
      <c r="U47" s="56">
        <v>783.4799999999999</v>
      </c>
      <c r="V47" s="56">
        <v>89.822000000000003</v>
      </c>
      <c r="W47" s="48"/>
      <c r="X47" s="48"/>
      <c r="Y47" s="48"/>
      <c r="Z47" s="48"/>
      <c r="AA47" s="48"/>
    </row>
    <row r="48" spans="1:33" x14ac:dyDescent="0.25">
      <c r="A48" s="70" t="s">
        <v>100</v>
      </c>
      <c r="B48" s="72">
        <v>42107</v>
      </c>
      <c r="C48" s="26" t="s">
        <v>169</v>
      </c>
      <c r="D48" s="26" t="s">
        <v>170</v>
      </c>
      <c r="E48" s="35">
        <v>29774</v>
      </c>
      <c r="F48" s="16">
        <v>1.5640109302444909E-2</v>
      </c>
      <c r="G48" s="30">
        <v>3.9764529313085974</v>
      </c>
      <c r="H48" s="30">
        <v>0.38477431796669642</v>
      </c>
      <c r="I48" s="30">
        <v>2.7419240984456588</v>
      </c>
      <c r="J48" s="74">
        <f t="shared" si="1"/>
        <v>8.2140705133490872</v>
      </c>
      <c r="K48" s="76">
        <f>AVERAGE(J48:J51)</f>
        <v>7.5319700672725878</v>
      </c>
      <c r="L48" s="52">
        <v>-7.6820000000000004</v>
      </c>
      <c r="M48" s="52">
        <v>0.79600000000000004</v>
      </c>
      <c r="N48" s="76">
        <f>AVERAGE(L48:L51)</f>
        <v>-7.476</v>
      </c>
      <c r="O48" s="41"/>
      <c r="P48" s="41"/>
      <c r="Q48" s="41"/>
      <c r="R48" s="41"/>
      <c r="S48" s="41"/>
      <c r="T48" s="41"/>
      <c r="U48" s="41"/>
      <c r="V48" s="41"/>
      <c r="W48" s="50">
        <v>1</v>
      </c>
      <c r="X48" s="46">
        <v>102.4</v>
      </c>
      <c r="Y48" s="46">
        <v>98.96</v>
      </c>
      <c r="Z48" s="46">
        <v>-3.4400000000000119</v>
      </c>
      <c r="AA48" s="46">
        <v>105.3</v>
      </c>
    </row>
    <row r="49" spans="1:27" x14ac:dyDescent="0.25">
      <c r="A49" s="70" t="s">
        <v>96</v>
      </c>
      <c r="B49" s="72">
        <v>42107</v>
      </c>
      <c r="C49" s="26" t="s">
        <v>169</v>
      </c>
      <c r="D49" s="26" t="s">
        <v>170</v>
      </c>
      <c r="E49" s="35">
        <v>29774</v>
      </c>
      <c r="F49" s="30">
        <v>3.5801244270814603E-2</v>
      </c>
      <c r="G49" s="30">
        <v>4.3002136861493447</v>
      </c>
      <c r="H49" s="30">
        <v>0.41506396051441369</v>
      </c>
      <c r="I49" s="30">
        <v>2.4699096266958631</v>
      </c>
      <c r="J49" s="74">
        <f t="shared" si="1"/>
        <v>7.399187981454479</v>
      </c>
      <c r="K49" s="76"/>
      <c r="L49" s="52">
        <v>-7.2839999999999998</v>
      </c>
      <c r="M49" s="52">
        <v>0.71199999999999997</v>
      </c>
      <c r="N49" s="76"/>
      <c r="O49" s="41"/>
      <c r="P49" s="41"/>
      <c r="Q49" s="41"/>
      <c r="R49" s="41"/>
      <c r="S49" s="41"/>
      <c r="T49" s="41"/>
      <c r="U49" s="41"/>
      <c r="V49" s="41"/>
      <c r="W49" s="35">
        <v>1</v>
      </c>
      <c r="X49" s="46">
        <v>105.2</v>
      </c>
      <c r="Y49" s="46">
        <v>100.5</v>
      </c>
      <c r="Z49" s="46">
        <v>-4.7000000000000028</v>
      </c>
      <c r="AA49" s="46">
        <v>110.6</v>
      </c>
    </row>
    <row r="50" spans="1:27" x14ac:dyDescent="0.25">
      <c r="A50" s="70" t="s">
        <v>171</v>
      </c>
      <c r="B50" s="72">
        <v>42107</v>
      </c>
      <c r="C50" s="26" t="s">
        <v>169</v>
      </c>
      <c r="D50" s="26" t="s">
        <v>170</v>
      </c>
      <c r="E50" s="35">
        <v>29774</v>
      </c>
      <c r="F50" s="30">
        <v>2.1409895741816391E-2</v>
      </c>
      <c r="G50" s="30">
        <v>5.554174699921246</v>
      </c>
      <c r="H50" s="30">
        <v>0.36857892947118659</v>
      </c>
      <c r="I50" s="30">
        <v>2.0617477054812268</v>
      </c>
      <c r="J50" s="74">
        <f t="shared" si="1"/>
        <v>6.1764441412359972</v>
      </c>
      <c r="K50" s="76"/>
      <c r="L50" s="43">
        <v>-7.4969999999999999</v>
      </c>
      <c r="M50" s="43">
        <v>0.96</v>
      </c>
      <c r="N50" s="76"/>
      <c r="O50" s="38">
        <v>37.686223070308138</v>
      </c>
      <c r="P50" s="38">
        <v>6.194329309282564E-2</v>
      </c>
      <c r="Q50" s="38">
        <v>124.53308982624391</v>
      </c>
      <c r="R50" s="38">
        <v>0.52761265095779208</v>
      </c>
      <c r="S50" s="55">
        <v>188.41585903083717</v>
      </c>
      <c r="T50" s="55">
        <v>0.36039061674008788</v>
      </c>
      <c r="U50" s="55">
        <v>747.1</v>
      </c>
      <c r="V50" s="55">
        <v>91.065999999999988</v>
      </c>
      <c r="W50" s="47"/>
      <c r="X50" s="47"/>
      <c r="Y50" s="47"/>
      <c r="Z50" s="47"/>
      <c r="AA50" s="47"/>
    </row>
    <row r="51" spans="1:27" ht="15.75" thickBot="1" x14ac:dyDescent="0.3">
      <c r="A51" s="71" t="s">
        <v>172</v>
      </c>
      <c r="B51" s="73">
        <v>42107</v>
      </c>
      <c r="C51" s="40" t="s">
        <v>169</v>
      </c>
      <c r="D51" s="40" t="s">
        <v>170</v>
      </c>
      <c r="E51" s="40">
        <v>29774</v>
      </c>
      <c r="F51" s="28">
        <v>2.9583917630093281E-2</v>
      </c>
      <c r="G51" s="28">
        <v>4.0808792784972807</v>
      </c>
      <c r="H51" s="28">
        <v>0.3382210009459351</v>
      </c>
      <c r="I51" s="28">
        <v>2.7833520727667636</v>
      </c>
      <c r="J51" s="75">
        <f t="shared" si="1"/>
        <v>8.3381776330507869</v>
      </c>
      <c r="K51" s="77"/>
      <c r="L51" s="44">
        <v>-7.4409999999999998</v>
      </c>
      <c r="M51" s="44">
        <v>0.85599999999999998</v>
      </c>
      <c r="N51" s="77"/>
      <c r="O51" s="45">
        <v>38.558618090277328</v>
      </c>
      <c r="P51" s="45">
        <v>6.293672951257917E-2</v>
      </c>
      <c r="Q51" s="45">
        <v>125.17993304655334</v>
      </c>
      <c r="R51" s="45">
        <v>0.53366037766502306</v>
      </c>
      <c r="S51" s="56">
        <v>187.49349593495936</v>
      </c>
      <c r="T51" s="56">
        <v>0.36226382113821132</v>
      </c>
      <c r="U51" s="56">
        <v>733.4</v>
      </c>
      <c r="V51" s="56">
        <v>90.5</v>
      </c>
      <c r="W51" s="48"/>
      <c r="X51" s="48"/>
      <c r="Y51" s="48"/>
      <c r="Z51" s="48"/>
      <c r="AA51" s="48"/>
    </row>
    <row r="52" spans="1:27" x14ac:dyDescent="0.25">
      <c r="F52"/>
      <c r="G52"/>
      <c r="H52"/>
      <c r="I52"/>
      <c r="J52"/>
      <c r="K52"/>
    </row>
    <row r="53" spans="1:27" x14ac:dyDescent="0.25">
      <c r="F53"/>
      <c r="G53"/>
      <c r="H53"/>
      <c r="I53"/>
      <c r="J53"/>
      <c r="K53"/>
    </row>
    <row r="54" spans="1:27" x14ac:dyDescent="0.25">
      <c r="F54"/>
      <c r="G54"/>
      <c r="H54"/>
      <c r="I54"/>
      <c r="J54"/>
      <c r="K54"/>
    </row>
    <row r="55" spans="1:27" x14ac:dyDescent="0.25">
      <c r="F55"/>
      <c r="G55"/>
      <c r="H55"/>
      <c r="I55"/>
      <c r="J55"/>
      <c r="K55"/>
    </row>
    <row r="56" spans="1:27" x14ac:dyDescent="0.25">
      <c r="F56"/>
      <c r="G56"/>
      <c r="H56"/>
      <c r="I56"/>
      <c r="J56"/>
      <c r="K56"/>
    </row>
    <row r="57" spans="1:27" x14ac:dyDescent="0.25">
      <c r="F57"/>
      <c r="G57"/>
      <c r="H57"/>
      <c r="I57"/>
      <c r="J57"/>
      <c r="K57"/>
    </row>
    <row r="58" spans="1:27" x14ac:dyDescent="0.25">
      <c r="F58"/>
      <c r="G58"/>
      <c r="H58"/>
      <c r="I58"/>
      <c r="J58"/>
      <c r="K58"/>
    </row>
    <row r="59" spans="1:27" x14ac:dyDescent="0.25">
      <c r="F59"/>
      <c r="G59"/>
      <c r="H59"/>
      <c r="I59"/>
      <c r="J59"/>
      <c r="K59"/>
    </row>
    <row r="60" spans="1:27" x14ac:dyDescent="0.25">
      <c r="F60"/>
      <c r="G60"/>
      <c r="H60"/>
      <c r="I60"/>
      <c r="J60"/>
      <c r="K60"/>
    </row>
    <row r="61" spans="1:27" x14ac:dyDescent="0.25">
      <c r="G61" s="35"/>
      <c r="H61" s="35"/>
      <c r="I61" s="35"/>
      <c r="J61"/>
      <c r="K61"/>
    </row>
  </sheetData>
  <sortState ref="A3:AF446">
    <sortCondition ref="F60:F67"/>
  </sortState>
  <mergeCells count="24">
    <mergeCell ref="N4:N7"/>
    <mergeCell ref="K4:K7"/>
    <mergeCell ref="K8:K11"/>
    <mergeCell ref="N8:N11"/>
    <mergeCell ref="K12:K15"/>
    <mergeCell ref="N12:N15"/>
    <mergeCell ref="K16:K19"/>
    <mergeCell ref="N16:N19"/>
    <mergeCell ref="K20:K23"/>
    <mergeCell ref="N20:N23"/>
    <mergeCell ref="K24:K27"/>
    <mergeCell ref="N24:N27"/>
    <mergeCell ref="K28:K31"/>
    <mergeCell ref="N28:N31"/>
    <mergeCell ref="K32:K35"/>
    <mergeCell ref="N32:N35"/>
    <mergeCell ref="K36:K39"/>
    <mergeCell ref="N36:N39"/>
    <mergeCell ref="K40:K43"/>
    <mergeCell ref="N40:N43"/>
    <mergeCell ref="K44:K47"/>
    <mergeCell ref="N44:N47"/>
    <mergeCell ref="K48:K51"/>
    <mergeCell ref="N48:N51"/>
  </mergeCells>
  <conditionalFormatting sqref="G4">
    <cfRule type="duplicateValues" dxfId="1519" priority="3591"/>
  </conditionalFormatting>
  <conditionalFormatting sqref="H6:H7 L4:L5">
    <cfRule type="duplicateValues" dxfId="1518" priority="3583"/>
  </conditionalFormatting>
  <conditionalFormatting sqref="I6:I7 M4:M5">
    <cfRule type="duplicateValues" dxfId="1517" priority="3571"/>
  </conditionalFormatting>
  <conditionalFormatting sqref="O4:O5">
    <cfRule type="duplicateValues" dxfId="1516" priority="3570"/>
  </conditionalFormatting>
  <conditionalFormatting sqref="O5">
    <cfRule type="duplicateValues" dxfId="1515" priority="3569"/>
  </conditionalFormatting>
  <conditionalFormatting sqref="G4:G7">
    <cfRule type="duplicateValues" dxfId="1514" priority="3567"/>
  </conditionalFormatting>
  <conditionalFormatting sqref="M6">
    <cfRule type="duplicateValues" dxfId="1513" priority="3553"/>
  </conditionalFormatting>
  <conditionalFormatting sqref="H6:H7 L4:L5">
    <cfRule type="duplicateValues" dxfId="1512" priority="3504"/>
    <cfRule type="duplicateValues" dxfId="1511" priority="3505"/>
    <cfRule type="duplicateValues" dxfId="1510" priority="3508"/>
    <cfRule type="duplicateValues" dxfId="1509" priority="3511"/>
    <cfRule type="duplicateValues" dxfId="1508" priority="3515"/>
  </conditionalFormatting>
  <conditionalFormatting sqref="AD6:AD7">
    <cfRule type="duplicateValues" dxfId="1507" priority="3502"/>
  </conditionalFormatting>
  <conditionalFormatting sqref="O6:O7">
    <cfRule type="duplicateValues" dxfId="1506" priority="3501"/>
  </conditionalFormatting>
  <conditionalFormatting sqref="AD6:AD7">
    <cfRule type="duplicateValues" dxfId="1505" priority="3470"/>
    <cfRule type="duplicateValues" dxfId="1504" priority="3473"/>
  </conditionalFormatting>
  <conditionalFormatting sqref="P5">
    <cfRule type="duplicateValues" dxfId="1503" priority="3471"/>
  </conditionalFormatting>
  <conditionalFormatting sqref="R6:R7">
    <cfRule type="duplicateValues" dxfId="1502" priority="3393"/>
  </conditionalFormatting>
  <conditionalFormatting sqref="Q6:Q7">
    <cfRule type="duplicateValues" dxfId="1501" priority="3305"/>
  </conditionalFormatting>
  <conditionalFormatting sqref="L6:L7">
    <cfRule type="duplicateValues" dxfId="1500" priority="3251"/>
    <cfRule type="duplicateValues" dxfId="1499" priority="3252"/>
  </conditionalFormatting>
  <conditionalFormatting sqref="G8">
    <cfRule type="duplicateValues" dxfId="1498" priority="3250"/>
  </conditionalFormatting>
  <conditionalFormatting sqref="H8:H11">
    <cfRule type="duplicateValues" dxfId="1497" priority="3248"/>
  </conditionalFormatting>
  <conditionalFormatting sqref="I8:I11">
    <cfRule type="duplicateValues" dxfId="1496" priority="3247"/>
  </conditionalFormatting>
  <conditionalFormatting sqref="O8:O9">
    <cfRule type="duplicateValues" dxfId="1495" priority="3246"/>
  </conditionalFormatting>
  <conditionalFormatting sqref="O9">
    <cfRule type="duplicateValues" dxfId="1494" priority="3245"/>
  </conditionalFormatting>
  <conditionalFormatting sqref="G8:G11">
    <cfRule type="duplicateValues" dxfId="1493" priority="3244"/>
  </conditionalFormatting>
  <conditionalFormatting sqref="M10">
    <cfRule type="duplicateValues" dxfId="1492" priority="3243"/>
  </conditionalFormatting>
  <conditionalFormatting sqref="H8:H11">
    <cfRule type="duplicateValues" dxfId="1491" priority="3238"/>
    <cfRule type="duplicateValues" dxfId="1490" priority="3239"/>
    <cfRule type="duplicateValues" dxfId="1489" priority="3240"/>
    <cfRule type="duplicateValues" dxfId="1488" priority="3241"/>
    <cfRule type="duplicateValues" dxfId="1487" priority="3242"/>
  </conditionalFormatting>
  <conditionalFormatting sqref="O10:O11">
    <cfRule type="duplicateValues" dxfId="1486" priority="3237"/>
  </conditionalFormatting>
  <conditionalFormatting sqref="Q10:Q11">
    <cfRule type="duplicateValues" dxfId="1485" priority="3235"/>
  </conditionalFormatting>
  <conditionalFormatting sqref="P9">
    <cfRule type="duplicateValues" dxfId="1484" priority="3231"/>
  </conditionalFormatting>
  <conditionalFormatting sqref="L8">
    <cfRule type="duplicateValues" dxfId="1483" priority="3229"/>
    <cfRule type="duplicateValues" dxfId="1482" priority="3230"/>
  </conditionalFormatting>
  <conditionalFormatting sqref="S10:S11">
    <cfRule type="duplicateValues" dxfId="1481" priority="3225"/>
  </conditionalFormatting>
  <conditionalFormatting sqref="L8:L11">
    <cfRule type="duplicateValues" dxfId="1480" priority="3221"/>
    <cfRule type="duplicateValues" dxfId="1479" priority="3222"/>
  </conditionalFormatting>
  <conditionalFormatting sqref="Q6:Q7 S10:S11">
    <cfRule type="duplicateValues" dxfId="1478" priority="3087"/>
  </conditionalFormatting>
  <conditionalFormatting sqref="Q6:Q7 U5 S10:S11">
    <cfRule type="duplicateValues" dxfId="1477" priority="2939"/>
  </conditionalFormatting>
  <conditionalFormatting sqref="G4:G11">
    <cfRule type="duplicateValues" dxfId="1476" priority="2936"/>
  </conditionalFormatting>
  <conditionalFormatting sqref="L4:L11">
    <cfRule type="duplicateValues" dxfId="1475" priority="2935"/>
  </conditionalFormatting>
  <conditionalFormatting sqref="A6:A7">
    <cfRule type="duplicateValues" dxfId="1474" priority="3809"/>
    <cfRule type="duplicateValues" dxfId="1473" priority="3810"/>
  </conditionalFormatting>
  <conditionalFormatting sqref="A10:A11">
    <cfRule type="duplicateValues" dxfId="1472" priority="3811"/>
    <cfRule type="duplicateValues" dxfId="1471" priority="3812"/>
  </conditionalFormatting>
  <conditionalFormatting sqref="AC6:AC7 S10:S11">
    <cfRule type="duplicateValues" dxfId="1470" priority="2630"/>
  </conditionalFormatting>
  <conditionalFormatting sqref="I4:I11">
    <cfRule type="duplicateValues" dxfId="1469" priority="2627"/>
  </conditionalFormatting>
  <conditionalFormatting sqref="S6:S7">
    <cfRule type="duplicateValues" dxfId="1468" priority="2359"/>
  </conditionalFormatting>
  <conditionalFormatting sqref="A4:A11">
    <cfRule type="duplicateValues" dxfId="1467" priority="3933"/>
  </conditionalFormatting>
  <conditionalFormatting sqref="L4:L11">
    <cfRule type="duplicateValues" dxfId="1466" priority="1927"/>
    <cfRule type="duplicateValues" dxfId="1465" priority="1929"/>
    <cfRule type="duplicateValues" dxfId="1464" priority="1980"/>
  </conditionalFormatting>
  <conditionalFormatting sqref="S6:S7 S10:S11">
    <cfRule type="duplicateValues" dxfId="1463" priority="1978"/>
  </conditionalFormatting>
  <conditionalFormatting sqref="H4:H11">
    <cfRule type="duplicateValues" dxfId="1462" priority="1977"/>
  </conditionalFormatting>
  <conditionalFormatting sqref="S8:S9 Q10:Q11 Q6:Q7">
    <cfRule type="duplicateValues" dxfId="1461" priority="1928"/>
  </conditionalFormatting>
  <conditionalFormatting sqref="V4:V5">
    <cfRule type="duplicateValues" dxfId="1460" priority="1747"/>
  </conditionalFormatting>
  <conditionalFormatting sqref="T10:T11">
    <cfRule type="duplicateValues" dxfId="1459" priority="1744"/>
  </conditionalFormatting>
  <conditionalFormatting sqref="U8:U9">
    <cfRule type="duplicateValues" dxfId="1458" priority="1743"/>
  </conditionalFormatting>
  <conditionalFormatting sqref="T6:T7">
    <cfRule type="duplicateValues" dxfId="1457" priority="1740"/>
  </conditionalFormatting>
  <conditionalFormatting sqref="T6:T7">
    <cfRule type="duplicateValues" dxfId="1456" priority="1738"/>
    <cfRule type="duplicateValues" dxfId="1455" priority="1739"/>
  </conditionalFormatting>
  <conditionalFormatting sqref="V8:V9 T10:T11 T6:T7">
    <cfRule type="duplicateValues" dxfId="1454" priority="1736"/>
  </conditionalFormatting>
  <conditionalFormatting sqref="G12">
    <cfRule type="duplicateValues" dxfId="1453" priority="1714"/>
  </conditionalFormatting>
  <conditionalFormatting sqref="H14:H15 L12:L13">
    <cfRule type="duplicateValues" dxfId="1452" priority="1713"/>
  </conditionalFormatting>
  <conditionalFormatting sqref="I14:I15 M12:M13">
    <cfRule type="duplicateValues" dxfId="1451" priority="1712"/>
  </conditionalFormatting>
  <conditionalFormatting sqref="O12:O13">
    <cfRule type="duplicateValues" dxfId="1450" priority="1711"/>
  </conditionalFormatting>
  <conditionalFormatting sqref="O13">
    <cfRule type="duplicateValues" dxfId="1449" priority="1710"/>
  </conditionalFormatting>
  <conditionalFormatting sqref="G12:G15">
    <cfRule type="duplicateValues" dxfId="1448" priority="1709"/>
  </conditionalFormatting>
  <conditionalFormatting sqref="M14">
    <cfRule type="duplicateValues" dxfId="1447" priority="1708"/>
  </conditionalFormatting>
  <conditionalFormatting sqref="H14:H15 L12:L13">
    <cfRule type="duplicateValues" dxfId="1446" priority="1703"/>
    <cfRule type="duplicateValues" dxfId="1445" priority="1704"/>
    <cfRule type="duplicateValues" dxfId="1444" priority="1705"/>
    <cfRule type="duplicateValues" dxfId="1443" priority="1706"/>
    <cfRule type="duplicateValues" dxfId="1442" priority="1707"/>
  </conditionalFormatting>
  <conditionalFormatting sqref="O14:O15">
    <cfRule type="duplicateValues" dxfId="1441" priority="1702"/>
  </conditionalFormatting>
  <conditionalFormatting sqref="P13">
    <cfRule type="duplicateValues" dxfId="1440" priority="1701"/>
  </conditionalFormatting>
  <conditionalFormatting sqref="R14:R15">
    <cfRule type="duplicateValues" dxfId="1439" priority="1700"/>
  </conditionalFormatting>
  <conditionalFormatting sqref="Q14:Q15">
    <cfRule type="duplicateValues" dxfId="1438" priority="1699"/>
  </conditionalFormatting>
  <conditionalFormatting sqref="L14:L15">
    <cfRule type="duplicateValues" dxfId="1437" priority="1697"/>
    <cfRule type="duplicateValues" dxfId="1436" priority="1698"/>
  </conditionalFormatting>
  <conditionalFormatting sqref="G16">
    <cfRule type="duplicateValues" dxfId="1435" priority="1696"/>
  </conditionalFormatting>
  <conditionalFormatting sqref="H16:H19">
    <cfRule type="duplicateValues" dxfId="1434" priority="1695"/>
  </conditionalFormatting>
  <conditionalFormatting sqref="I16:I19">
    <cfRule type="duplicateValues" dxfId="1433" priority="1694"/>
  </conditionalFormatting>
  <conditionalFormatting sqref="O16:O17">
    <cfRule type="duplicateValues" dxfId="1432" priority="1693"/>
  </conditionalFormatting>
  <conditionalFormatting sqref="O17">
    <cfRule type="duplicateValues" dxfId="1431" priority="1692"/>
  </conditionalFormatting>
  <conditionalFormatting sqref="G16:G19">
    <cfRule type="duplicateValues" dxfId="1430" priority="1691"/>
  </conditionalFormatting>
  <conditionalFormatting sqref="M18">
    <cfRule type="duplicateValues" dxfId="1429" priority="1690"/>
  </conditionalFormatting>
  <conditionalFormatting sqref="H16:H19">
    <cfRule type="duplicateValues" dxfId="1428" priority="1685"/>
    <cfRule type="duplicateValues" dxfId="1427" priority="1686"/>
    <cfRule type="duplicateValues" dxfId="1426" priority="1687"/>
    <cfRule type="duplicateValues" dxfId="1425" priority="1688"/>
    <cfRule type="duplicateValues" dxfId="1424" priority="1689"/>
  </conditionalFormatting>
  <conditionalFormatting sqref="O18:O19">
    <cfRule type="duplicateValues" dxfId="1423" priority="1684"/>
  </conditionalFormatting>
  <conditionalFormatting sqref="Q18:Q19">
    <cfRule type="duplicateValues" dxfId="1422" priority="1683"/>
  </conditionalFormatting>
  <conditionalFormatting sqref="P17">
    <cfRule type="duplicateValues" dxfId="1421" priority="1682"/>
  </conditionalFormatting>
  <conditionalFormatting sqref="L16">
    <cfRule type="duplicateValues" dxfId="1420" priority="1680"/>
    <cfRule type="duplicateValues" dxfId="1419" priority="1681"/>
  </conditionalFormatting>
  <conditionalFormatting sqref="S18:S19">
    <cfRule type="duplicateValues" dxfId="1418" priority="1679"/>
  </conditionalFormatting>
  <conditionalFormatting sqref="L16:L19">
    <cfRule type="duplicateValues" dxfId="1417" priority="1677"/>
    <cfRule type="duplicateValues" dxfId="1416" priority="1678"/>
  </conditionalFormatting>
  <conditionalFormatting sqref="Q14:Q15 S18:S19">
    <cfRule type="duplicateValues" dxfId="1415" priority="1676"/>
  </conditionalFormatting>
  <conditionalFormatting sqref="Q14:Q15 U13 S18:S19">
    <cfRule type="duplicateValues" dxfId="1414" priority="1675"/>
  </conditionalFormatting>
  <conditionalFormatting sqref="G12:G19">
    <cfRule type="duplicateValues" dxfId="1413" priority="1674"/>
  </conditionalFormatting>
  <conditionalFormatting sqref="L12:L19">
    <cfRule type="duplicateValues" dxfId="1412" priority="1673"/>
  </conditionalFormatting>
  <conditionalFormatting sqref="A14:A15">
    <cfRule type="duplicateValues" dxfId="1411" priority="1671"/>
    <cfRule type="duplicateValues" dxfId="1410" priority="1672"/>
  </conditionalFormatting>
  <conditionalFormatting sqref="A18:A19">
    <cfRule type="duplicateValues" dxfId="1409" priority="1669"/>
    <cfRule type="duplicateValues" dxfId="1408" priority="1670"/>
  </conditionalFormatting>
  <conditionalFormatting sqref="I12:I19">
    <cfRule type="duplicateValues" dxfId="1407" priority="1667"/>
  </conditionalFormatting>
  <conditionalFormatting sqref="S14:S15">
    <cfRule type="duplicateValues" dxfId="1406" priority="1666"/>
  </conditionalFormatting>
  <conditionalFormatting sqref="A12:A19">
    <cfRule type="duplicateValues" dxfId="1405" priority="1665"/>
  </conditionalFormatting>
  <conditionalFormatting sqref="L12:L19">
    <cfRule type="duplicateValues" dxfId="1404" priority="1662"/>
    <cfRule type="duplicateValues" dxfId="1403" priority="1663"/>
    <cfRule type="duplicateValues" dxfId="1402" priority="1664"/>
  </conditionalFormatting>
  <conditionalFormatting sqref="S14:S15 S18:S19">
    <cfRule type="duplicateValues" dxfId="1401" priority="1661"/>
  </conditionalFormatting>
  <conditionalFormatting sqref="H12:H19">
    <cfRule type="duplicateValues" dxfId="1400" priority="1660"/>
  </conditionalFormatting>
  <conditionalFormatting sqref="S16:S17 Q18:Q19 Q14:Q15">
    <cfRule type="duplicateValues" dxfId="1399" priority="1659"/>
  </conditionalFormatting>
  <conditionalFormatting sqref="V12:V13">
    <cfRule type="duplicateValues" dxfId="1398" priority="1658"/>
  </conditionalFormatting>
  <conditionalFormatting sqref="T18:T19">
    <cfRule type="duplicateValues" dxfId="1397" priority="1656"/>
  </conditionalFormatting>
  <conditionalFormatting sqref="U16:U17">
    <cfRule type="duplicateValues" dxfId="1396" priority="1655"/>
  </conditionalFormatting>
  <conditionalFormatting sqref="T14:T15">
    <cfRule type="duplicateValues" dxfId="1395" priority="1654"/>
  </conditionalFormatting>
  <conditionalFormatting sqref="T14:T15">
    <cfRule type="duplicateValues" dxfId="1394" priority="1652"/>
    <cfRule type="duplicateValues" dxfId="1393" priority="1653"/>
  </conditionalFormatting>
  <conditionalFormatting sqref="V16:V17 T18:T19 T14:T15">
    <cfRule type="duplicateValues" dxfId="1392" priority="1651"/>
  </conditionalFormatting>
  <conditionalFormatting sqref="G20">
    <cfRule type="duplicateValues" dxfId="1391" priority="1650"/>
  </conditionalFormatting>
  <conditionalFormatting sqref="H22:H23 L20:L21">
    <cfRule type="duplicateValues" dxfId="1390" priority="1649"/>
  </conditionalFormatting>
  <conditionalFormatting sqref="I22:I23 M20:M21">
    <cfRule type="duplicateValues" dxfId="1389" priority="1648"/>
  </conditionalFormatting>
  <conditionalFormatting sqref="O20:O21">
    <cfRule type="duplicateValues" dxfId="1388" priority="1647"/>
  </conditionalFormatting>
  <conditionalFormatting sqref="O21">
    <cfRule type="duplicateValues" dxfId="1387" priority="1646"/>
  </conditionalFormatting>
  <conditionalFormatting sqref="G20:G23">
    <cfRule type="duplicateValues" dxfId="1386" priority="1645"/>
  </conditionalFormatting>
  <conditionalFormatting sqref="M22">
    <cfRule type="duplicateValues" dxfId="1385" priority="1644"/>
  </conditionalFormatting>
  <conditionalFormatting sqref="H22:H23 L20:L21">
    <cfRule type="duplicateValues" dxfId="1384" priority="1639"/>
    <cfRule type="duplicateValues" dxfId="1383" priority="1640"/>
    <cfRule type="duplicateValues" dxfId="1382" priority="1641"/>
    <cfRule type="duplicateValues" dxfId="1381" priority="1642"/>
    <cfRule type="duplicateValues" dxfId="1380" priority="1643"/>
  </conditionalFormatting>
  <conditionalFormatting sqref="O22:O23">
    <cfRule type="duplicateValues" dxfId="1379" priority="1638"/>
  </conditionalFormatting>
  <conditionalFormatting sqref="P21">
    <cfRule type="duplicateValues" dxfId="1378" priority="1637"/>
  </conditionalFormatting>
  <conditionalFormatting sqref="R22:R23">
    <cfRule type="duplicateValues" dxfId="1377" priority="1636"/>
  </conditionalFormatting>
  <conditionalFormatting sqref="Q22:Q23">
    <cfRule type="duplicateValues" dxfId="1376" priority="1635"/>
  </conditionalFormatting>
  <conditionalFormatting sqref="L22:L23">
    <cfRule type="duplicateValues" dxfId="1375" priority="1633"/>
    <cfRule type="duplicateValues" dxfId="1374" priority="1634"/>
  </conditionalFormatting>
  <conditionalFormatting sqref="G24">
    <cfRule type="duplicateValues" dxfId="1373" priority="1632"/>
  </conditionalFormatting>
  <conditionalFormatting sqref="H24:H27">
    <cfRule type="duplicateValues" dxfId="1372" priority="1631"/>
  </conditionalFormatting>
  <conditionalFormatting sqref="I24:I27">
    <cfRule type="duplicateValues" dxfId="1371" priority="1630"/>
  </conditionalFormatting>
  <conditionalFormatting sqref="O24:O25">
    <cfRule type="duplicateValues" dxfId="1370" priority="1629"/>
  </conditionalFormatting>
  <conditionalFormatting sqref="O25">
    <cfRule type="duplicateValues" dxfId="1369" priority="1628"/>
  </conditionalFormatting>
  <conditionalFormatting sqref="G24:G27">
    <cfRule type="duplicateValues" dxfId="1368" priority="1627"/>
  </conditionalFormatting>
  <conditionalFormatting sqref="M26">
    <cfRule type="duplicateValues" dxfId="1367" priority="1626"/>
  </conditionalFormatting>
  <conditionalFormatting sqref="H24:H27">
    <cfRule type="duplicateValues" dxfId="1366" priority="1621"/>
    <cfRule type="duplicateValues" dxfId="1365" priority="1622"/>
    <cfRule type="duplicateValues" dxfId="1364" priority="1623"/>
    <cfRule type="duplicateValues" dxfId="1363" priority="1624"/>
    <cfRule type="duplicateValues" dxfId="1362" priority="1625"/>
  </conditionalFormatting>
  <conditionalFormatting sqref="O26:O27">
    <cfRule type="duplicateValues" dxfId="1361" priority="1620"/>
  </conditionalFormatting>
  <conditionalFormatting sqref="Q26:Q27">
    <cfRule type="duplicateValues" dxfId="1360" priority="1619"/>
  </conditionalFormatting>
  <conditionalFormatting sqref="P25">
    <cfRule type="duplicateValues" dxfId="1359" priority="1618"/>
  </conditionalFormatting>
  <conditionalFormatting sqref="L24">
    <cfRule type="duplicateValues" dxfId="1358" priority="1616"/>
    <cfRule type="duplicateValues" dxfId="1357" priority="1617"/>
  </conditionalFormatting>
  <conditionalFormatting sqref="S26:S27">
    <cfRule type="duplicateValues" dxfId="1356" priority="1615"/>
  </conditionalFormatting>
  <conditionalFormatting sqref="L24:L25 L27">
    <cfRule type="duplicateValues" dxfId="1355" priority="1613"/>
    <cfRule type="duplicateValues" dxfId="1354" priority="1614"/>
  </conditionalFormatting>
  <conditionalFormatting sqref="Q22:Q23 S26:S27">
    <cfRule type="duplicateValues" dxfId="1353" priority="1612"/>
  </conditionalFormatting>
  <conditionalFormatting sqref="Q22:Q23 U21 S26:S27">
    <cfRule type="duplicateValues" dxfId="1352" priority="1611"/>
  </conditionalFormatting>
  <conditionalFormatting sqref="G20:G27">
    <cfRule type="duplicateValues" dxfId="1351" priority="1610"/>
  </conditionalFormatting>
  <conditionalFormatting sqref="L20:L25 L27">
    <cfRule type="duplicateValues" dxfId="1350" priority="1609"/>
  </conditionalFormatting>
  <conditionalFormatting sqref="A22:A23">
    <cfRule type="duplicateValues" dxfId="1349" priority="1607"/>
    <cfRule type="duplicateValues" dxfId="1348" priority="1608"/>
  </conditionalFormatting>
  <conditionalFormatting sqref="A26:A27">
    <cfRule type="duplicateValues" dxfId="1347" priority="1605"/>
    <cfRule type="duplicateValues" dxfId="1346" priority="1606"/>
  </conditionalFormatting>
  <conditionalFormatting sqref="I20:I27">
    <cfRule type="duplicateValues" dxfId="1345" priority="1603"/>
  </conditionalFormatting>
  <conditionalFormatting sqref="S22:S23">
    <cfRule type="duplicateValues" dxfId="1344" priority="1602"/>
  </conditionalFormatting>
  <conditionalFormatting sqref="A20:A27">
    <cfRule type="duplicateValues" dxfId="1343" priority="1601"/>
  </conditionalFormatting>
  <conditionalFormatting sqref="L20:L25 L27">
    <cfRule type="duplicateValues" dxfId="1342" priority="1598"/>
    <cfRule type="duplicateValues" dxfId="1341" priority="1599"/>
    <cfRule type="duplicateValues" dxfId="1340" priority="1600"/>
  </conditionalFormatting>
  <conditionalFormatting sqref="S22:S23 S26:S27">
    <cfRule type="duplicateValues" dxfId="1339" priority="1597"/>
  </conditionalFormatting>
  <conditionalFormatting sqref="H20:H27">
    <cfRule type="duplicateValues" dxfId="1338" priority="1596"/>
  </conditionalFormatting>
  <conditionalFormatting sqref="S24:S25 Q26:Q27 Q22:Q23">
    <cfRule type="duplicateValues" dxfId="1337" priority="1595"/>
  </conditionalFormatting>
  <conditionalFormatting sqref="V20:V21">
    <cfRule type="duplicateValues" dxfId="1336" priority="1594"/>
  </conditionalFormatting>
  <conditionalFormatting sqref="T26:T27">
    <cfRule type="duplicateValues" dxfId="1335" priority="1592"/>
  </conditionalFormatting>
  <conditionalFormatting sqref="U24:U25">
    <cfRule type="duplicateValues" dxfId="1334" priority="1591"/>
  </conditionalFormatting>
  <conditionalFormatting sqref="T22:T23">
    <cfRule type="duplicateValues" dxfId="1333" priority="1590"/>
  </conditionalFormatting>
  <conditionalFormatting sqref="T22:T23">
    <cfRule type="duplicateValues" dxfId="1332" priority="1588"/>
    <cfRule type="duplicateValues" dxfId="1331" priority="1589"/>
  </conditionalFormatting>
  <conditionalFormatting sqref="V24:V25 T26:T27 T22:T23">
    <cfRule type="duplicateValues" dxfId="1330" priority="1587"/>
  </conditionalFormatting>
  <conditionalFormatting sqref="V6:V27">
    <cfRule type="duplicateValues" dxfId="1329" priority="1580"/>
    <cfRule type="duplicateValues" dxfId="1328" priority="1586"/>
  </conditionalFormatting>
  <conditionalFormatting sqref="L4:L25 L27">
    <cfRule type="duplicateValues" dxfId="1327" priority="1582"/>
    <cfRule type="duplicateValues" dxfId="1326" priority="1583"/>
    <cfRule type="duplicateValues" dxfId="1325" priority="1584"/>
  </conditionalFormatting>
  <conditionalFormatting sqref="I4:I27">
    <cfRule type="duplicateValues" dxfId="1324" priority="1581"/>
  </conditionalFormatting>
  <conditionalFormatting sqref="Y4:Y23 Y25">
    <cfRule type="duplicateValues" dxfId="1323" priority="1579"/>
  </conditionalFormatting>
  <conditionalFormatting sqref="L26">
    <cfRule type="duplicateValues" dxfId="1322" priority="1454"/>
    <cfRule type="duplicateValues" dxfId="1321" priority="1455"/>
  </conditionalFormatting>
  <conditionalFormatting sqref="L26">
    <cfRule type="duplicateValues" dxfId="1320" priority="4204"/>
    <cfRule type="duplicateValues" dxfId="1319" priority="4205"/>
  </conditionalFormatting>
  <conditionalFormatting sqref="L26">
    <cfRule type="duplicateValues" dxfId="1318" priority="4211"/>
  </conditionalFormatting>
  <conditionalFormatting sqref="L26">
    <cfRule type="duplicateValues" dxfId="1317" priority="4218"/>
    <cfRule type="duplicateValues" dxfId="1316" priority="4219"/>
    <cfRule type="duplicateValues" dxfId="1315" priority="4220"/>
  </conditionalFormatting>
  <conditionalFormatting sqref="L26">
    <cfRule type="duplicateValues" dxfId="1314" priority="4312"/>
    <cfRule type="duplicateValues" dxfId="1313" priority="4313"/>
    <cfRule type="duplicateValues" dxfId="1312" priority="4314"/>
  </conditionalFormatting>
  <conditionalFormatting sqref="A6:A7">
    <cfRule type="duplicateValues" dxfId="1311" priority="781"/>
    <cfRule type="duplicateValues" dxfId="1310" priority="782"/>
  </conditionalFormatting>
  <conditionalFormatting sqref="A4:A7">
    <cfRule type="duplicateValues" dxfId="1309" priority="780"/>
  </conditionalFormatting>
  <conditionalFormatting sqref="A10:A11">
    <cfRule type="duplicateValues" dxfId="1308" priority="778"/>
    <cfRule type="duplicateValues" dxfId="1307" priority="779"/>
  </conditionalFormatting>
  <conditionalFormatting sqref="A8:A11">
    <cfRule type="duplicateValues" dxfId="1306" priority="777"/>
  </conditionalFormatting>
  <conditionalFormatting sqref="A14:A15">
    <cfRule type="duplicateValues" dxfId="1305" priority="775"/>
    <cfRule type="duplicateValues" dxfId="1304" priority="776"/>
  </conditionalFormatting>
  <conditionalFormatting sqref="A12:A15">
    <cfRule type="duplicateValues" dxfId="1303" priority="774"/>
  </conditionalFormatting>
  <conditionalFormatting sqref="A18:A19">
    <cfRule type="duplicateValues" dxfId="1302" priority="772"/>
    <cfRule type="duplicateValues" dxfId="1301" priority="773"/>
  </conditionalFormatting>
  <conditionalFormatting sqref="A16:A19">
    <cfRule type="duplicateValues" dxfId="1300" priority="771"/>
  </conditionalFormatting>
  <conditionalFormatting sqref="A22:A23">
    <cfRule type="duplicateValues" dxfId="1299" priority="769"/>
    <cfRule type="duplicateValues" dxfId="1298" priority="770"/>
  </conditionalFormatting>
  <conditionalFormatting sqref="A20:A23">
    <cfRule type="duplicateValues" dxfId="1297" priority="768"/>
  </conditionalFormatting>
  <conditionalFormatting sqref="A26:A27">
    <cfRule type="duplicateValues" dxfId="1296" priority="766"/>
    <cfRule type="duplicateValues" dxfId="1295" priority="767"/>
  </conditionalFormatting>
  <conditionalFormatting sqref="A24:A27">
    <cfRule type="duplicateValues" dxfId="1294" priority="765"/>
  </conditionalFormatting>
  <conditionalFormatting sqref="L4:L5">
    <cfRule type="duplicateValues" dxfId="1293" priority="764"/>
  </conditionalFormatting>
  <conditionalFormatting sqref="M4:M5">
    <cfRule type="duplicateValues" dxfId="1292" priority="763"/>
  </conditionalFormatting>
  <conditionalFormatting sqref="M6">
    <cfRule type="duplicateValues" dxfId="1291" priority="762"/>
  </conditionalFormatting>
  <conditionalFormatting sqref="L4:L5">
    <cfRule type="duplicateValues" dxfId="1290" priority="757"/>
    <cfRule type="duplicateValues" dxfId="1289" priority="758"/>
    <cfRule type="duplicateValues" dxfId="1288" priority="759"/>
    <cfRule type="duplicateValues" dxfId="1287" priority="760"/>
    <cfRule type="duplicateValues" dxfId="1286" priority="761"/>
  </conditionalFormatting>
  <conditionalFormatting sqref="L6:L7">
    <cfRule type="duplicateValues" dxfId="1285" priority="755"/>
    <cfRule type="duplicateValues" dxfId="1284" priority="756"/>
  </conditionalFormatting>
  <conditionalFormatting sqref="L4:L7">
    <cfRule type="duplicateValues" dxfId="1283" priority="754"/>
  </conditionalFormatting>
  <conditionalFormatting sqref="L4:L7">
    <cfRule type="duplicateValues" dxfId="1282" priority="751"/>
    <cfRule type="duplicateValues" dxfId="1281" priority="752"/>
    <cfRule type="duplicateValues" dxfId="1280" priority="753"/>
  </conditionalFormatting>
  <conditionalFormatting sqref="L4:L7">
    <cfRule type="duplicateValues" dxfId="1279" priority="748"/>
    <cfRule type="duplicateValues" dxfId="1278" priority="749"/>
    <cfRule type="duplicateValues" dxfId="1277" priority="750"/>
  </conditionalFormatting>
  <conditionalFormatting sqref="L8:L9">
    <cfRule type="duplicateValues" dxfId="1276" priority="747"/>
  </conditionalFormatting>
  <conditionalFormatting sqref="M8:M9">
    <cfRule type="duplicateValues" dxfId="1275" priority="746"/>
  </conditionalFormatting>
  <conditionalFormatting sqref="M10">
    <cfRule type="duplicateValues" dxfId="1274" priority="745"/>
  </conditionalFormatting>
  <conditionalFormatting sqref="L8:L9">
    <cfRule type="duplicateValues" dxfId="1273" priority="740"/>
    <cfRule type="duplicateValues" dxfId="1272" priority="741"/>
    <cfRule type="duplicateValues" dxfId="1271" priority="742"/>
    <cfRule type="duplicateValues" dxfId="1270" priority="743"/>
    <cfRule type="duplicateValues" dxfId="1269" priority="744"/>
  </conditionalFormatting>
  <conditionalFormatting sqref="L10:L11">
    <cfRule type="duplicateValues" dxfId="1268" priority="738"/>
    <cfRule type="duplicateValues" dxfId="1267" priority="739"/>
  </conditionalFormatting>
  <conditionalFormatting sqref="L8:L11">
    <cfRule type="duplicateValues" dxfId="1266" priority="737"/>
  </conditionalFormatting>
  <conditionalFormatting sqref="L8:L11">
    <cfRule type="duplicateValues" dxfId="1265" priority="734"/>
    <cfRule type="duplicateValues" dxfId="1264" priority="735"/>
    <cfRule type="duplicateValues" dxfId="1263" priority="736"/>
  </conditionalFormatting>
  <conditionalFormatting sqref="L8:L11">
    <cfRule type="duplicateValues" dxfId="1262" priority="731"/>
    <cfRule type="duplicateValues" dxfId="1261" priority="732"/>
    <cfRule type="duplicateValues" dxfId="1260" priority="733"/>
  </conditionalFormatting>
  <conditionalFormatting sqref="L12:L13">
    <cfRule type="duplicateValues" dxfId="1259" priority="730"/>
  </conditionalFormatting>
  <conditionalFormatting sqref="M12:M13">
    <cfRule type="duplicateValues" dxfId="1258" priority="729"/>
  </conditionalFormatting>
  <conditionalFormatting sqref="M14">
    <cfRule type="duplicateValues" dxfId="1257" priority="728"/>
  </conditionalFormatting>
  <conditionalFormatting sqref="L12:L13">
    <cfRule type="duplicateValues" dxfId="1256" priority="723"/>
    <cfRule type="duplicateValues" dxfId="1255" priority="724"/>
    <cfRule type="duplicateValues" dxfId="1254" priority="725"/>
    <cfRule type="duplicateValues" dxfId="1253" priority="726"/>
    <cfRule type="duplicateValues" dxfId="1252" priority="727"/>
  </conditionalFormatting>
  <conditionalFormatting sqref="L14:L15">
    <cfRule type="duplicateValues" dxfId="1251" priority="721"/>
    <cfRule type="duplicateValues" dxfId="1250" priority="722"/>
  </conditionalFormatting>
  <conditionalFormatting sqref="L12:L15">
    <cfRule type="duplicateValues" dxfId="1249" priority="720"/>
  </conditionalFormatting>
  <conditionalFormatting sqref="L12:L15">
    <cfRule type="duplicateValues" dxfId="1248" priority="717"/>
    <cfRule type="duplicateValues" dxfId="1247" priority="718"/>
    <cfRule type="duplicateValues" dxfId="1246" priority="719"/>
  </conditionalFormatting>
  <conditionalFormatting sqref="L12:L15">
    <cfRule type="duplicateValues" dxfId="1245" priority="714"/>
    <cfRule type="duplicateValues" dxfId="1244" priority="715"/>
    <cfRule type="duplicateValues" dxfId="1243" priority="716"/>
  </conditionalFormatting>
  <conditionalFormatting sqref="L16:L17">
    <cfRule type="duplicateValues" dxfId="1242" priority="713"/>
  </conditionalFormatting>
  <conditionalFormatting sqref="M16:M17">
    <cfRule type="duplicateValues" dxfId="1241" priority="712"/>
  </conditionalFormatting>
  <conditionalFormatting sqref="M18">
    <cfRule type="duplicateValues" dxfId="1240" priority="711"/>
  </conditionalFormatting>
  <conditionalFormatting sqref="L16:L17">
    <cfRule type="duplicateValues" dxfId="1239" priority="706"/>
    <cfRule type="duplicateValues" dxfId="1238" priority="707"/>
    <cfRule type="duplicateValues" dxfId="1237" priority="708"/>
    <cfRule type="duplicateValues" dxfId="1236" priority="709"/>
    <cfRule type="duplicateValues" dxfId="1235" priority="710"/>
  </conditionalFormatting>
  <conditionalFormatting sqref="L18:L19">
    <cfRule type="duplicateValues" dxfId="1234" priority="704"/>
    <cfRule type="duplicateValues" dxfId="1233" priority="705"/>
  </conditionalFormatting>
  <conditionalFormatting sqref="L16:L19">
    <cfRule type="duplicateValues" dxfId="1232" priority="703"/>
  </conditionalFormatting>
  <conditionalFormatting sqref="L16:L19">
    <cfRule type="duplicateValues" dxfId="1231" priority="700"/>
    <cfRule type="duplicateValues" dxfId="1230" priority="701"/>
    <cfRule type="duplicateValues" dxfId="1229" priority="702"/>
  </conditionalFormatting>
  <conditionalFormatting sqref="L16:L19">
    <cfRule type="duplicateValues" dxfId="1228" priority="697"/>
    <cfRule type="duplicateValues" dxfId="1227" priority="698"/>
    <cfRule type="duplicateValues" dxfId="1226" priority="699"/>
  </conditionalFormatting>
  <conditionalFormatting sqref="L20:L21">
    <cfRule type="duplicateValues" dxfId="1225" priority="696"/>
  </conditionalFormatting>
  <conditionalFormatting sqref="M20:M21">
    <cfRule type="duplicateValues" dxfId="1224" priority="695"/>
  </conditionalFormatting>
  <conditionalFormatting sqref="M22">
    <cfRule type="duplicateValues" dxfId="1223" priority="694"/>
  </conditionalFormatting>
  <conditionalFormatting sqref="L20:L21">
    <cfRule type="duplicateValues" dxfId="1222" priority="689"/>
    <cfRule type="duplicateValues" dxfId="1221" priority="690"/>
    <cfRule type="duplicateValues" dxfId="1220" priority="691"/>
    <cfRule type="duplicateValues" dxfId="1219" priority="692"/>
    <cfRule type="duplicateValues" dxfId="1218" priority="693"/>
  </conditionalFormatting>
  <conditionalFormatting sqref="L22:L23">
    <cfRule type="duplicateValues" dxfId="1217" priority="687"/>
    <cfRule type="duplicateValues" dxfId="1216" priority="688"/>
  </conditionalFormatting>
  <conditionalFormatting sqref="L20:L23">
    <cfRule type="duplicateValues" dxfId="1215" priority="686"/>
  </conditionalFormatting>
  <conditionalFormatting sqref="L20:L23">
    <cfRule type="duplicateValues" dxfId="1214" priority="683"/>
    <cfRule type="duplicateValues" dxfId="1213" priority="684"/>
    <cfRule type="duplicateValues" dxfId="1212" priority="685"/>
  </conditionalFormatting>
  <conditionalFormatting sqref="L20:L23">
    <cfRule type="duplicateValues" dxfId="1211" priority="680"/>
    <cfRule type="duplicateValues" dxfId="1210" priority="681"/>
    <cfRule type="duplicateValues" dxfId="1209" priority="682"/>
  </conditionalFormatting>
  <conditionalFormatting sqref="L24:L25">
    <cfRule type="duplicateValues" dxfId="1208" priority="679"/>
  </conditionalFormatting>
  <conditionalFormatting sqref="M24:M25">
    <cfRule type="duplicateValues" dxfId="1207" priority="678"/>
  </conditionalFormatting>
  <conditionalFormatting sqref="M26">
    <cfRule type="duplicateValues" dxfId="1206" priority="677"/>
  </conditionalFormatting>
  <conditionalFormatting sqref="L24:L25">
    <cfRule type="duplicateValues" dxfId="1205" priority="672"/>
    <cfRule type="duplicateValues" dxfId="1204" priority="673"/>
    <cfRule type="duplicateValues" dxfId="1203" priority="674"/>
    <cfRule type="duplicateValues" dxfId="1202" priority="675"/>
    <cfRule type="duplicateValues" dxfId="1201" priority="676"/>
  </conditionalFormatting>
  <conditionalFormatting sqref="L26:L27">
    <cfRule type="duplicateValues" dxfId="1200" priority="670"/>
    <cfRule type="duplicateValues" dxfId="1199" priority="671"/>
  </conditionalFormatting>
  <conditionalFormatting sqref="L24:L27">
    <cfRule type="duplicateValues" dxfId="1198" priority="669"/>
  </conditionalFormatting>
  <conditionalFormatting sqref="L24:L27">
    <cfRule type="duplicateValues" dxfId="1197" priority="666"/>
    <cfRule type="duplicateValues" dxfId="1196" priority="667"/>
    <cfRule type="duplicateValues" dxfId="1195" priority="668"/>
  </conditionalFormatting>
  <conditionalFormatting sqref="L24:L27">
    <cfRule type="duplicateValues" dxfId="1194" priority="663"/>
    <cfRule type="duplicateValues" dxfId="1193" priority="664"/>
    <cfRule type="duplicateValues" dxfId="1192" priority="665"/>
  </conditionalFormatting>
  <conditionalFormatting sqref="O4:O5">
    <cfRule type="duplicateValues" dxfId="1191" priority="662"/>
  </conditionalFormatting>
  <conditionalFormatting sqref="O5">
    <cfRule type="duplicateValues" dxfId="1190" priority="661"/>
  </conditionalFormatting>
  <conditionalFormatting sqref="O6:O7">
    <cfRule type="duplicateValues" dxfId="1189" priority="660"/>
  </conditionalFormatting>
  <conditionalFormatting sqref="P5">
    <cfRule type="duplicateValues" dxfId="1188" priority="659"/>
  </conditionalFormatting>
  <conditionalFormatting sqref="R6:R7">
    <cfRule type="duplicateValues" dxfId="1187" priority="658"/>
  </conditionalFormatting>
  <conditionalFormatting sqref="Q6:Q7">
    <cfRule type="duplicateValues" dxfId="1186" priority="657"/>
  </conditionalFormatting>
  <conditionalFormatting sqref="Q6:Q7">
    <cfRule type="duplicateValues" dxfId="1185" priority="656"/>
  </conditionalFormatting>
  <conditionalFormatting sqref="Q6:Q7 U5">
    <cfRule type="duplicateValues" dxfId="1184" priority="655"/>
  </conditionalFormatting>
  <conditionalFormatting sqref="S6:S7">
    <cfRule type="duplicateValues" dxfId="1183" priority="654"/>
  </conditionalFormatting>
  <conditionalFormatting sqref="S6:S7">
    <cfRule type="duplicateValues" dxfId="1182" priority="653"/>
  </conditionalFormatting>
  <conditionalFormatting sqref="Q6:Q7">
    <cfRule type="duplicateValues" dxfId="1181" priority="652"/>
  </conditionalFormatting>
  <conditionalFormatting sqref="V4:V5">
    <cfRule type="duplicateValues" dxfId="1180" priority="651"/>
  </conditionalFormatting>
  <conditionalFormatting sqref="T6:T7">
    <cfRule type="duplicateValues" dxfId="1179" priority="650"/>
  </conditionalFormatting>
  <conditionalFormatting sqref="T6:T7">
    <cfRule type="duplicateValues" dxfId="1178" priority="648"/>
    <cfRule type="duplicateValues" dxfId="1177" priority="649"/>
  </conditionalFormatting>
  <conditionalFormatting sqref="T6:T7">
    <cfRule type="duplicateValues" dxfId="1176" priority="647"/>
  </conditionalFormatting>
  <conditionalFormatting sqref="V6:V7">
    <cfRule type="duplicateValues" dxfId="1175" priority="645"/>
    <cfRule type="duplicateValues" dxfId="1174" priority="646"/>
  </conditionalFormatting>
  <conditionalFormatting sqref="Y4:Y7">
    <cfRule type="duplicateValues" dxfId="1173" priority="644"/>
  </conditionalFormatting>
  <conditionalFormatting sqref="U6:U7">
    <cfRule type="duplicateValues" dxfId="1172" priority="643"/>
  </conditionalFormatting>
  <conditionalFormatting sqref="O8:O9">
    <cfRule type="duplicateValues" dxfId="1171" priority="642"/>
  </conditionalFormatting>
  <conditionalFormatting sqref="O9">
    <cfRule type="duplicateValues" dxfId="1170" priority="641"/>
  </conditionalFormatting>
  <conditionalFormatting sqref="O10:O11">
    <cfRule type="duplicateValues" dxfId="1169" priority="640"/>
  </conditionalFormatting>
  <conditionalFormatting sqref="P9">
    <cfRule type="duplicateValues" dxfId="1168" priority="639"/>
  </conditionalFormatting>
  <conditionalFormatting sqref="R10:R11">
    <cfRule type="duplicateValues" dxfId="1167" priority="638"/>
  </conditionalFormatting>
  <conditionalFormatting sqref="Q10:Q11">
    <cfRule type="duplicateValues" dxfId="1166" priority="637"/>
  </conditionalFormatting>
  <conditionalFormatting sqref="Q10:Q11">
    <cfRule type="duplicateValues" dxfId="1165" priority="636"/>
  </conditionalFormatting>
  <conditionalFormatting sqref="Q10:Q11 U9">
    <cfRule type="duplicateValues" dxfId="1164" priority="635"/>
  </conditionalFormatting>
  <conditionalFormatting sqref="S10:S11">
    <cfRule type="duplicateValues" dxfId="1163" priority="634"/>
  </conditionalFormatting>
  <conditionalFormatting sqref="S10:S11">
    <cfRule type="duplicateValues" dxfId="1162" priority="633"/>
  </conditionalFormatting>
  <conditionalFormatting sqref="Q10:Q11">
    <cfRule type="duplicateValues" dxfId="1161" priority="632"/>
  </conditionalFormatting>
  <conditionalFormatting sqref="V8:V9">
    <cfRule type="duplicateValues" dxfId="1160" priority="631"/>
  </conditionalFormatting>
  <conditionalFormatting sqref="T10:T11">
    <cfRule type="duplicateValues" dxfId="1159" priority="630"/>
  </conditionalFormatting>
  <conditionalFormatting sqref="T10:T11">
    <cfRule type="duplicateValues" dxfId="1158" priority="628"/>
    <cfRule type="duplicateValues" dxfId="1157" priority="629"/>
  </conditionalFormatting>
  <conditionalFormatting sqref="T10:T11">
    <cfRule type="duplicateValues" dxfId="1156" priority="627"/>
  </conditionalFormatting>
  <conditionalFormatting sqref="V10:V11">
    <cfRule type="duplicateValues" dxfId="1155" priority="625"/>
    <cfRule type="duplicateValues" dxfId="1154" priority="626"/>
  </conditionalFormatting>
  <conditionalFormatting sqref="Y8:Y11">
    <cfRule type="duplicateValues" dxfId="1153" priority="624"/>
  </conditionalFormatting>
  <conditionalFormatting sqref="U10:U11">
    <cfRule type="duplicateValues" dxfId="1152" priority="623"/>
  </conditionalFormatting>
  <conditionalFormatting sqref="O12:O13">
    <cfRule type="duplicateValues" dxfId="1151" priority="622"/>
  </conditionalFormatting>
  <conditionalFormatting sqref="O13">
    <cfRule type="duplicateValues" dxfId="1150" priority="621"/>
  </conditionalFormatting>
  <conditionalFormatting sqref="O14:O15">
    <cfRule type="duplicateValues" dxfId="1149" priority="620"/>
  </conditionalFormatting>
  <conditionalFormatting sqref="P13">
    <cfRule type="duplicateValues" dxfId="1148" priority="619"/>
  </conditionalFormatting>
  <conditionalFormatting sqref="R14:R15">
    <cfRule type="duplicateValues" dxfId="1147" priority="618"/>
  </conditionalFormatting>
  <conditionalFormatting sqref="Q14:Q15">
    <cfRule type="duplicateValues" dxfId="1146" priority="617"/>
  </conditionalFormatting>
  <conditionalFormatting sqref="Q14:Q15">
    <cfRule type="duplicateValues" dxfId="1145" priority="616"/>
  </conditionalFormatting>
  <conditionalFormatting sqref="Q14:Q15 U13">
    <cfRule type="duplicateValues" dxfId="1144" priority="615"/>
  </conditionalFormatting>
  <conditionalFormatting sqref="S14:S15">
    <cfRule type="duplicateValues" dxfId="1143" priority="614"/>
  </conditionalFormatting>
  <conditionalFormatting sqref="S14:S15">
    <cfRule type="duplicateValues" dxfId="1142" priority="613"/>
  </conditionalFormatting>
  <conditionalFormatting sqref="Q14:Q15">
    <cfRule type="duplicateValues" dxfId="1141" priority="612"/>
  </conditionalFormatting>
  <conditionalFormatting sqref="V12:V13">
    <cfRule type="duplicateValues" dxfId="1140" priority="611"/>
  </conditionalFormatting>
  <conditionalFormatting sqref="T14:T15">
    <cfRule type="duplicateValues" dxfId="1139" priority="610"/>
  </conditionalFormatting>
  <conditionalFormatting sqref="T14:T15">
    <cfRule type="duplicateValues" dxfId="1138" priority="608"/>
    <cfRule type="duplicateValues" dxfId="1137" priority="609"/>
  </conditionalFormatting>
  <conditionalFormatting sqref="T14:T15">
    <cfRule type="duplicateValues" dxfId="1136" priority="607"/>
  </conditionalFormatting>
  <conditionalFormatting sqref="V14:V15">
    <cfRule type="duplicateValues" dxfId="1135" priority="605"/>
    <cfRule type="duplicateValues" dxfId="1134" priority="606"/>
  </conditionalFormatting>
  <conditionalFormatting sqref="Y12:Y15">
    <cfRule type="duplicateValues" dxfId="1133" priority="604"/>
  </conditionalFormatting>
  <conditionalFormatting sqref="U14:U15">
    <cfRule type="duplicateValues" dxfId="1132" priority="603"/>
  </conditionalFormatting>
  <conditionalFormatting sqref="O16:O17">
    <cfRule type="duplicateValues" dxfId="1131" priority="602"/>
  </conditionalFormatting>
  <conditionalFormatting sqref="O17">
    <cfRule type="duplicateValues" dxfId="1130" priority="601"/>
  </conditionalFormatting>
  <conditionalFormatting sqref="O18:O19">
    <cfRule type="duplicateValues" dxfId="1129" priority="600"/>
  </conditionalFormatting>
  <conditionalFormatting sqref="P17">
    <cfRule type="duplicateValues" dxfId="1128" priority="599"/>
  </conditionalFormatting>
  <conditionalFormatting sqref="R18:R19">
    <cfRule type="duplicateValues" dxfId="1127" priority="598"/>
  </conditionalFormatting>
  <conditionalFormatting sqref="Q18:Q19">
    <cfRule type="duplicateValues" dxfId="1126" priority="597"/>
  </conditionalFormatting>
  <conditionalFormatting sqref="Q18:Q19">
    <cfRule type="duplicateValues" dxfId="1125" priority="596"/>
  </conditionalFormatting>
  <conditionalFormatting sqref="Q18:Q19 U17">
    <cfRule type="duplicateValues" dxfId="1124" priority="595"/>
  </conditionalFormatting>
  <conditionalFormatting sqref="S18:S19">
    <cfRule type="duplicateValues" dxfId="1123" priority="594"/>
  </conditionalFormatting>
  <conditionalFormatting sqref="S18:S19">
    <cfRule type="duplicateValues" dxfId="1122" priority="593"/>
  </conditionalFormatting>
  <conditionalFormatting sqref="Q18:Q19">
    <cfRule type="duplicateValues" dxfId="1121" priority="592"/>
  </conditionalFormatting>
  <conditionalFormatting sqref="V16:V17">
    <cfRule type="duplicateValues" dxfId="1120" priority="591"/>
  </conditionalFormatting>
  <conditionalFormatting sqref="T18:T19">
    <cfRule type="duplicateValues" dxfId="1119" priority="590"/>
  </conditionalFormatting>
  <conditionalFormatting sqref="T18:T19">
    <cfRule type="duplicateValues" dxfId="1118" priority="588"/>
    <cfRule type="duplicateValues" dxfId="1117" priority="589"/>
  </conditionalFormatting>
  <conditionalFormatting sqref="T18:T19">
    <cfRule type="duplicateValues" dxfId="1116" priority="587"/>
  </conditionalFormatting>
  <conditionalFormatting sqref="V18:V19">
    <cfRule type="duplicateValues" dxfId="1115" priority="585"/>
    <cfRule type="duplicateValues" dxfId="1114" priority="586"/>
  </conditionalFormatting>
  <conditionalFormatting sqref="Y16:Y19">
    <cfRule type="duplicateValues" dxfId="1113" priority="584"/>
  </conditionalFormatting>
  <conditionalFormatting sqref="U18:U19">
    <cfRule type="duplicateValues" dxfId="1112" priority="583"/>
  </conditionalFormatting>
  <conditionalFormatting sqref="O20:O21">
    <cfRule type="duplicateValues" dxfId="1111" priority="582"/>
  </conditionalFormatting>
  <conditionalFormatting sqref="O21">
    <cfRule type="duplicateValues" dxfId="1110" priority="581"/>
  </conditionalFormatting>
  <conditionalFormatting sqref="O22:O23">
    <cfRule type="duplicateValues" dxfId="1109" priority="580"/>
  </conditionalFormatting>
  <conditionalFormatting sqref="P21">
    <cfRule type="duplicateValues" dxfId="1108" priority="579"/>
  </conditionalFormatting>
  <conditionalFormatting sqref="R22:R23">
    <cfRule type="duplicateValues" dxfId="1107" priority="578"/>
  </conditionalFormatting>
  <conditionalFormatting sqref="Q22:Q23">
    <cfRule type="duplicateValues" dxfId="1106" priority="577"/>
  </conditionalFormatting>
  <conditionalFormatting sqref="Q22:Q23">
    <cfRule type="duplicateValues" dxfId="1105" priority="576"/>
  </conditionalFormatting>
  <conditionalFormatting sqref="Q22:Q23 U21">
    <cfRule type="duplicateValues" dxfId="1104" priority="575"/>
  </conditionalFormatting>
  <conditionalFormatting sqref="S22:S23">
    <cfRule type="duplicateValues" dxfId="1103" priority="574"/>
  </conditionalFormatting>
  <conditionalFormatting sqref="S22:S23">
    <cfRule type="duplicateValues" dxfId="1102" priority="573"/>
  </conditionalFormatting>
  <conditionalFormatting sqref="Q22:Q23">
    <cfRule type="duplicateValues" dxfId="1101" priority="572"/>
  </conditionalFormatting>
  <conditionalFormatting sqref="V20:V21">
    <cfRule type="duplicateValues" dxfId="1100" priority="571"/>
  </conditionalFormatting>
  <conditionalFormatting sqref="T22:T23">
    <cfRule type="duplicateValues" dxfId="1099" priority="570"/>
  </conditionalFormatting>
  <conditionalFormatting sqref="T22:T23">
    <cfRule type="duplicateValues" dxfId="1098" priority="568"/>
    <cfRule type="duplicateValues" dxfId="1097" priority="569"/>
  </conditionalFormatting>
  <conditionalFormatting sqref="T22:T23">
    <cfRule type="duplicateValues" dxfId="1096" priority="567"/>
  </conditionalFormatting>
  <conditionalFormatting sqref="V22:V23">
    <cfRule type="duplicateValues" dxfId="1095" priority="565"/>
    <cfRule type="duplicateValues" dxfId="1094" priority="566"/>
  </conditionalFormatting>
  <conditionalFormatting sqref="Y20:Y23">
    <cfRule type="duplicateValues" dxfId="1093" priority="564"/>
  </conditionalFormatting>
  <conditionalFormatting sqref="U22:U23">
    <cfRule type="duplicateValues" dxfId="1092" priority="563"/>
  </conditionalFormatting>
  <conditionalFormatting sqref="O24:O25">
    <cfRule type="duplicateValues" dxfId="1091" priority="562"/>
  </conditionalFormatting>
  <conditionalFormatting sqref="O25">
    <cfRule type="duplicateValues" dxfId="1090" priority="561"/>
  </conditionalFormatting>
  <conditionalFormatting sqref="O26:O27">
    <cfRule type="duplicateValues" dxfId="1089" priority="560"/>
  </conditionalFormatting>
  <conditionalFormatting sqref="P25">
    <cfRule type="duplicateValues" dxfId="1088" priority="559"/>
  </conditionalFormatting>
  <conditionalFormatting sqref="R26:R27">
    <cfRule type="duplicateValues" dxfId="1087" priority="558"/>
  </conditionalFormatting>
  <conditionalFormatting sqref="Q26:Q27">
    <cfRule type="duplicateValues" dxfId="1086" priority="557"/>
  </conditionalFormatting>
  <conditionalFormatting sqref="Q26:Q27">
    <cfRule type="duplicateValues" dxfId="1085" priority="556"/>
  </conditionalFormatting>
  <conditionalFormatting sqref="Q26:Q27 U25">
    <cfRule type="duplicateValues" dxfId="1084" priority="555"/>
  </conditionalFormatting>
  <conditionalFormatting sqref="S26:S27">
    <cfRule type="duplicateValues" dxfId="1083" priority="554"/>
  </conditionalFormatting>
  <conditionalFormatting sqref="S26:S27">
    <cfRule type="duplicateValues" dxfId="1082" priority="553"/>
  </conditionalFormatting>
  <conditionalFormatting sqref="Q26:Q27">
    <cfRule type="duplicateValues" dxfId="1081" priority="552"/>
  </conditionalFormatting>
  <conditionalFormatting sqref="V24:V25">
    <cfRule type="duplicateValues" dxfId="1080" priority="551"/>
  </conditionalFormatting>
  <conditionalFormatting sqref="T26:T27">
    <cfRule type="duplicateValues" dxfId="1079" priority="550"/>
  </conditionalFormatting>
  <conditionalFormatting sqref="T26:T27">
    <cfRule type="duplicateValues" dxfId="1078" priority="548"/>
    <cfRule type="duplicateValues" dxfId="1077" priority="549"/>
  </conditionalFormatting>
  <conditionalFormatting sqref="T26:T27">
    <cfRule type="duplicateValues" dxfId="1076" priority="547"/>
  </conditionalFormatting>
  <conditionalFormatting sqref="V26:V27">
    <cfRule type="duplicateValues" dxfId="1075" priority="545"/>
    <cfRule type="duplicateValues" dxfId="1074" priority="546"/>
  </conditionalFormatting>
  <conditionalFormatting sqref="Y25:Y27">
    <cfRule type="duplicateValues" dxfId="1073" priority="544"/>
  </conditionalFormatting>
  <conditionalFormatting sqref="U26:U27">
    <cfRule type="duplicateValues" dxfId="1072" priority="543"/>
  </conditionalFormatting>
  <conditionalFormatting sqref="G28">
    <cfRule type="duplicateValues" dxfId="1071" priority="447"/>
  </conditionalFormatting>
  <conditionalFormatting sqref="H30:H31 L28:L29">
    <cfRule type="duplicateValues" dxfId="1070" priority="446"/>
  </conditionalFormatting>
  <conditionalFormatting sqref="I30:I31 M28:M29">
    <cfRule type="duplicateValues" dxfId="1069" priority="445"/>
  </conditionalFormatting>
  <conditionalFormatting sqref="O28:O29">
    <cfRule type="duplicateValues" dxfId="1068" priority="444"/>
  </conditionalFormatting>
  <conditionalFormatting sqref="O29">
    <cfRule type="duplicateValues" dxfId="1067" priority="443"/>
  </conditionalFormatting>
  <conditionalFormatting sqref="G28:G31">
    <cfRule type="duplicateValues" dxfId="1066" priority="442"/>
  </conditionalFormatting>
  <conditionalFormatting sqref="M30">
    <cfRule type="duplicateValues" dxfId="1065" priority="441"/>
  </conditionalFormatting>
  <conditionalFormatting sqref="H30:H31 L28:L29">
    <cfRule type="duplicateValues" dxfId="1064" priority="436"/>
    <cfRule type="duplicateValues" dxfId="1063" priority="437"/>
    <cfRule type="duplicateValues" dxfId="1062" priority="438"/>
    <cfRule type="duplicateValues" dxfId="1061" priority="439"/>
    <cfRule type="duplicateValues" dxfId="1060" priority="440"/>
  </conditionalFormatting>
  <conditionalFormatting sqref="O30:O31">
    <cfRule type="duplicateValues" dxfId="1059" priority="435"/>
  </conditionalFormatting>
  <conditionalFormatting sqref="P29">
    <cfRule type="duplicateValues" dxfId="1058" priority="434"/>
  </conditionalFormatting>
  <conditionalFormatting sqref="R30:R31">
    <cfRule type="duplicateValues" dxfId="1057" priority="433"/>
  </conditionalFormatting>
  <conditionalFormatting sqref="Q30:Q31">
    <cfRule type="duplicateValues" dxfId="1056" priority="432"/>
  </conditionalFormatting>
  <conditionalFormatting sqref="L30:L31">
    <cfRule type="duplicateValues" dxfId="1055" priority="430"/>
    <cfRule type="duplicateValues" dxfId="1054" priority="431"/>
  </conditionalFormatting>
  <conditionalFormatting sqref="G32">
    <cfRule type="duplicateValues" dxfId="1053" priority="429"/>
  </conditionalFormatting>
  <conditionalFormatting sqref="H32:H35">
    <cfRule type="duplicateValues" dxfId="1052" priority="428"/>
  </conditionalFormatting>
  <conditionalFormatting sqref="I32:I35">
    <cfRule type="duplicateValues" dxfId="1051" priority="427"/>
  </conditionalFormatting>
  <conditionalFormatting sqref="O32:O33">
    <cfRule type="duplicateValues" dxfId="1050" priority="426"/>
  </conditionalFormatting>
  <conditionalFormatting sqref="O33">
    <cfRule type="duplicateValues" dxfId="1049" priority="425"/>
  </conditionalFormatting>
  <conditionalFormatting sqref="G32:G35">
    <cfRule type="duplicateValues" dxfId="1048" priority="424"/>
  </conditionalFormatting>
  <conditionalFormatting sqref="M34">
    <cfRule type="duplicateValues" dxfId="1047" priority="423"/>
  </conditionalFormatting>
  <conditionalFormatting sqref="H32:H35">
    <cfRule type="duplicateValues" dxfId="1046" priority="418"/>
    <cfRule type="duplicateValues" dxfId="1045" priority="419"/>
    <cfRule type="duplicateValues" dxfId="1044" priority="420"/>
    <cfRule type="duplicateValues" dxfId="1043" priority="421"/>
    <cfRule type="duplicateValues" dxfId="1042" priority="422"/>
  </conditionalFormatting>
  <conditionalFormatting sqref="O34:O35">
    <cfRule type="duplicateValues" dxfId="1041" priority="417"/>
  </conditionalFormatting>
  <conditionalFormatting sqref="Q34:Q35">
    <cfRule type="duplicateValues" dxfId="1040" priority="416"/>
  </conditionalFormatting>
  <conditionalFormatting sqref="P33">
    <cfRule type="duplicateValues" dxfId="1039" priority="415"/>
  </conditionalFormatting>
  <conditionalFormatting sqref="L32">
    <cfRule type="duplicateValues" dxfId="1038" priority="413"/>
    <cfRule type="duplicateValues" dxfId="1037" priority="414"/>
  </conditionalFormatting>
  <conditionalFormatting sqref="S34:S35">
    <cfRule type="duplicateValues" dxfId="1036" priority="412"/>
  </conditionalFormatting>
  <conditionalFormatting sqref="L32:L35">
    <cfRule type="duplicateValues" dxfId="1035" priority="410"/>
    <cfRule type="duplicateValues" dxfId="1034" priority="411"/>
  </conditionalFormatting>
  <conditionalFormatting sqref="Q30:Q31 S34:S35">
    <cfRule type="duplicateValues" dxfId="1033" priority="409"/>
  </conditionalFormatting>
  <conditionalFormatting sqref="Q30:Q31 U29 S34:S35">
    <cfRule type="duplicateValues" dxfId="1032" priority="408"/>
  </conditionalFormatting>
  <conditionalFormatting sqref="G28:G35">
    <cfRule type="duplicateValues" dxfId="1031" priority="407"/>
  </conditionalFormatting>
  <conditionalFormatting sqref="L28:L35">
    <cfRule type="duplicateValues" dxfId="1030" priority="406"/>
  </conditionalFormatting>
  <conditionalFormatting sqref="A30:A31">
    <cfRule type="duplicateValues" dxfId="1029" priority="404"/>
    <cfRule type="duplicateValues" dxfId="1028" priority="405"/>
  </conditionalFormatting>
  <conditionalFormatting sqref="A34:A35">
    <cfRule type="duplicateValues" dxfId="1027" priority="402"/>
    <cfRule type="duplicateValues" dxfId="1026" priority="403"/>
  </conditionalFormatting>
  <conditionalFormatting sqref="S34:S35">
    <cfRule type="duplicateValues" dxfId="1025" priority="401"/>
  </conditionalFormatting>
  <conditionalFormatting sqref="I28:I35">
    <cfRule type="duplicateValues" dxfId="1024" priority="400"/>
  </conditionalFormatting>
  <conditionalFormatting sqref="S30:S31">
    <cfRule type="duplicateValues" dxfId="1023" priority="399"/>
  </conditionalFormatting>
  <conditionalFormatting sqref="A28:A35">
    <cfRule type="duplicateValues" dxfId="1022" priority="398"/>
  </conditionalFormatting>
  <conditionalFormatting sqref="L28:L35">
    <cfRule type="duplicateValues" dxfId="1021" priority="395"/>
    <cfRule type="duplicateValues" dxfId="1020" priority="396"/>
    <cfRule type="duplicateValues" dxfId="1019" priority="397"/>
  </conditionalFormatting>
  <conditionalFormatting sqref="S30:S31 S34:S35">
    <cfRule type="duplicateValues" dxfId="1018" priority="394"/>
  </conditionalFormatting>
  <conditionalFormatting sqref="H28:H35">
    <cfRule type="duplicateValues" dxfId="1017" priority="393"/>
  </conditionalFormatting>
  <conditionalFormatting sqref="S32:S33 Q34:Q35 Q30:Q31">
    <cfRule type="duplicateValues" dxfId="1016" priority="392"/>
  </conditionalFormatting>
  <conditionalFormatting sqref="V28:V29">
    <cfRule type="duplicateValues" dxfId="1015" priority="391"/>
  </conditionalFormatting>
  <conditionalFormatting sqref="T34:T35">
    <cfRule type="duplicateValues" dxfId="1014" priority="390"/>
  </conditionalFormatting>
  <conditionalFormatting sqref="U32:U33">
    <cfRule type="duplicateValues" dxfId="1013" priority="389"/>
  </conditionalFormatting>
  <conditionalFormatting sqref="T30:T31">
    <cfRule type="duplicateValues" dxfId="1012" priority="388"/>
  </conditionalFormatting>
  <conditionalFormatting sqref="T30:T31">
    <cfRule type="duplicateValues" dxfId="1011" priority="386"/>
    <cfRule type="duplicateValues" dxfId="1010" priority="387"/>
  </conditionalFormatting>
  <conditionalFormatting sqref="V32:V33 T34:T35 T30:T31">
    <cfRule type="duplicateValues" dxfId="1009" priority="385"/>
  </conditionalFormatting>
  <conditionalFormatting sqref="G36">
    <cfRule type="duplicateValues" dxfId="1008" priority="384"/>
  </conditionalFormatting>
  <conditionalFormatting sqref="H38:H39 L36:L37">
    <cfRule type="duplicateValues" dxfId="1007" priority="383"/>
  </conditionalFormatting>
  <conditionalFormatting sqref="I38:I39 M36:M37">
    <cfRule type="duplicateValues" dxfId="1006" priority="382"/>
  </conditionalFormatting>
  <conditionalFormatting sqref="O36:O37">
    <cfRule type="duplicateValues" dxfId="1005" priority="381"/>
  </conditionalFormatting>
  <conditionalFormatting sqref="O37">
    <cfRule type="duplicateValues" dxfId="1004" priority="380"/>
  </conditionalFormatting>
  <conditionalFormatting sqref="G36:G39">
    <cfRule type="duplicateValues" dxfId="1003" priority="379"/>
  </conditionalFormatting>
  <conditionalFormatting sqref="M38">
    <cfRule type="duplicateValues" dxfId="1002" priority="378"/>
  </conditionalFormatting>
  <conditionalFormatting sqref="H38:H39 L36:L37">
    <cfRule type="duplicateValues" dxfId="1001" priority="373"/>
    <cfRule type="duplicateValues" dxfId="1000" priority="374"/>
    <cfRule type="duplicateValues" dxfId="999" priority="375"/>
    <cfRule type="duplicateValues" dxfId="998" priority="376"/>
    <cfRule type="duplicateValues" dxfId="997" priority="377"/>
  </conditionalFormatting>
  <conditionalFormatting sqref="O38:O39">
    <cfRule type="duplicateValues" dxfId="996" priority="372"/>
  </conditionalFormatting>
  <conditionalFormatting sqref="P37">
    <cfRule type="duplicateValues" dxfId="995" priority="371"/>
  </conditionalFormatting>
  <conditionalFormatting sqref="R38:R39">
    <cfRule type="duplicateValues" dxfId="994" priority="370"/>
  </conditionalFormatting>
  <conditionalFormatting sqref="Q38:Q39">
    <cfRule type="duplicateValues" dxfId="993" priority="369"/>
  </conditionalFormatting>
  <conditionalFormatting sqref="L38:L39">
    <cfRule type="duplicateValues" dxfId="992" priority="367"/>
    <cfRule type="duplicateValues" dxfId="991" priority="368"/>
  </conditionalFormatting>
  <conditionalFormatting sqref="G40">
    <cfRule type="duplicateValues" dxfId="990" priority="366"/>
  </conditionalFormatting>
  <conditionalFormatting sqref="H40:H43">
    <cfRule type="duplicateValues" dxfId="989" priority="365"/>
  </conditionalFormatting>
  <conditionalFormatting sqref="I40:I43">
    <cfRule type="duplicateValues" dxfId="988" priority="364"/>
  </conditionalFormatting>
  <conditionalFormatting sqref="O40:O41">
    <cfRule type="duplicateValues" dxfId="987" priority="363"/>
  </conditionalFormatting>
  <conditionalFormatting sqref="O41">
    <cfRule type="duplicateValues" dxfId="986" priority="362"/>
  </conditionalFormatting>
  <conditionalFormatting sqref="G40:G43">
    <cfRule type="duplicateValues" dxfId="985" priority="361"/>
  </conditionalFormatting>
  <conditionalFormatting sqref="M42">
    <cfRule type="duplicateValues" dxfId="984" priority="360"/>
  </conditionalFormatting>
  <conditionalFormatting sqref="H40:H43">
    <cfRule type="duplicateValues" dxfId="983" priority="355"/>
    <cfRule type="duplicateValues" dxfId="982" priority="356"/>
    <cfRule type="duplicateValues" dxfId="981" priority="357"/>
    <cfRule type="duplicateValues" dxfId="980" priority="358"/>
    <cfRule type="duplicateValues" dxfId="979" priority="359"/>
  </conditionalFormatting>
  <conditionalFormatting sqref="O42:O43">
    <cfRule type="duplicateValues" dxfId="978" priority="354"/>
  </conditionalFormatting>
  <conditionalFormatting sqref="Q42:Q43">
    <cfRule type="duplicateValues" dxfId="977" priority="353"/>
  </conditionalFormatting>
  <conditionalFormatting sqref="P41">
    <cfRule type="duplicateValues" dxfId="976" priority="352"/>
  </conditionalFormatting>
  <conditionalFormatting sqref="L40">
    <cfRule type="duplicateValues" dxfId="975" priority="350"/>
    <cfRule type="duplicateValues" dxfId="974" priority="351"/>
  </conditionalFormatting>
  <conditionalFormatting sqref="S42:S43">
    <cfRule type="duplicateValues" dxfId="973" priority="349"/>
  </conditionalFormatting>
  <conditionalFormatting sqref="L40:L43">
    <cfRule type="duplicateValues" dxfId="972" priority="347"/>
    <cfRule type="duplicateValues" dxfId="971" priority="348"/>
  </conditionalFormatting>
  <conditionalFormatting sqref="Q38:Q39 S42:S43">
    <cfRule type="duplicateValues" dxfId="970" priority="346"/>
  </conditionalFormatting>
  <conditionalFormatting sqref="Q38:Q39 U37 S42:S43">
    <cfRule type="duplicateValues" dxfId="969" priority="345"/>
  </conditionalFormatting>
  <conditionalFormatting sqref="G36:G43">
    <cfRule type="duplicateValues" dxfId="968" priority="344"/>
  </conditionalFormatting>
  <conditionalFormatting sqref="L36:L43">
    <cfRule type="duplicateValues" dxfId="967" priority="343"/>
  </conditionalFormatting>
  <conditionalFormatting sqref="A38:A39">
    <cfRule type="duplicateValues" dxfId="966" priority="341"/>
    <cfRule type="duplicateValues" dxfId="965" priority="342"/>
  </conditionalFormatting>
  <conditionalFormatting sqref="A42:A43">
    <cfRule type="duplicateValues" dxfId="964" priority="339"/>
    <cfRule type="duplicateValues" dxfId="963" priority="340"/>
  </conditionalFormatting>
  <conditionalFormatting sqref="I36:I43">
    <cfRule type="duplicateValues" dxfId="962" priority="338"/>
  </conditionalFormatting>
  <conditionalFormatting sqref="S38:S39">
    <cfRule type="duplicateValues" dxfId="961" priority="337"/>
  </conditionalFormatting>
  <conditionalFormatting sqref="A36:A43">
    <cfRule type="duplicateValues" dxfId="960" priority="336"/>
  </conditionalFormatting>
  <conditionalFormatting sqref="L36:L43">
    <cfRule type="duplicateValues" dxfId="959" priority="333"/>
    <cfRule type="duplicateValues" dxfId="958" priority="334"/>
    <cfRule type="duplicateValues" dxfId="957" priority="335"/>
  </conditionalFormatting>
  <conditionalFormatting sqref="S38:S39 S42:S43">
    <cfRule type="duplicateValues" dxfId="956" priority="332"/>
  </conditionalFormatting>
  <conditionalFormatting sqref="H36:H43">
    <cfRule type="duplicateValues" dxfId="955" priority="331"/>
  </conditionalFormatting>
  <conditionalFormatting sqref="S40:S41 Q42:Q43 Q38:Q39">
    <cfRule type="duplicateValues" dxfId="954" priority="330"/>
  </conditionalFormatting>
  <conditionalFormatting sqref="V36:V37">
    <cfRule type="duplicateValues" dxfId="953" priority="329"/>
  </conditionalFormatting>
  <conditionalFormatting sqref="T42:T43">
    <cfRule type="duplicateValues" dxfId="952" priority="328"/>
  </conditionalFormatting>
  <conditionalFormatting sqref="U40:U41">
    <cfRule type="duplicateValues" dxfId="951" priority="327"/>
  </conditionalFormatting>
  <conditionalFormatting sqref="T38:T39">
    <cfRule type="duplicateValues" dxfId="950" priority="326"/>
  </conditionalFormatting>
  <conditionalFormatting sqref="T38:T39">
    <cfRule type="duplicateValues" dxfId="949" priority="324"/>
    <cfRule type="duplicateValues" dxfId="948" priority="325"/>
  </conditionalFormatting>
  <conditionalFormatting sqref="V40:V41 T42:T43 T38:T39">
    <cfRule type="duplicateValues" dxfId="947" priority="323"/>
  </conditionalFormatting>
  <conditionalFormatting sqref="G44">
    <cfRule type="duplicateValues" dxfId="946" priority="322"/>
  </conditionalFormatting>
  <conditionalFormatting sqref="H46:H47 L44:L45">
    <cfRule type="duplicateValues" dxfId="945" priority="321"/>
  </conditionalFormatting>
  <conditionalFormatting sqref="I46:I47 M44:M45">
    <cfRule type="duplicateValues" dxfId="944" priority="320"/>
  </conditionalFormatting>
  <conditionalFormatting sqref="O44:O45">
    <cfRule type="duplicateValues" dxfId="943" priority="319"/>
  </conditionalFormatting>
  <conditionalFormatting sqref="O45">
    <cfRule type="duplicateValues" dxfId="942" priority="318"/>
  </conditionalFormatting>
  <conditionalFormatting sqref="G44:G47">
    <cfRule type="duplicateValues" dxfId="941" priority="317"/>
  </conditionalFormatting>
  <conditionalFormatting sqref="M46">
    <cfRule type="duplicateValues" dxfId="940" priority="316"/>
  </conditionalFormatting>
  <conditionalFormatting sqref="H46:H47 L44:L45">
    <cfRule type="duplicateValues" dxfId="939" priority="311"/>
    <cfRule type="duplicateValues" dxfId="938" priority="312"/>
    <cfRule type="duplicateValues" dxfId="937" priority="313"/>
    <cfRule type="duplicateValues" dxfId="936" priority="314"/>
    <cfRule type="duplicateValues" dxfId="935" priority="315"/>
  </conditionalFormatting>
  <conditionalFormatting sqref="O46:O47">
    <cfRule type="duplicateValues" dxfId="934" priority="310"/>
  </conditionalFormatting>
  <conditionalFormatting sqref="P45">
    <cfRule type="duplicateValues" dxfId="933" priority="309"/>
  </conditionalFormatting>
  <conditionalFormatting sqref="R46:R47">
    <cfRule type="duplicateValues" dxfId="932" priority="308"/>
  </conditionalFormatting>
  <conditionalFormatting sqref="Q46:Q47">
    <cfRule type="duplicateValues" dxfId="931" priority="307"/>
  </conditionalFormatting>
  <conditionalFormatting sqref="L46">
    <cfRule type="duplicateValues" dxfId="930" priority="305"/>
    <cfRule type="duplicateValues" dxfId="929" priority="306"/>
  </conditionalFormatting>
  <conditionalFormatting sqref="G48">
    <cfRule type="duplicateValues" dxfId="928" priority="304"/>
  </conditionalFormatting>
  <conditionalFormatting sqref="H48:H51">
    <cfRule type="duplicateValues" dxfId="927" priority="303"/>
  </conditionalFormatting>
  <conditionalFormatting sqref="I48:I51">
    <cfRule type="duplicateValues" dxfId="926" priority="302"/>
  </conditionalFormatting>
  <conditionalFormatting sqref="O48:O49">
    <cfRule type="duplicateValues" dxfId="925" priority="301"/>
  </conditionalFormatting>
  <conditionalFormatting sqref="O49">
    <cfRule type="duplicateValues" dxfId="924" priority="300"/>
  </conditionalFormatting>
  <conditionalFormatting sqref="G48:G51">
    <cfRule type="duplicateValues" dxfId="923" priority="299"/>
  </conditionalFormatting>
  <conditionalFormatting sqref="M50">
    <cfRule type="duplicateValues" dxfId="922" priority="298"/>
  </conditionalFormatting>
  <conditionalFormatting sqref="H48:H51">
    <cfRule type="duplicateValues" dxfId="921" priority="293"/>
    <cfRule type="duplicateValues" dxfId="920" priority="294"/>
    <cfRule type="duplicateValues" dxfId="919" priority="295"/>
    <cfRule type="duplicateValues" dxfId="918" priority="296"/>
    <cfRule type="duplicateValues" dxfId="917" priority="297"/>
  </conditionalFormatting>
  <conditionalFormatting sqref="O50:O51">
    <cfRule type="duplicateValues" dxfId="916" priority="292"/>
  </conditionalFormatting>
  <conditionalFormatting sqref="Q50:Q51">
    <cfRule type="duplicateValues" dxfId="915" priority="291"/>
  </conditionalFormatting>
  <conditionalFormatting sqref="P49">
    <cfRule type="duplicateValues" dxfId="914" priority="290"/>
  </conditionalFormatting>
  <conditionalFormatting sqref="L48">
    <cfRule type="duplicateValues" dxfId="913" priority="288"/>
    <cfRule type="duplicateValues" dxfId="912" priority="289"/>
  </conditionalFormatting>
  <conditionalFormatting sqref="S50:S51">
    <cfRule type="duplicateValues" dxfId="911" priority="287"/>
  </conditionalFormatting>
  <conditionalFormatting sqref="L48:L49 L51">
    <cfRule type="duplicateValues" dxfId="910" priority="285"/>
    <cfRule type="duplicateValues" dxfId="909" priority="286"/>
  </conditionalFormatting>
  <conditionalFormatting sqref="Q46:Q47 S50:S51">
    <cfRule type="duplicateValues" dxfId="908" priority="284"/>
  </conditionalFormatting>
  <conditionalFormatting sqref="Q46:Q47 U45 S50:S51">
    <cfRule type="duplicateValues" dxfId="907" priority="283"/>
  </conditionalFormatting>
  <conditionalFormatting sqref="G44:G51">
    <cfRule type="duplicateValues" dxfId="906" priority="282"/>
  </conditionalFormatting>
  <conditionalFormatting sqref="L51 L44:L46 L48:L49">
    <cfRule type="duplicateValues" dxfId="905" priority="281"/>
  </conditionalFormatting>
  <conditionalFormatting sqref="A46:A47">
    <cfRule type="duplicateValues" dxfId="904" priority="279"/>
    <cfRule type="duplicateValues" dxfId="903" priority="280"/>
  </conditionalFormatting>
  <conditionalFormatting sqref="A50:A51">
    <cfRule type="duplicateValues" dxfId="902" priority="277"/>
    <cfRule type="duplicateValues" dxfId="901" priority="278"/>
  </conditionalFormatting>
  <conditionalFormatting sqref="I44:I51">
    <cfRule type="duplicateValues" dxfId="900" priority="276"/>
  </conditionalFormatting>
  <conditionalFormatting sqref="S46:S47">
    <cfRule type="duplicateValues" dxfId="899" priority="275"/>
  </conditionalFormatting>
  <conditionalFormatting sqref="A44:A51">
    <cfRule type="duplicateValues" dxfId="898" priority="274"/>
  </conditionalFormatting>
  <conditionalFormatting sqref="L51 L44:L46 L48:L49">
    <cfRule type="duplicateValues" dxfId="897" priority="271"/>
    <cfRule type="duplicateValues" dxfId="896" priority="272"/>
    <cfRule type="duplicateValues" dxfId="895" priority="273"/>
  </conditionalFormatting>
  <conditionalFormatting sqref="S46:S47 S50:S51">
    <cfRule type="duplicateValues" dxfId="894" priority="270"/>
  </conditionalFormatting>
  <conditionalFormatting sqref="H44:H51">
    <cfRule type="duplicateValues" dxfId="893" priority="269"/>
  </conditionalFormatting>
  <conditionalFormatting sqref="S48:S49 Q50:Q51 Q46:Q47">
    <cfRule type="duplicateValues" dxfId="892" priority="268"/>
  </conditionalFormatting>
  <conditionalFormatting sqref="V44:V45">
    <cfRule type="duplicateValues" dxfId="891" priority="267"/>
  </conditionalFormatting>
  <conditionalFormatting sqref="T50:T51">
    <cfRule type="duplicateValues" dxfId="890" priority="266"/>
  </conditionalFormatting>
  <conditionalFormatting sqref="U48:U49">
    <cfRule type="duplicateValues" dxfId="889" priority="265"/>
  </conditionalFormatting>
  <conditionalFormatting sqref="T46:T47">
    <cfRule type="duplicateValues" dxfId="888" priority="264"/>
  </conditionalFormatting>
  <conditionalFormatting sqref="T46:T47">
    <cfRule type="duplicateValues" dxfId="887" priority="262"/>
    <cfRule type="duplicateValues" dxfId="886" priority="263"/>
  </conditionalFormatting>
  <conditionalFormatting sqref="V48:V49 T50:T51 T46:T47">
    <cfRule type="duplicateValues" dxfId="885" priority="261"/>
  </conditionalFormatting>
  <conditionalFormatting sqref="V30:V51">
    <cfRule type="duplicateValues" dxfId="884" priority="259"/>
    <cfRule type="duplicateValues" dxfId="883" priority="260"/>
  </conditionalFormatting>
  <conditionalFormatting sqref="L51 L28:L46 L48:L49">
    <cfRule type="duplicateValues" dxfId="882" priority="256"/>
    <cfRule type="duplicateValues" dxfId="881" priority="257"/>
    <cfRule type="duplicateValues" dxfId="880" priority="258"/>
  </conditionalFormatting>
  <conditionalFormatting sqref="I28:I51">
    <cfRule type="duplicateValues" dxfId="879" priority="255"/>
  </conditionalFormatting>
  <conditionalFormatting sqref="Y28:Y47 Y49">
    <cfRule type="duplicateValues" dxfId="878" priority="254"/>
  </conditionalFormatting>
  <conditionalFormatting sqref="L50">
    <cfRule type="duplicateValues" dxfId="877" priority="252"/>
    <cfRule type="duplicateValues" dxfId="876" priority="253"/>
  </conditionalFormatting>
  <conditionalFormatting sqref="L50">
    <cfRule type="duplicateValues" dxfId="875" priority="250"/>
    <cfRule type="duplicateValues" dxfId="874" priority="251"/>
  </conditionalFormatting>
  <conditionalFormatting sqref="L50">
    <cfRule type="duplicateValues" dxfId="873" priority="249"/>
  </conditionalFormatting>
  <conditionalFormatting sqref="L50">
    <cfRule type="duplicateValues" dxfId="872" priority="246"/>
    <cfRule type="duplicateValues" dxfId="871" priority="247"/>
    <cfRule type="duplicateValues" dxfId="870" priority="248"/>
  </conditionalFormatting>
  <conditionalFormatting sqref="L50">
    <cfRule type="duplicateValues" dxfId="869" priority="243"/>
    <cfRule type="duplicateValues" dxfId="868" priority="244"/>
    <cfRule type="duplicateValues" dxfId="867" priority="245"/>
  </conditionalFormatting>
  <conditionalFormatting sqref="A30:A31">
    <cfRule type="duplicateValues" dxfId="866" priority="241"/>
    <cfRule type="duplicateValues" dxfId="865" priority="242"/>
  </conditionalFormatting>
  <conditionalFormatting sqref="A28:A31">
    <cfRule type="duplicateValues" dxfId="864" priority="240"/>
  </conditionalFormatting>
  <conditionalFormatting sqref="A34:A35">
    <cfRule type="duplicateValues" dxfId="863" priority="238"/>
    <cfRule type="duplicateValues" dxfId="862" priority="239"/>
  </conditionalFormatting>
  <conditionalFormatting sqref="A32:A35">
    <cfRule type="duplicateValues" dxfId="861" priority="237"/>
  </conditionalFormatting>
  <conditionalFormatting sqref="A38:A39">
    <cfRule type="duplicateValues" dxfId="860" priority="235"/>
    <cfRule type="duplicateValues" dxfId="859" priority="236"/>
  </conditionalFormatting>
  <conditionalFormatting sqref="A36:A39">
    <cfRule type="duplicateValues" dxfId="858" priority="234"/>
  </conditionalFormatting>
  <conditionalFormatting sqref="A42:A43">
    <cfRule type="duplicateValues" dxfId="857" priority="232"/>
    <cfRule type="duplicateValues" dxfId="856" priority="233"/>
  </conditionalFormatting>
  <conditionalFormatting sqref="A40:A43">
    <cfRule type="duplicateValues" dxfId="855" priority="231"/>
  </conditionalFormatting>
  <conditionalFormatting sqref="A46:A47">
    <cfRule type="duplicateValues" dxfId="854" priority="229"/>
    <cfRule type="duplicateValues" dxfId="853" priority="230"/>
  </conditionalFormatting>
  <conditionalFormatting sqref="A44:A47">
    <cfRule type="duplicateValues" dxfId="852" priority="228"/>
  </conditionalFormatting>
  <conditionalFormatting sqref="A50:A51">
    <cfRule type="duplicateValues" dxfId="851" priority="226"/>
    <cfRule type="duplicateValues" dxfId="850" priority="227"/>
  </conditionalFormatting>
  <conditionalFormatting sqref="A48:A51">
    <cfRule type="duplicateValues" dxfId="849" priority="225"/>
  </conditionalFormatting>
  <conditionalFormatting sqref="L28:L29">
    <cfRule type="duplicateValues" dxfId="848" priority="224"/>
  </conditionalFormatting>
  <conditionalFormatting sqref="M28:M29">
    <cfRule type="duplicateValues" dxfId="847" priority="223"/>
  </conditionalFormatting>
  <conditionalFormatting sqref="M30">
    <cfRule type="duplicateValues" dxfId="846" priority="222"/>
  </conditionalFormatting>
  <conditionalFormatting sqref="L28:L29">
    <cfRule type="duplicateValues" dxfId="845" priority="217"/>
    <cfRule type="duplicateValues" dxfId="844" priority="218"/>
    <cfRule type="duplicateValues" dxfId="843" priority="219"/>
    <cfRule type="duplicateValues" dxfId="842" priority="220"/>
    <cfRule type="duplicateValues" dxfId="841" priority="221"/>
  </conditionalFormatting>
  <conditionalFormatting sqref="L30:L31">
    <cfRule type="duplicateValues" dxfId="840" priority="215"/>
    <cfRule type="duplicateValues" dxfId="839" priority="216"/>
  </conditionalFormatting>
  <conditionalFormatting sqref="L28:L31">
    <cfRule type="duplicateValues" dxfId="838" priority="214"/>
  </conditionalFormatting>
  <conditionalFormatting sqref="L28:L31">
    <cfRule type="duplicateValues" dxfId="837" priority="211"/>
    <cfRule type="duplicateValues" dxfId="836" priority="212"/>
    <cfRule type="duplicateValues" dxfId="835" priority="213"/>
  </conditionalFormatting>
  <conditionalFormatting sqref="L28:L31">
    <cfRule type="duplicateValues" dxfId="834" priority="208"/>
    <cfRule type="duplicateValues" dxfId="833" priority="209"/>
    <cfRule type="duplicateValues" dxfId="832" priority="210"/>
  </conditionalFormatting>
  <conditionalFormatting sqref="L32:L33">
    <cfRule type="duplicateValues" dxfId="831" priority="207"/>
  </conditionalFormatting>
  <conditionalFormatting sqref="M32:M33">
    <cfRule type="duplicateValues" dxfId="830" priority="206"/>
  </conditionalFormatting>
  <conditionalFormatting sqref="M34">
    <cfRule type="duplicateValues" dxfId="829" priority="205"/>
  </conditionalFormatting>
  <conditionalFormatting sqref="L32:L33">
    <cfRule type="duplicateValues" dxfId="828" priority="200"/>
    <cfRule type="duplicateValues" dxfId="827" priority="201"/>
    <cfRule type="duplicateValues" dxfId="826" priority="202"/>
    <cfRule type="duplicateValues" dxfId="825" priority="203"/>
    <cfRule type="duplicateValues" dxfId="824" priority="204"/>
  </conditionalFormatting>
  <conditionalFormatting sqref="L34:L35">
    <cfRule type="duplicateValues" dxfId="823" priority="198"/>
    <cfRule type="duplicateValues" dxfId="822" priority="199"/>
  </conditionalFormatting>
  <conditionalFormatting sqref="L32:L35">
    <cfRule type="duplicateValues" dxfId="821" priority="197"/>
  </conditionalFormatting>
  <conditionalFormatting sqref="L32:L35">
    <cfRule type="duplicateValues" dxfId="820" priority="194"/>
    <cfRule type="duplicateValues" dxfId="819" priority="195"/>
    <cfRule type="duplicateValues" dxfId="818" priority="196"/>
  </conditionalFormatting>
  <conditionalFormatting sqref="L32:L35">
    <cfRule type="duplicateValues" dxfId="817" priority="191"/>
    <cfRule type="duplicateValues" dxfId="816" priority="192"/>
    <cfRule type="duplicateValues" dxfId="815" priority="193"/>
  </conditionalFormatting>
  <conditionalFormatting sqref="L36:L37">
    <cfRule type="duplicateValues" dxfId="814" priority="190"/>
  </conditionalFormatting>
  <conditionalFormatting sqref="M36:M37">
    <cfRule type="duplicateValues" dxfId="813" priority="189"/>
  </conditionalFormatting>
  <conditionalFormatting sqref="M38">
    <cfRule type="duplicateValues" dxfId="812" priority="188"/>
  </conditionalFormatting>
  <conditionalFormatting sqref="L36:L37">
    <cfRule type="duplicateValues" dxfId="811" priority="183"/>
    <cfRule type="duplicateValues" dxfId="810" priority="184"/>
    <cfRule type="duplicateValues" dxfId="809" priority="185"/>
    <cfRule type="duplicateValues" dxfId="808" priority="186"/>
    <cfRule type="duplicateValues" dxfId="807" priority="187"/>
  </conditionalFormatting>
  <conditionalFormatting sqref="L38:L39">
    <cfRule type="duplicateValues" dxfId="806" priority="181"/>
    <cfRule type="duplicateValues" dxfId="805" priority="182"/>
  </conditionalFormatting>
  <conditionalFormatting sqref="L36:L39">
    <cfRule type="duplicateValues" dxfId="804" priority="180"/>
  </conditionalFormatting>
  <conditionalFormatting sqref="L36:L39">
    <cfRule type="duplicateValues" dxfId="803" priority="177"/>
    <cfRule type="duplicateValues" dxfId="802" priority="178"/>
    <cfRule type="duplicateValues" dxfId="801" priority="179"/>
  </conditionalFormatting>
  <conditionalFormatting sqref="L36:L39">
    <cfRule type="duplicateValues" dxfId="800" priority="174"/>
    <cfRule type="duplicateValues" dxfId="799" priority="175"/>
    <cfRule type="duplicateValues" dxfId="798" priority="176"/>
  </conditionalFormatting>
  <conditionalFormatting sqref="L40:L41">
    <cfRule type="duplicateValues" dxfId="797" priority="173"/>
  </conditionalFormatting>
  <conditionalFormatting sqref="M40:M41">
    <cfRule type="duplicateValues" dxfId="796" priority="172"/>
  </conditionalFormatting>
  <conditionalFormatting sqref="M42">
    <cfRule type="duplicateValues" dxfId="795" priority="171"/>
  </conditionalFormatting>
  <conditionalFormatting sqref="L40:L41">
    <cfRule type="duplicateValues" dxfId="794" priority="166"/>
    <cfRule type="duplicateValues" dxfId="793" priority="167"/>
    <cfRule type="duplicateValues" dxfId="792" priority="168"/>
    <cfRule type="duplicateValues" dxfId="791" priority="169"/>
    <cfRule type="duplicateValues" dxfId="790" priority="170"/>
  </conditionalFormatting>
  <conditionalFormatting sqref="L42:L43">
    <cfRule type="duplicateValues" dxfId="789" priority="164"/>
    <cfRule type="duplicateValues" dxfId="788" priority="165"/>
  </conditionalFormatting>
  <conditionalFormatting sqref="L40:L43">
    <cfRule type="duplicateValues" dxfId="787" priority="163"/>
  </conditionalFormatting>
  <conditionalFormatting sqref="L40:L43">
    <cfRule type="duplicateValues" dxfId="786" priority="160"/>
    <cfRule type="duplicateValues" dxfId="785" priority="161"/>
    <cfRule type="duplicateValues" dxfId="784" priority="162"/>
  </conditionalFormatting>
  <conditionalFormatting sqref="L40:L43">
    <cfRule type="duplicateValues" dxfId="783" priority="157"/>
    <cfRule type="duplicateValues" dxfId="782" priority="158"/>
    <cfRule type="duplicateValues" dxfId="781" priority="159"/>
  </conditionalFormatting>
  <conditionalFormatting sqref="L44:L45">
    <cfRule type="duplicateValues" dxfId="780" priority="156"/>
  </conditionalFormatting>
  <conditionalFormatting sqref="M44:M45">
    <cfRule type="duplicateValues" dxfId="779" priority="155"/>
  </conditionalFormatting>
  <conditionalFormatting sqref="M46">
    <cfRule type="duplicateValues" dxfId="778" priority="154"/>
  </conditionalFormatting>
  <conditionalFormatting sqref="L44:L45">
    <cfRule type="duplicateValues" dxfId="777" priority="149"/>
    <cfRule type="duplicateValues" dxfId="776" priority="150"/>
    <cfRule type="duplicateValues" dxfId="775" priority="151"/>
    <cfRule type="duplicateValues" dxfId="774" priority="152"/>
    <cfRule type="duplicateValues" dxfId="773" priority="153"/>
  </conditionalFormatting>
  <conditionalFormatting sqref="L46">
    <cfRule type="duplicateValues" dxfId="772" priority="147"/>
    <cfRule type="duplicateValues" dxfId="771" priority="148"/>
  </conditionalFormatting>
  <conditionalFormatting sqref="L44:L46">
    <cfRule type="duplicateValues" dxfId="770" priority="146"/>
  </conditionalFormatting>
  <conditionalFormatting sqref="L44:L46">
    <cfRule type="duplicateValues" dxfId="769" priority="143"/>
    <cfRule type="duplicateValues" dxfId="768" priority="144"/>
    <cfRule type="duplicateValues" dxfId="767" priority="145"/>
  </conditionalFormatting>
  <conditionalFormatting sqref="L44:L46">
    <cfRule type="duplicateValues" dxfId="766" priority="140"/>
    <cfRule type="duplicateValues" dxfId="765" priority="141"/>
    <cfRule type="duplicateValues" dxfId="764" priority="142"/>
  </conditionalFormatting>
  <conditionalFormatting sqref="L48:L49">
    <cfRule type="duplicateValues" dxfId="763" priority="139"/>
  </conditionalFormatting>
  <conditionalFormatting sqref="M48:M49">
    <cfRule type="duplicateValues" dxfId="762" priority="138"/>
  </conditionalFormatting>
  <conditionalFormatting sqref="M50">
    <cfRule type="duplicateValues" dxfId="761" priority="137"/>
  </conditionalFormatting>
  <conditionalFormatting sqref="L48:L49">
    <cfRule type="duplicateValues" dxfId="760" priority="132"/>
    <cfRule type="duplicateValues" dxfId="759" priority="133"/>
    <cfRule type="duplicateValues" dxfId="758" priority="134"/>
    <cfRule type="duplicateValues" dxfId="757" priority="135"/>
    <cfRule type="duplicateValues" dxfId="756" priority="136"/>
  </conditionalFormatting>
  <conditionalFormatting sqref="L50:L51">
    <cfRule type="duplicateValues" dxfId="755" priority="130"/>
    <cfRule type="duplicateValues" dxfId="754" priority="131"/>
  </conditionalFormatting>
  <conditionalFormatting sqref="L48:L51">
    <cfRule type="duplicateValues" dxfId="753" priority="129"/>
  </conditionalFormatting>
  <conditionalFormatting sqref="L48:L51">
    <cfRule type="duplicateValues" dxfId="752" priority="126"/>
    <cfRule type="duplicateValues" dxfId="751" priority="127"/>
    <cfRule type="duplicateValues" dxfId="750" priority="128"/>
  </conditionalFormatting>
  <conditionalFormatting sqref="L48:L51">
    <cfRule type="duplicateValues" dxfId="749" priority="123"/>
    <cfRule type="duplicateValues" dxfId="748" priority="124"/>
    <cfRule type="duplicateValues" dxfId="747" priority="125"/>
  </conditionalFormatting>
  <conditionalFormatting sqref="O28:O29">
    <cfRule type="duplicateValues" dxfId="746" priority="122"/>
  </conditionalFormatting>
  <conditionalFormatting sqref="O29">
    <cfRule type="duplicateValues" dxfId="745" priority="121"/>
  </conditionalFormatting>
  <conditionalFormatting sqref="O30:O31">
    <cfRule type="duplicateValues" dxfId="744" priority="120"/>
  </conditionalFormatting>
  <conditionalFormatting sqref="P29">
    <cfRule type="duplicateValues" dxfId="743" priority="119"/>
  </conditionalFormatting>
  <conditionalFormatting sqref="R30:R31">
    <cfRule type="duplicateValues" dxfId="742" priority="118"/>
  </conditionalFormatting>
  <conditionalFormatting sqref="Q30:Q31">
    <cfRule type="duplicateValues" dxfId="741" priority="117"/>
  </conditionalFormatting>
  <conditionalFormatting sqref="Q30:Q31">
    <cfRule type="duplicateValues" dxfId="740" priority="116"/>
  </conditionalFormatting>
  <conditionalFormatting sqref="Q30:Q31 U29">
    <cfRule type="duplicateValues" dxfId="739" priority="115"/>
  </conditionalFormatting>
  <conditionalFormatting sqref="S30:S31">
    <cfRule type="duplicateValues" dxfId="738" priority="114"/>
  </conditionalFormatting>
  <conditionalFormatting sqref="S30:S31">
    <cfRule type="duplicateValues" dxfId="737" priority="113"/>
  </conditionalFormatting>
  <conditionalFormatting sqref="Q30:Q31">
    <cfRule type="duplicateValues" dxfId="736" priority="112"/>
  </conditionalFormatting>
  <conditionalFormatting sqref="V28:V29">
    <cfRule type="duplicateValues" dxfId="735" priority="111"/>
  </conditionalFormatting>
  <conditionalFormatting sqref="T30:T31">
    <cfRule type="duplicateValues" dxfId="734" priority="110"/>
  </conditionalFormatting>
  <conditionalFormatting sqref="T30:T31">
    <cfRule type="duplicateValues" dxfId="733" priority="108"/>
    <cfRule type="duplicateValues" dxfId="732" priority="109"/>
  </conditionalFormatting>
  <conditionalFormatting sqref="T30:T31">
    <cfRule type="duplicateValues" dxfId="731" priority="107"/>
  </conditionalFormatting>
  <conditionalFormatting sqref="V30:V31">
    <cfRule type="duplicateValues" dxfId="730" priority="105"/>
    <cfRule type="duplicateValues" dxfId="729" priority="106"/>
  </conditionalFormatting>
  <conditionalFormatting sqref="Y28:Y31">
    <cfRule type="duplicateValues" dxfId="728" priority="104"/>
  </conditionalFormatting>
  <conditionalFormatting sqref="U30:U31">
    <cfRule type="duplicateValues" dxfId="727" priority="103"/>
  </conditionalFormatting>
  <conditionalFormatting sqref="O32:O33">
    <cfRule type="duplicateValues" dxfId="726" priority="102"/>
  </conditionalFormatting>
  <conditionalFormatting sqref="O33">
    <cfRule type="duplicateValues" dxfId="725" priority="101"/>
  </conditionalFormatting>
  <conditionalFormatting sqref="O34:O35">
    <cfRule type="duplicateValues" dxfId="724" priority="100"/>
  </conditionalFormatting>
  <conditionalFormatting sqref="P33">
    <cfRule type="duplicateValues" dxfId="723" priority="99"/>
  </conditionalFormatting>
  <conditionalFormatting sqref="R34:R35">
    <cfRule type="duplicateValues" dxfId="722" priority="98"/>
  </conditionalFormatting>
  <conditionalFormatting sqref="Q34:Q35">
    <cfRule type="duplicateValues" dxfId="721" priority="97"/>
  </conditionalFormatting>
  <conditionalFormatting sqref="Q34:Q35">
    <cfRule type="duplicateValues" dxfId="720" priority="96"/>
  </conditionalFormatting>
  <conditionalFormatting sqref="Q34:Q35 U33">
    <cfRule type="duplicateValues" dxfId="719" priority="95"/>
  </conditionalFormatting>
  <conditionalFormatting sqref="S34:S35">
    <cfRule type="duplicateValues" dxfId="718" priority="94"/>
  </conditionalFormatting>
  <conditionalFormatting sqref="S34:S35">
    <cfRule type="duplicateValues" dxfId="717" priority="93"/>
  </conditionalFormatting>
  <conditionalFormatting sqref="Q34:Q35">
    <cfRule type="duplicateValues" dxfId="716" priority="92"/>
  </conditionalFormatting>
  <conditionalFormatting sqref="V32:V33">
    <cfRule type="duplicateValues" dxfId="715" priority="91"/>
  </conditionalFormatting>
  <conditionalFormatting sqref="T34:T35">
    <cfRule type="duplicateValues" dxfId="714" priority="90"/>
  </conditionalFormatting>
  <conditionalFormatting sqref="T34:T35">
    <cfRule type="duplicateValues" dxfId="713" priority="88"/>
    <cfRule type="duplicateValues" dxfId="712" priority="89"/>
  </conditionalFormatting>
  <conditionalFormatting sqref="T34:T35">
    <cfRule type="duplicateValues" dxfId="711" priority="87"/>
  </conditionalFormatting>
  <conditionalFormatting sqref="V34:V35">
    <cfRule type="duplicateValues" dxfId="710" priority="85"/>
    <cfRule type="duplicateValues" dxfId="709" priority="86"/>
  </conditionalFormatting>
  <conditionalFormatting sqref="Y32:Y35">
    <cfRule type="duplicateValues" dxfId="708" priority="84"/>
  </conditionalFormatting>
  <conditionalFormatting sqref="U34:U35">
    <cfRule type="duplicateValues" dxfId="707" priority="83"/>
  </conditionalFormatting>
  <conditionalFormatting sqref="O36:O37">
    <cfRule type="duplicateValues" dxfId="706" priority="82"/>
  </conditionalFormatting>
  <conditionalFormatting sqref="O37">
    <cfRule type="duplicateValues" dxfId="705" priority="81"/>
  </conditionalFormatting>
  <conditionalFormatting sqref="O38:O39">
    <cfRule type="duplicateValues" dxfId="704" priority="80"/>
  </conditionalFormatting>
  <conditionalFormatting sqref="P37">
    <cfRule type="duplicateValues" dxfId="703" priority="79"/>
  </conditionalFormatting>
  <conditionalFormatting sqref="R38:R39">
    <cfRule type="duplicateValues" dxfId="702" priority="78"/>
  </conditionalFormatting>
  <conditionalFormatting sqref="Q38:Q39">
    <cfRule type="duplicateValues" dxfId="701" priority="77"/>
  </conditionalFormatting>
  <conditionalFormatting sqref="Q38:Q39">
    <cfRule type="duplicateValues" dxfId="700" priority="76"/>
  </conditionalFormatting>
  <conditionalFormatting sqref="Q38:Q39 U37">
    <cfRule type="duplicateValues" dxfId="699" priority="75"/>
  </conditionalFormatting>
  <conditionalFormatting sqref="S38:S39">
    <cfRule type="duplicateValues" dxfId="698" priority="74"/>
  </conditionalFormatting>
  <conditionalFormatting sqref="S38:S39">
    <cfRule type="duplicateValues" dxfId="697" priority="73"/>
  </conditionalFormatting>
  <conditionalFormatting sqref="Q38:Q39">
    <cfRule type="duplicateValues" dxfId="696" priority="72"/>
  </conditionalFormatting>
  <conditionalFormatting sqref="V36:V37">
    <cfRule type="duplicateValues" dxfId="695" priority="71"/>
  </conditionalFormatting>
  <conditionalFormatting sqref="T38:T39">
    <cfRule type="duplicateValues" dxfId="694" priority="70"/>
  </conditionalFormatting>
  <conditionalFormatting sqref="T38:T39">
    <cfRule type="duplicateValues" dxfId="693" priority="68"/>
    <cfRule type="duplicateValues" dxfId="692" priority="69"/>
  </conditionalFormatting>
  <conditionalFormatting sqref="T38:T39">
    <cfRule type="duplicateValues" dxfId="691" priority="67"/>
  </conditionalFormatting>
  <conditionalFormatting sqref="V38:V39">
    <cfRule type="duplicateValues" dxfId="690" priority="65"/>
    <cfRule type="duplicateValues" dxfId="689" priority="66"/>
  </conditionalFormatting>
  <conditionalFormatting sqref="Y36:Y39">
    <cfRule type="duplicateValues" dxfId="688" priority="64"/>
  </conditionalFormatting>
  <conditionalFormatting sqref="U38:U39">
    <cfRule type="duplicateValues" dxfId="687" priority="63"/>
  </conditionalFormatting>
  <conditionalFormatting sqref="O40:O41">
    <cfRule type="duplicateValues" dxfId="686" priority="62"/>
  </conditionalFormatting>
  <conditionalFormatting sqref="O41">
    <cfRule type="duplicateValues" dxfId="685" priority="61"/>
  </conditionalFormatting>
  <conditionalFormatting sqref="O42:O43">
    <cfRule type="duplicateValues" dxfId="684" priority="60"/>
  </conditionalFormatting>
  <conditionalFormatting sqref="P41">
    <cfRule type="duplicateValues" dxfId="683" priority="59"/>
  </conditionalFormatting>
  <conditionalFormatting sqref="R42:R43">
    <cfRule type="duplicateValues" dxfId="682" priority="58"/>
  </conditionalFormatting>
  <conditionalFormatting sqref="Q42:Q43">
    <cfRule type="duplicateValues" dxfId="681" priority="57"/>
  </conditionalFormatting>
  <conditionalFormatting sqref="Q42:Q43">
    <cfRule type="duplicateValues" dxfId="680" priority="56"/>
  </conditionalFormatting>
  <conditionalFormatting sqref="Q42:Q43 U41">
    <cfRule type="duplicateValues" dxfId="679" priority="55"/>
  </conditionalFormatting>
  <conditionalFormatting sqref="S42:S43">
    <cfRule type="duplicateValues" dxfId="678" priority="54"/>
  </conditionalFormatting>
  <conditionalFormatting sqref="S42:S43">
    <cfRule type="duplicateValues" dxfId="677" priority="53"/>
  </conditionalFormatting>
  <conditionalFormatting sqref="Q42:Q43">
    <cfRule type="duplicateValues" dxfId="676" priority="52"/>
  </conditionalFormatting>
  <conditionalFormatting sqref="V40:V41">
    <cfRule type="duplicateValues" dxfId="675" priority="51"/>
  </conditionalFormatting>
  <conditionalFormatting sqref="T42:T43">
    <cfRule type="duplicateValues" dxfId="674" priority="50"/>
  </conditionalFormatting>
  <conditionalFormatting sqref="T42:T43">
    <cfRule type="duplicateValues" dxfId="673" priority="48"/>
    <cfRule type="duplicateValues" dxfId="672" priority="49"/>
  </conditionalFormatting>
  <conditionalFormatting sqref="T42:T43">
    <cfRule type="duplicateValues" dxfId="671" priority="47"/>
  </conditionalFormatting>
  <conditionalFormatting sqref="V42:V43">
    <cfRule type="duplicateValues" dxfId="670" priority="45"/>
    <cfRule type="duplicateValues" dxfId="669" priority="46"/>
  </conditionalFormatting>
  <conditionalFormatting sqref="Y40:Y43">
    <cfRule type="duplicateValues" dxfId="668" priority="44"/>
  </conditionalFormatting>
  <conditionalFormatting sqref="U42:U43">
    <cfRule type="duplicateValues" dxfId="667" priority="43"/>
  </conditionalFormatting>
  <conditionalFormatting sqref="O44:O45">
    <cfRule type="duplicateValues" dxfId="666" priority="42"/>
  </conditionalFormatting>
  <conditionalFormatting sqref="O45">
    <cfRule type="duplicateValues" dxfId="665" priority="41"/>
  </conditionalFormatting>
  <conditionalFormatting sqref="O46:O47">
    <cfRule type="duplicateValues" dxfId="664" priority="40"/>
  </conditionalFormatting>
  <conditionalFormatting sqref="P45">
    <cfRule type="duplicateValues" dxfId="663" priority="39"/>
  </conditionalFormatting>
  <conditionalFormatting sqref="R46:R47">
    <cfRule type="duplicateValues" dxfId="662" priority="38"/>
  </conditionalFormatting>
  <conditionalFormatting sqref="Q46:Q47">
    <cfRule type="duplicateValues" dxfId="661" priority="37"/>
  </conditionalFormatting>
  <conditionalFormatting sqref="Q46:Q47">
    <cfRule type="duplicateValues" dxfId="660" priority="36"/>
  </conditionalFormatting>
  <conditionalFormatting sqref="Q46:Q47 U45">
    <cfRule type="duplicateValues" dxfId="659" priority="35"/>
  </conditionalFormatting>
  <conditionalFormatting sqref="S46:S47">
    <cfRule type="duplicateValues" dxfId="658" priority="34"/>
  </conditionalFormatting>
  <conditionalFormatting sqref="S46:S47">
    <cfRule type="duplicateValues" dxfId="657" priority="33"/>
  </conditionalFormatting>
  <conditionalFormatting sqref="Q46:Q47">
    <cfRule type="duplicateValues" dxfId="656" priority="32"/>
  </conditionalFormatting>
  <conditionalFormatting sqref="V44:V45">
    <cfRule type="duplicateValues" dxfId="655" priority="31"/>
  </conditionalFormatting>
  <conditionalFormatting sqref="T46:T47">
    <cfRule type="duplicateValues" dxfId="654" priority="30"/>
  </conditionalFormatting>
  <conditionalFormatting sqref="T46:T47">
    <cfRule type="duplicateValues" dxfId="653" priority="28"/>
    <cfRule type="duplicateValues" dxfId="652" priority="29"/>
  </conditionalFormatting>
  <conditionalFormatting sqref="T46:T47">
    <cfRule type="duplicateValues" dxfId="651" priority="27"/>
  </conditionalFormatting>
  <conditionalFormatting sqref="V46:V47">
    <cfRule type="duplicateValues" dxfId="650" priority="25"/>
    <cfRule type="duplicateValues" dxfId="649" priority="26"/>
  </conditionalFormatting>
  <conditionalFormatting sqref="Y44:Y47">
    <cfRule type="duplicateValues" dxfId="648" priority="24"/>
  </conditionalFormatting>
  <conditionalFormatting sqref="U46:U47">
    <cfRule type="duplicateValues" dxfId="647" priority="23"/>
  </conditionalFormatting>
  <conditionalFormatting sqref="O48:O49">
    <cfRule type="duplicateValues" dxfId="646" priority="22"/>
  </conditionalFormatting>
  <conditionalFormatting sqref="O49">
    <cfRule type="duplicateValues" dxfId="645" priority="21"/>
  </conditionalFormatting>
  <conditionalFormatting sqref="O50:O51">
    <cfRule type="duplicateValues" dxfId="644" priority="20"/>
  </conditionalFormatting>
  <conditionalFormatting sqref="P49">
    <cfRule type="duplicateValues" dxfId="643" priority="19"/>
  </conditionalFormatting>
  <conditionalFormatting sqref="R50:R51">
    <cfRule type="duplicateValues" dxfId="642" priority="18"/>
  </conditionalFormatting>
  <conditionalFormatting sqref="Q50:Q51">
    <cfRule type="duplicateValues" dxfId="641" priority="17"/>
  </conditionalFormatting>
  <conditionalFormatting sqref="Q50:Q51">
    <cfRule type="duplicateValues" dxfId="640" priority="16"/>
  </conditionalFormatting>
  <conditionalFormatting sqref="Q50:Q51 U49">
    <cfRule type="duplicateValues" dxfId="639" priority="15"/>
  </conditionalFormatting>
  <conditionalFormatting sqref="S50:S51">
    <cfRule type="duplicateValues" dxfId="638" priority="14"/>
  </conditionalFormatting>
  <conditionalFormatting sqref="S50:S51">
    <cfRule type="duplicateValues" dxfId="637" priority="13"/>
  </conditionalFormatting>
  <conditionalFormatting sqref="Q50:Q51">
    <cfRule type="duplicateValues" dxfId="636" priority="12"/>
  </conditionalFormatting>
  <conditionalFormatting sqref="V48:V49">
    <cfRule type="duplicateValues" dxfId="635" priority="11"/>
  </conditionalFormatting>
  <conditionalFormatting sqref="T50:T51">
    <cfRule type="duplicateValues" dxfId="634" priority="10"/>
  </conditionalFormatting>
  <conditionalFormatting sqref="T50:T51">
    <cfRule type="duplicateValues" dxfId="633" priority="8"/>
    <cfRule type="duplicateValues" dxfId="632" priority="9"/>
  </conditionalFormatting>
  <conditionalFormatting sqref="T50:T51">
    <cfRule type="duplicateValues" dxfId="631" priority="7"/>
  </conditionalFormatting>
  <conditionalFormatting sqref="V50:V51">
    <cfRule type="duplicateValues" dxfId="630" priority="5"/>
    <cfRule type="duplicateValues" dxfId="629" priority="6"/>
  </conditionalFormatting>
  <conditionalFormatting sqref="Y49:Y51">
    <cfRule type="duplicateValues" dxfId="628" priority="4"/>
  </conditionalFormatting>
  <conditionalFormatting sqref="U50:U51">
    <cfRule type="duplicateValues" dxfId="627" priority="3"/>
  </conditionalFormatting>
  <conditionalFormatting sqref="Z4:Z20 Z22:Z49">
    <cfRule type="duplicateValues" dxfId="626" priority="2"/>
  </conditionalFormatting>
  <conditionalFormatting sqref="V6:V51">
    <cfRule type="duplicateValues" dxfId="625" priority="1"/>
  </conditionalFormatting>
  <pageMargins left="0.23" right="0.23" top="0.75" bottom="0.75" header="0.3" footer="0.3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AC183"/>
  <sheetViews>
    <sheetView zoomScale="80" zoomScaleNormal="80" workbookViewId="0">
      <selection activeCell="M3" sqref="M3:M6"/>
    </sheetView>
  </sheetViews>
  <sheetFormatPr defaultRowHeight="15" x14ac:dyDescent="0.25"/>
  <cols>
    <col min="3" max="3" width="11.7109375" customWidth="1"/>
    <col min="4" max="4" width="14.28515625" customWidth="1"/>
    <col min="5" max="5" width="11.28515625" customWidth="1"/>
    <col min="8" max="8" width="11.42578125" bestFit="1" customWidth="1"/>
    <col min="9" max="9" width="12.140625" bestFit="1" customWidth="1"/>
    <col min="10" max="10" width="18" bestFit="1" customWidth="1"/>
    <col min="13" max="13" width="12.140625" customWidth="1"/>
  </cols>
  <sheetData>
    <row r="1" spans="2:29" x14ac:dyDescent="0.25">
      <c r="H1" s="5" t="s">
        <v>6</v>
      </c>
      <c r="I1" s="5" t="s">
        <v>7</v>
      </c>
      <c r="J1" s="5" t="s">
        <v>8</v>
      </c>
      <c r="L1" s="4" t="s">
        <v>13</v>
      </c>
      <c r="M1">
        <v>100</v>
      </c>
    </row>
    <row r="2" spans="2:29" x14ac:dyDescent="0.25">
      <c r="B2" s="36" t="s">
        <v>48</v>
      </c>
      <c r="C2" s="35" t="s">
        <v>49</v>
      </c>
      <c r="D2" t="s">
        <v>50</v>
      </c>
      <c r="E2" t="s">
        <v>51</v>
      </c>
      <c r="F2" s="25" t="s">
        <v>11</v>
      </c>
      <c r="H2" t="s">
        <v>0</v>
      </c>
      <c r="I2" t="s">
        <v>0</v>
      </c>
      <c r="J2" t="s">
        <v>10</v>
      </c>
      <c r="L2" s="35" t="s">
        <v>58</v>
      </c>
      <c r="M2" s="42">
        <f>AC148</f>
        <v>2.7223776223776232E-2</v>
      </c>
    </row>
    <row r="3" spans="2:29" x14ac:dyDescent="0.25">
      <c r="B3" s="8" t="s">
        <v>52</v>
      </c>
      <c r="C3" t="s">
        <v>53</v>
      </c>
      <c r="D3" t="s">
        <v>0</v>
      </c>
      <c r="E3" t="s">
        <v>1</v>
      </c>
      <c r="F3" s="25" t="s">
        <v>0</v>
      </c>
      <c r="L3" s="35" t="s">
        <v>19</v>
      </c>
      <c r="M3" s="36">
        <f>SUM(J4:J147)</f>
        <v>2.9583917630093281E-2</v>
      </c>
      <c r="AB3">
        <f>MAX(AB4:AB148)</f>
        <v>2.2999999999999998</v>
      </c>
    </row>
    <row r="4" spans="2:29" x14ac:dyDescent="0.25">
      <c r="B4" s="9">
        <v>0.24</v>
      </c>
      <c r="C4" s="2">
        <v>0.753</v>
      </c>
      <c r="D4">
        <v>2.5019999999999998</v>
      </c>
      <c r="E4" s="2">
        <v>6.1589999999999998</v>
      </c>
      <c r="F4" s="35">
        <f t="shared" ref="F4:F67" si="0">IF(C4=MEDIAN($M$1-1,$M$1+1,C4),IF(D4&lt;=AVERAGE($AB$3,AVERAGEIF($B$4:$B$200,"&gt;20",$D$4:$D$200)),D4,0),0)</f>
        <v>0</v>
      </c>
      <c r="H4" s="6">
        <f>IF(MATCH(F4,$F$4:$F$200,0)&gt;=MATCH(MAX($F$4:$F$200),$F$4:$F$200,0),$M$4+($M$5-$M$4)*(1-EXP(-B4/$M$6)),0)</f>
        <v>0</v>
      </c>
      <c r="I4" s="6">
        <f>IF(H4&gt;0,D4-H4,0)</f>
        <v>0</v>
      </c>
      <c r="J4" s="6">
        <f t="shared" ref="J4:J12" si="1">I4^2</f>
        <v>0</v>
      </c>
      <c r="L4" t="s">
        <v>3</v>
      </c>
      <c r="M4" s="8">
        <v>4.0808792784972807</v>
      </c>
      <c r="AB4">
        <f t="array" ref="AB4">MAX(IF($C$4:$C$200=MEDIAN($M$1-1,$M$1+1,C4),$D$4:$D$200,0))</f>
        <v>0</v>
      </c>
      <c r="AC4">
        <f>ABS(D4-D5)</f>
        <v>0.85899999999999976</v>
      </c>
    </row>
    <row r="5" spans="2:29" x14ac:dyDescent="0.25">
      <c r="B5" s="8">
        <v>0.44400000000000001</v>
      </c>
      <c r="C5" s="2">
        <v>102</v>
      </c>
      <c r="D5">
        <v>1.643</v>
      </c>
      <c r="E5" s="2">
        <v>226.1</v>
      </c>
      <c r="F5" s="35">
        <f t="shared" si="0"/>
        <v>0</v>
      </c>
      <c r="H5" s="6">
        <f t="shared" ref="H5:H35" si="2">IF(MATCH(F5,$F$4:$F$200,0)&gt;=MATCH(MAX($F$4:$F$200),$F$4:$F$200,0),$M$4+($M$5-$M$4)*(1-EXP(-B5/$M$6)),0)</f>
        <v>0</v>
      </c>
      <c r="I5" s="6">
        <f t="shared" ref="I5:I35" si="3">IF(H5&gt;0,D5-H5,0)</f>
        <v>0</v>
      </c>
      <c r="J5" s="6">
        <f t="shared" si="1"/>
        <v>0</v>
      </c>
      <c r="L5" t="s">
        <v>4</v>
      </c>
      <c r="M5" s="9">
        <v>0.3382210009459351</v>
      </c>
      <c r="AB5">
        <f t="array" ref="AB5">MAX(IF($C$4:$C$200=MEDIAN($M$1-1,$M$1+1,C5),$D$4:$D$200,0))</f>
        <v>0</v>
      </c>
      <c r="AC5" s="35">
        <f t="shared" ref="AC5:AC68" si="4">ABS(D5-D6)</f>
        <v>0.42000000000000015</v>
      </c>
    </row>
    <row r="6" spans="2:29" x14ac:dyDescent="0.25">
      <c r="B6" s="2">
        <v>0.70399999999999996</v>
      </c>
      <c r="C6" s="2">
        <v>102</v>
      </c>
      <c r="D6">
        <v>2.0630000000000002</v>
      </c>
      <c r="E6" s="2">
        <v>226.1</v>
      </c>
      <c r="F6" s="35">
        <f t="shared" si="0"/>
        <v>0</v>
      </c>
      <c r="H6" s="6">
        <f t="shared" si="2"/>
        <v>0</v>
      </c>
      <c r="I6" s="6">
        <f t="shared" si="3"/>
        <v>0</v>
      </c>
      <c r="J6" s="6">
        <f t="shared" si="1"/>
        <v>0</v>
      </c>
      <c r="L6" t="s">
        <v>9</v>
      </c>
      <c r="M6" s="8">
        <v>2.7833520727667636</v>
      </c>
      <c r="AB6">
        <f t="array" ref="AB6">MAX(IF($C$4:$C$200=MEDIAN($M$1-1,$M$1+1,C6),$D$4:$D$200,0))</f>
        <v>0</v>
      </c>
      <c r="AC6" s="35">
        <f t="shared" si="4"/>
        <v>0.21899999999999986</v>
      </c>
    </row>
    <row r="7" spans="2:29" x14ac:dyDescent="0.25">
      <c r="B7" s="2">
        <v>1.0720000000000001</v>
      </c>
      <c r="C7" s="2">
        <v>99.73</v>
      </c>
      <c r="D7">
        <v>2.282</v>
      </c>
      <c r="E7" s="2">
        <v>230.2</v>
      </c>
      <c r="F7" s="35">
        <f t="shared" si="0"/>
        <v>0</v>
      </c>
      <c r="H7" s="6">
        <f t="shared" si="2"/>
        <v>0</v>
      </c>
      <c r="I7" s="6">
        <f t="shared" si="3"/>
        <v>0</v>
      </c>
      <c r="J7" s="6">
        <f t="shared" si="1"/>
        <v>0</v>
      </c>
      <c r="L7" s="35"/>
      <c r="M7" s="5"/>
      <c r="AB7">
        <f t="array" ref="AB7">MAX(IF($C$4:$C$200=MEDIAN($M$1-1,$M$1+1,C7),$D$4:$D$200,0))</f>
        <v>2.2999999999999998</v>
      </c>
      <c r="AC7" s="35">
        <f t="shared" si="4"/>
        <v>1.7999999999999794E-2</v>
      </c>
    </row>
    <row r="8" spans="2:29" x14ac:dyDescent="0.25">
      <c r="B8" s="2">
        <v>1.252</v>
      </c>
      <c r="C8" s="2">
        <v>99.73</v>
      </c>
      <c r="D8">
        <v>2.2999999999999998</v>
      </c>
      <c r="E8" s="2">
        <v>230.2</v>
      </c>
      <c r="F8" s="35">
        <f t="shared" si="0"/>
        <v>0</v>
      </c>
      <c r="H8" s="6">
        <f t="shared" si="2"/>
        <v>0</v>
      </c>
      <c r="I8" s="6">
        <f t="shared" si="3"/>
        <v>0</v>
      </c>
      <c r="J8" s="6">
        <f t="shared" si="1"/>
        <v>0</v>
      </c>
      <c r="AB8">
        <f t="array" ref="AB8">MAX(IF($C$4:$C$200=MEDIAN($M$1-1,$M$1+1,C8),$D$4:$D$200,0))</f>
        <v>2.2999999999999998</v>
      </c>
      <c r="AC8" s="35">
        <f t="shared" si="4"/>
        <v>0</v>
      </c>
    </row>
    <row r="9" spans="2:29" x14ac:dyDescent="0.25">
      <c r="B9" s="2">
        <v>1.4239999999999999</v>
      </c>
      <c r="C9" s="2">
        <v>99.74</v>
      </c>
      <c r="D9">
        <v>2.2999999999999998</v>
      </c>
      <c r="E9" s="2">
        <v>260.7</v>
      </c>
      <c r="F9" s="35">
        <f t="shared" si="0"/>
        <v>0</v>
      </c>
      <c r="H9" s="6">
        <f t="shared" si="2"/>
        <v>0</v>
      </c>
      <c r="I9" s="6">
        <f t="shared" si="3"/>
        <v>0</v>
      </c>
      <c r="J9" s="6">
        <f t="shared" si="1"/>
        <v>0</v>
      </c>
      <c r="AB9">
        <f t="array" ref="AB9">MAX(IF($C$4:$C$200=MEDIAN($M$1-1,$M$1+1,C9),$D$4:$D$200,0))</f>
        <v>2.2999999999999998</v>
      </c>
      <c r="AC9" s="35">
        <f t="shared" si="4"/>
        <v>2.9999999999996696E-3</v>
      </c>
    </row>
    <row r="10" spans="2:29" x14ac:dyDescent="0.25">
      <c r="B10" s="2">
        <v>1.58</v>
      </c>
      <c r="C10" s="2">
        <v>99.74</v>
      </c>
      <c r="D10">
        <v>2.2970000000000002</v>
      </c>
      <c r="E10" s="2">
        <v>260.7</v>
      </c>
      <c r="F10" s="35">
        <f t="shared" si="0"/>
        <v>0</v>
      </c>
      <c r="H10" s="6">
        <f t="shared" si="2"/>
        <v>0</v>
      </c>
      <c r="I10" s="6">
        <f t="shared" si="3"/>
        <v>0</v>
      </c>
      <c r="J10" s="6">
        <f t="shared" si="1"/>
        <v>0</v>
      </c>
      <c r="AB10">
        <f t="array" ref="AB10">MAX(IF($C$4:$C$200=MEDIAN($M$1-1,$M$1+1,C10),$D$4:$D$200,0))</f>
        <v>2.2999999999999998</v>
      </c>
      <c r="AC10" s="35">
        <f t="shared" si="4"/>
        <v>3.7000000000000366E-2</v>
      </c>
    </row>
    <row r="11" spans="2:29" x14ac:dyDescent="0.25">
      <c r="B11" s="2">
        <v>1.8879999999999999</v>
      </c>
      <c r="C11" s="2">
        <v>99.7</v>
      </c>
      <c r="D11">
        <v>2.2599999999999998</v>
      </c>
      <c r="E11" s="2">
        <v>285.60000000000002</v>
      </c>
      <c r="F11" s="35">
        <f t="shared" si="0"/>
        <v>0</v>
      </c>
      <c r="H11" s="6">
        <f t="shared" si="2"/>
        <v>0</v>
      </c>
      <c r="I11" s="6">
        <f t="shared" si="3"/>
        <v>0</v>
      </c>
      <c r="J11" s="6">
        <f t="shared" si="1"/>
        <v>0</v>
      </c>
      <c r="AB11">
        <f t="array" ref="AB11">MAX(IF($C$4:$C$200=MEDIAN($M$1-1,$M$1+1,C11),$D$4:$D$200,0))</f>
        <v>2.2599999999999998</v>
      </c>
      <c r="AC11" s="35">
        <f t="shared" si="4"/>
        <v>3.4999999999999698E-2</v>
      </c>
    </row>
    <row r="12" spans="2:29" ht="15.75" x14ac:dyDescent="0.3">
      <c r="B12" s="2">
        <v>2.1280000000000001</v>
      </c>
      <c r="C12" s="2">
        <v>99.7</v>
      </c>
      <c r="D12">
        <v>2.2250000000000001</v>
      </c>
      <c r="E12" s="2">
        <v>285.60000000000002</v>
      </c>
      <c r="F12" s="35">
        <f t="shared" si="0"/>
        <v>0</v>
      </c>
      <c r="H12" s="6">
        <f t="shared" si="2"/>
        <v>0</v>
      </c>
      <c r="I12" s="6">
        <f t="shared" si="3"/>
        <v>0</v>
      </c>
      <c r="J12" s="6">
        <f t="shared" si="1"/>
        <v>0</v>
      </c>
      <c r="L12" s="7"/>
      <c r="AB12">
        <f t="array" ref="AB12">MAX(IF($C$4:$C$200=MEDIAN($M$1-1,$M$1+1,C12),$D$4:$D$200,0))</f>
        <v>2.2599999999999998</v>
      </c>
      <c r="AC12" s="35">
        <f t="shared" si="4"/>
        <v>0.10099999999999998</v>
      </c>
    </row>
    <row r="13" spans="2:29" ht="15.75" x14ac:dyDescent="0.3">
      <c r="B13">
        <v>2.3359999999999999</v>
      </c>
      <c r="C13" s="2">
        <v>99.76</v>
      </c>
      <c r="D13">
        <v>2.1240000000000001</v>
      </c>
      <c r="E13" s="2">
        <v>301.8</v>
      </c>
      <c r="F13" s="35">
        <f t="shared" si="0"/>
        <v>0</v>
      </c>
      <c r="H13" s="6">
        <f t="shared" si="2"/>
        <v>0</v>
      </c>
      <c r="I13" s="6">
        <f t="shared" si="3"/>
        <v>0</v>
      </c>
      <c r="J13" s="6">
        <f t="shared" ref="J13:J76" si="5">I13^2</f>
        <v>0</v>
      </c>
      <c r="L13" s="7"/>
      <c r="AB13">
        <f t="array" ref="AB13">MAX(IF($C$4:$C$200=MEDIAN($M$1-1,$M$1+1,C13),$D$4:$D$200,0))</f>
        <v>2.1240000000000001</v>
      </c>
      <c r="AC13" s="35">
        <f t="shared" si="4"/>
        <v>0.13000000000000012</v>
      </c>
    </row>
    <row r="14" spans="2:29" x14ac:dyDescent="0.25">
      <c r="B14">
        <v>2.484</v>
      </c>
      <c r="C14" s="2">
        <v>99.76</v>
      </c>
      <c r="D14">
        <v>1.994</v>
      </c>
      <c r="E14" s="2">
        <v>301.8</v>
      </c>
      <c r="F14" s="35">
        <f t="shared" si="0"/>
        <v>0</v>
      </c>
      <c r="H14" s="6">
        <f t="shared" si="2"/>
        <v>0</v>
      </c>
      <c r="I14" s="6">
        <f t="shared" si="3"/>
        <v>0</v>
      </c>
      <c r="J14" s="6">
        <f t="shared" si="5"/>
        <v>0</v>
      </c>
      <c r="AB14">
        <f t="array" ref="AB14">MAX(IF($C$4:$C$200=MEDIAN($M$1-1,$M$1+1,C14),$D$4:$D$200,0))</f>
        <v>2.1240000000000001</v>
      </c>
      <c r="AC14" s="35">
        <f t="shared" si="4"/>
        <v>0</v>
      </c>
    </row>
    <row r="15" spans="2:29" x14ac:dyDescent="0.25">
      <c r="B15">
        <v>2.7</v>
      </c>
      <c r="C15" s="2">
        <v>99.76</v>
      </c>
      <c r="D15">
        <v>1.994</v>
      </c>
      <c r="E15" s="2">
        <v>301.8</v>
      </c>
      <c r="F15" s="35">
        <f t="shared" si="0"/>
        <v>0</v>
      </c>
      <c r="H15" s="6">
        <f t="shared" si="2"/>
        <v>0</v>
      </c>
      <c r="I15" s="6">
        <f t="shared" si="3"/>
        <v>0</v>
      </c>
      <c r="J15" s="6">
        <f t="shared" si="5"/>
        <v>0</v>
      </c>
      <c r="AB15">
        <f t="array" ref="AB15">MAX(IF($C$4:$C$200=MEDIAN($M$1-1,$M$1+1,C15),$D$4:$D$200,0))</f>
        <v>2.1240000000000001</v>
      </c>
      <c r="AC15" s="35">
        <f t="shared" si="4"/>
        <v>0.1419999999999999</v>
      </c>
    </row>
    <row r="16" spans="2:29" x14ac:dyDescent="0.25">
      <c r="B16">
        <v>2.976</v>
      </c>
      <c r="C16" s="2">
        <v>99.79</v>
      </c>
      <c r="D16">
        <v>1.8520000000000001</v>
      </c>
      <c r="E16" s="2">
        <v>310.8</v>
      </c>
      <c r="F16" s="35">
        <f t="shared" si="0"/>
        <v>0</v>
      </c>
      <c r="H16" s="6">
        <f t="shared" si="2"/>
        <v>0</v>
      </c>
      <c r="I16" s="6">
        <f t="shared" si="3"/>
        <v>0</v>
      </c>
      <c r="J16" s="6">
        <f t="shared" si="5"/>
        <v>0</v>
      </c>
      <c r="AB16">
        <f t="array" ref="AB16">MAX(IF($C$4:$C$200=MEDIAN($M$1-1,$M$1+1,C16),$D$4:$D$200,0))</f>
        <v>1.8520000000000001</v>
      </c>
      <c r="AC16" s="35">
        <f t="shared" si="4"/>
        <v>0.27700000000000014</v>
      </c>
    </row>
    <row r="17" spans="2:29" x14ac:dyDescent="0.25">
      <c r="B17">
        <v>3.3519999999999999</v>
      </c>
      <c r="C17" s="2">
        <v>99.93</v>
      </c>
      <c r="D17">
        <v>1.575</v>
      </c>
      <c r="E17" s="2">
        <v>315.10000000000002</v>
      </c>
      <c r="F17" s="35">
        <f t="shared" si="0"/>
        <v>0</v>
      </c>
      <c r="H17" s="6">
        <f>IF(MATCH(F17,$F$4:$F$200,0)&gt;=MATCH(MAX($F$4:$F$200),$F$4:$F$200,0),$M$4+($M$5-$M$4)*(1-EXP(-B17/$M$6)),0)</f>
        <v>0</v>
      </c>
      <c r="I17" s="6">
        <f t="shared" si="3"/>
        <v>0</v>
      </c>
      <c r="J17" s="6">
        <f t="shared" si="5"/>
        <v>0</v>
      </c>
      <c r="AB17">
        <f t="array" ref="AB17">MAX(IF($C$4:$C$200=MEDIAN($M$1-1,$M$1+1,C17),$D$4:$D$200,0))</f>
        <v>1.575</v>
      </c>
      <c r="AC17" s="35">
        <f t="shared" si="4"/>
        <v>0.15399999999999991</v>
      </c>
    </row>
    <row r="18" spans="2:29" x14ac:dyDescent="0.25">
      <c r="B18">
        <v>3.52</v>
      </c>
      <c r="C18" s="2">
        <v>99.93</v>
      </c>
      <c r="D18">
        <v>1.421</v>
      </c>
      <c r="E18" s="2">
        <v>315.10000000000002</v>
      </c>
      <c r="F18" s="35">
        <f t="shared" si="0"/>
        <v>0</v>
      </c>
      <c r="H18" s="6">
        <f t="shared" si="2"/>
        <v>0</v>
      </c>
      <c r="I18" s="6">
        <f t="shared" si="3"/>
        <v>0</v>
      </c>
      <c r="J18" s="6">
        <f t="shared" si="5"/>
        <v>0</v>
      </c>
      <c r="AB18">
        <f t="array" ref="AB18">MAX(IF($C$4:$C$200=MEDIAN($M$1-1,$M$1+1,C18),$D$4:$D$200,0))</f>
        <v>1.575</v>
      </c>
      <c r="AC18" s="35">
        <f t="shared" si="4"/>
        <v>0.10499999999999998</v>
      </c>
    </row>
    <row r="19" spans="2:29" x14ac:dyDescent="0.25">
      <c r="B19">
        <v>3.76</v>
      </c>
      <c r="C19" s="2">
        <v>99.94</v>
      </c>
      <c r="D19">
        <v>1.3160000000000001</v>
      </c>
      <c r="E19" s="2">
        <v>316.8</v>
      </c>
      <c r="F19" s="35">
        <f t="shared" si="0"/>
        <v>1.3160000000000001</v>
      </c>
      <c r="H19" s="6">
        <f t="shared" si="2"/>
        <v>1.3076064363037929</v>
      </c>
      <c r="I19" s="6">
        <f t="shared" si="3"/>
        <v>8.3935636962071403E-3</v>
      </c>
      <c r="J19" s="6">
        <f t="shared" si="5"/>
        <v>7.0451911522286464E-5</v>
      </c>
      <c r="AB19">
        <f t="array" ref="AB19">MAX(IF($C$4:$C$200=MEDIAN($M$1-1,$M$1+1,C19),$D$4:$D$200,0))</f>
        <v>1.3160000000000001</v>
      </c>
      <c r="AC19" s="35">
        <f t="shared" si="4"/>
        <v>0.121</v>
      </c>
    </row>
    <row r="20" spans="2:29" x14ac:dyDescent="0.25">
      <c r="B20">
        <v>4.016</v>
      </c>
      <c r="C20" s="2">
        <v>99.94</v>
      </c>
      <c r="D20">
        <v>1.1950000000000001</v>
      </c>
      <c r="E20" s="2">
        <v>316.8</v>
      </c>
      <c r="F20" s="35">
        <f t="shared" si="0"/>
        <v>1.1950000000000001</v>
      </c>
      <c r="H20" s="6">
        <f t="shared" si="2"/>
        <v>1.2224241742211337</v>
      </c>
      <c r="I20" s="6">
        <f t="shared" si="3"/>
        <v>-2.7424174221133635E-2</v>
      </c>
      <c r="J20" s="6">
        <f t="shared" si="5"/>
        <v>7.5208533171109055E-4</v>
      </c>
      <c r="AB20">
        <f t="array" ref="AB20">MAX(IF($C$4:$C$200=MEDIAN($M$1-1,$M$1+1,C20),$D$4:$D$200,0))</f>
        <v>1.3160000000000001</v>
      </c>
      <c r="AC20" s="35">
        <f t="shared" si="4"/>
        <v>9.8000000000000087E-2</v>
      </c>
    </row>
    <row r="21" spans="2:29" x14ac:dyDescent="0.25">
      <c r="B21">
        <v>4.24</v>
      </c>
      <c r="C21" s="2">
        <v>99.91</v>
      </c>
      <c r="D21">
        <v>1.097</v>
      </c>
      <c r="E21" s="2">
        <v>319.10000000000002</v>
      </c>
      <c r="F21" s="35">
        <f t="shared" si="0"/>
        <v>1.097</v>
      </c>
      <c r="H21" s="6">
        <f t="shared" si="2"/>
        <v>1.1540529346685409</v>
      </c>
      <c r="I21" s="6">
        <f t="shared" si="3"/>
        <v>-5.7052934668540889E-2</v>
      </c>
      <c r="J21" s="6">
        <f t="shared" si="5"/>
        <v>3.2550373542927949E-3</v>
      </c>
      <c r="AB21">
        <f t="array" ref="AB21">MAX(IF($C$4:$C$200=MEDIAN($M$1-1,$M$1+1,C21),$D$4:$D$200,0))</f>
        <v>1.097</v>
      </c>
      <c r="AC21" s="35">
        <f t="shared" si="4"/>
        <v>0</v>
      </c>
    </row>
    <row r="22" spans="2:29" x14ac:dyDescent="0.25">
      <c r="B22">
        <v>4.4000000000000004</v>
      </c>
      <c r="C22" s="2">
        <v>99.91</v>
      </c>
      <c r="D22">
        <v>1.097</v>
      </c>
      <c r="E22" s="2">
        <v>319.10000000000002</v>
      </c>
      <c r="F22" s="35">
        <f t="shared" si="0"/>
        <v>1.097</v>
      </c>
      <c r="H22" s="6">
        <f t="shared" si="2"/>
        <v>1.1084776172579227</v>
      </c>
      <c r="I22" s="6">
        <f t="shared" si="3"/>
        <v>-1.1477617257922734E-2</v>
      </c>
      <c r="J22" s="6">
        <f t="shared" si="5"/>
        <v>1.3173569791936578E-4</v>
      </c>
      <c r="AB22">
        <f t="array" ref="AB22">MAX(IF($C$4:$C$200=MEDIAN($M$1-1,$M$1+1,C22),$D$4:$D$200,0))</f>
        <v>1.097</v>
      </c>
      <c r="AC22" s="35">
        <f t="shared" si="4"/>
        <v>4.8000000000000043E-2</v>
      </c>
    </row>
    <row r="23" spans="2:29" x14ac:dyDescent="0.25">
      <c r="B23">
        <v>4.5599999999999996</v>
      </c>
      <c r="C23" s="2">
        <v>99.91</v>
      </c>
      <c r="D23">
        <v>1.0489999999999999</v>
      </c>
      <c r="E23" s="2">
        <v>319.10000000000002</v>
      </c>
      <c r="F23" s="35">
        <f t="shared" si="0"/>
        <v>1.0489999999999999</v>
      </c>
      <c r="H23" s="6">
        <f t="shared" si="2"/>
        <v>1.0654483016293153</v>
      </c>
      <c r="I23" s="6">
        <f t="shared" si="3"/>
        <v>-1.6448301629315321E-2</v>
      </c>
      <c r="J23" s="6">
        <f t="shared" si="5"/>
        <v>2.7054662648893704E-4</v>
      </c>
      <c r="AB23">
        <f t="array" ref="AB23">MAX(IF($C$4:$C$200=MEDIAN($M$1-1,$M$1+1,C23),$D$4:$D$200,0))</f>
        <v>1.097</v>
      </c>
      <c r="AC23" s="35">
        <f t="shared" si="4"/>
        <v>5.6599999999999984E-2</v>
      </c>
    </row>
    <row r="24" spans="2:29" x14ac:dyDescent="0.25">
      <c r="B24">
        <v>4.8680000000000003</v>
      </c>
      <c r="C24" s="2">
        <v>99.91</v>
      </c>
      <c r="D24">
        <v>0.99239999999999995</v>
      </c>
      <c r="E24" s="2">
        <v>321.60000000000002</v>
      </c>
      <c r="F24" s="35">
        <f t="shared" si="0"/>
        <v>0.99239999999999995</v>
      </c>
      <c r="H24" s="6">
        <f t="shared" si="2"/>
        <v>0.98926755206525918</v>
      </c>
      <c r="I24" s="6">
        <f t="shared" si="3"/>
        <v>3.1324479347407674E-3</v>
      </c>
      <c r="J24" s="6">
        <f t="shared" si="5"/>
        <v>9.8122300638616995E-6</v>
      </c>
      <c r="AB24">
        <f t="array" ref="AB24">MAX(IF($C$4:$C$200=MEDIAN($M$1-1,$M$1+1,C24),$D$4:$D$200,0))</f>
        <v>1.097</v>
      </c>
      <c r="AC24" s="35">
        <f t="shared" si="4"/>
        <v>4.269999999999996E-2</v>
      </c>
    </row>
    <row r="25" spans="2:29" x14ac:dyDescent="0.25">
      <c r="B25">
        <v>5.1440000000000001</v>
      </c>
      <c r="C25" s="2">
        <v>99.96</v>
      </c>
      <c r="D25">
        <v>0.94969999999999999</v>
      </c>
      <c r="E25" s="2">
        <v>323.7</v>
      </c>
      <c r="F25" s="35">
        <f t="shared" si="0"/>
        <v>0.94969999999999999</v>
      </c>
      <c r="H25" s="6">
        <f t="shared" si="2"/>
        <v>0.92780673094157295</v>
      </c>
      <c r="I25" s="6">
        <f t="shared" si="3"/>
        <v>2.1893269058427034E-2</v>
      </c>
      <c r="J25" s="6">
        <f t="shared" si="5"/>
        <v>4.7931523006467853E-4</v>
      </c>
      <c r="AB25">
        <f t="array" ref="AB25">MAX(IF($C$4:$C$200=MEDIAN($M$1-1,$M$1+1,C25),$D$4:$D$200,0))</f>
        <v>0.94969999999999999</v>
      </c>
      <c r="AC25" s="35">
        <f t="shared" si="4"/>
        <v>2.9100000000000015E-2</v>
      </c>
    </row>
    <row r="26" spans="2:29" x14ac:dyDescent="0.25">
      <c r="B26">
        <v>5.4160000000000004</v>
      </c>
      <c r="C26" s="2">
        <v>99.96</v>
      </c>
      <c r="D26">
        <v>0.92059999999999997</v>
      </c>
      <c r="E26" s="2">
        <v>323.7</v>
      </c>
      <c r="F26" s="35">
        <f t="shared" si="0"/>
        <v>0.92059999999999997</v>
      </c>
      <c r="H26" s="6">
        <f t="shared" si="2"/>
        <v>0.87291586935905352</v>
      </c>
      <c r="I26" s="6">
        <f t="shared" si="3"/>
        <v>4.7684130640946454E-2</v>
      </c>
      <c r="J26" s="6">
        <f t="shared" si="5"/>
        <v>2.2737763149828483E-3</v>
      </c>
      <c r="AB26">
        <f t="array" ref="AB26">MAX(IF($C$4:$C$200=MEDIAN($M$1-1,$M$1+1,C26),$D$4:$D$200,0))</f>
        <v>0.94969999999999999</v>
      </c>
      <c r="AC26" s="35">
        <f t="shared" si="4"/>
        <v>3.1499999999999972E-2</v>
      </c>
    </row>
    <row r="27" spans="2:29" x14ac:dyDescent="0.25">
      <c r="B27">
        <v>5.6</v>
      </c>
      <c r="C27" s="2">
        <v>99.94</v>
      </c>
      <c r="D27">
        <v>0.8891</v>
      </c>
      <c r="E27" s="2">
        <v>325.60000000000002</v>
      </c>
      <c r="F27" s="35">
        <f t="shared" si="0"/>
        <v>0.8891</v>
      </c>
      <c r="H27" s="6">
        <f t="shared" si="2"/>
        <v>0.83871164502290618</v>
      </c>
      <c r="I27" s="6">
        <f t="shared" si="3"/>
        <v>5.0388354977093819E-2</v>
      </c>
      <c r="J27" s="6">
        <f t="shared" si="5"/>
        <v>2.5389863172976153E-3</v>
      </c>
      <c r="AB27">
        <f t="array" ref="AB27">MAX(IF($C$4:$C$200=MEDIAN($M$1-1,$M$1+1,C27),$D$4:$D$200,0))</f>
        <v>1.3160000000000001</v>
      </c>
      <c r="AC27" s="35">
        <f t="shared" si="4"/>
        <v>4.9599999999999977E-2</v>
      </c>
    </row>
    <row r="28" spans="2:29" x14ac:dyDescent="0.25">
      <c r="B28">
        <v>5.8920000000000003</v>
      </c>
      <c r="C28" s="2">
        <v>99.94</v>
      </c>
      <c r="D28">
        <v>0.83950000000000002</v>
      </c>
      <c r="E28" s="2">
        <v>325.60000000000002</v>
      </c>
      <c r="F28" s="35">
        <f t="shared" si="0"/>
        <v>0.83950000000000002</v>
      </c>
      <c r="H28" s="6">
        <f t="shared" si="2"/>
        <v>0.78886579466691087</v>
      </c>
      <c r="I28" s="6">
        <f t="shared" si="3"/>
        <v>5.0634205333089155E-2</v>
      </c>
      <c r="J28" s="6">
        <f t="shared" si="5"/>
        <v>2.563822749713434E-3</v>
      </c>
      <c r="AB28">
        <f t="array" ref="AB28">MAX(IF($C$4:$C$200=MEDIAN($M$1-1,$M$1+1,C28),$D$4:$D$200,0))</f>
        <v>1.3160000000000001</v>
      </c>
      <c r="AC28" s="35">
        <f t="shared" si="4"/>
        <v>8.0000000000000071E-2</v>
      </c>
    </row>
    <row r="29" spans="2:29" x14ac:dyDescent="0.25">
      <c r="B29">
        <v>6.2</v>
      </c>
      <c r="C29" s="2">
        <v>99.91</v>
      </c>
      <c r="D29">
        <v>0.75949999999999995</v>
      </c>
      <c r="E29" s="2">
        <v>327.7</v>
      </c>
      <c r="F29" s="35">
        <f t="shared" si="0"/>
        <v>0.75949999999999995</v>
      </c>
      <c r="H29" s="6">
        <f t="shared" si="2"/>
        <v>0.7416584660358998</v>
      </c>
      <c r="I29" s="6">
        <f t="shared" si="3"/>
        <v>1.7841533964100154E-2</v>
      </c>
      <c r="J29" s="6">
        <f t="shared" si="5"/>
        <v>3.1832033419213932E-4</v>
      </c>
      <c r="AB29">
        <f t="array" ref="AB29">MAX(IF($C$4:$C$200=MEDIAN($M$1-1,$M$1+1,C29),$D$4:$D$200,0))</f>
        <v>1.097</v>
      </c>
      <c r="AC29" s="35">
        <f t="shared" si="4"/>
        <v>0</v>
      </c>
    </row>
    <row r="30" spans="2:29" x14ac:dyDescent="0.25">
      <c r="B30">
        <v>6.4</v>
      </c>
      <c r="C30" s="2">
        <v>99.91</v>
      </c>
      <c r="D30">
        <v>0.75949999999999995</v>
      </c>
      <c r="E30" s="2">
        <v>327.7</v>
      </c>
      <c r="F30" s="35">
        <f t="shared" si="0"/>
        <v>0.75949999999999995</v>
      </c>
      <c r="H30" s="6">
        <f t="shared" si="2"/>
        <v>0.71368616354662828</v>
      </c>
      <c r="I30" s="6">
        <f t="shared" si="3"/>
        <v>4.581383645337167E-2</v>
      </c>
      <c r="J30" s="6">
        <f t="shared" si="5"/>
        <v>2.0989076105762867E-3</v>
      </c>
      <c r="AB30">
        <f t="array" ref="AB30">MAX(IF($C$4:$C$200=MEDIAN($M$1-1,$M$1+1,C30),$D$4:$D$200,0))</f>
        <v>1.097</v>
      </c>
      <c r="AC30" s="35">
        <f t="shared" si="4"/>
        <v>5.2799999999999958E-2</v>
      </c>
    </row>
    <row r="31" spans="2:29" x14ac:dyDescent="0.25">
      <c r="B31">
        <v>6.5919999999999996</v>
      </c>
      <c r="C31" s="2">
        <v>99.95</v>
      </c>
      <c r="D31">
        <v>0.70669999999999999</v>
      </c>
      <c r="E31" s="2">
        <v>330</v>
      </c>
      <c r="F31" s="35">
        <f t="shared" si="0"/>
        <v>0.70669999999999999</v>
      </c>
      <c r="H31" s="6">
        <f t="shared" si="2"/>
        <v>0.68865911263246726</v>
      </c>
      <c r="I31" s="6">
        <f t="shared" si="3"/>
        <v>1.8040887367532732E-2</v>
      </c>
      <c r="J31" s="6">
        <f t="shared" si="5"/>
        <v>3.254736170080021E-4</v>
      </c>
      <c r="Q31" s="3"/>
      <c r="AB31">
        <f t="array" ref="AB31">MAX(IF($C$4:$C$200=MEDIAN($M$1-1,$M$1+1,C31),$D$4:$D$200,0))</f>
        <v>0.70669999999999999</v>
      </c>
      <c r="AC31" s="35">
        <f t="shared" si="4"/>
        <v>4.5799999999999952E-2</v>
      </c>
    </row>
    <row r="32" spans="2:29" x14ac:dyDescent="0.25">
      <c r="B32">
        <v>6.88</v>
      </c>
      <c r="C32" s="2">
        <v>99.95</v>
      </c>
      <c r="D32">
        <v>0.66090000000000004</v>
      </c>
      <c r="E32" s="2">
        <v>330</v>
      </c>
      <c r="F32" s="35">
        <f t="shared" si="0"/>
        <v>0.66090000000000004</v>
      </c>
      <c r="H32" s="6">
        <f t="shared" si="2"/>
        <v>0.65421137843382926</v>
      </c>
      <c r="I32" s="6">
        <f t="shared" si="3"/>
        <v>6.6886215661707826E-3</v>
      </c>
      <c r="J32" s="6">
        <f t="shared" si="5"/>
        <v>4.4737658455444895E-5</v>
      </c>
      <c r="AB32">
        <f t="array" ref="AB32">MAX(IF($C$4:$C$200=MEDIAN($M$1-1,$M$1+1,C32),$D$4:$D$200,0))</f>
        <v>0.70669999999999999</v>
      </c>
      <c r="AC32" s="35">
        <f t="shared" si="4"/>
        <v>2.9800000000000049E-2</v>
      </c>
    </row>
    <row r="33" spans="2:29" x14ac:dyDescent="0.25">
      <c r="B33">
        <v>7.1520000000000001</v>
      </c>
      <c r="C33" s="2">
        <v>99.98</v>
      </c>
      <c r="D33">
        <v>0.63109999999999999</v>
      </c>
      <c r="E33" s="2">
        <v>330.1</v>
      </c>
      <c r="F33" s="35">
        <f t="shared" si="0"/>
        <v>0.63109999999999999</v>
      </c>
      <c r="H33" s="6">
        <f t="shared" si="2"/>
        <v>0.62479244376554233</v>
      </c>
      <c r="I33" s="6">
        <f t="shared" si="3"/>
        <v>6.3075562344576674E-3</v>
      </c>
      <c r="J33" s="6">
        <f t="shared" si="5"/>
        <v>3.9785265650845789E-5</v>
      </c>
      <c r="AB33">
        <f t="array" ref="AB33">MAX(IF($C$4:$C$200=MEDIAN($M$1-1,$M$1+1,C33),$D$4:$D$200,0))</f>
        <v>0.63109999999999999</v>
      </c>
      <c r="AC33" s="35">
        <f t="shared" si="4"/>
        <v>3.5900000000000043E-2</v>
      </c>
    </row>
    <row r="34" spans="2:29" x14ac:dyDescent="0.25">
      <c r="B34">
        <v>7.36</v>
      </c>
      <c r="C34" s="2">
        <v>99.98</v>
      </c>
      <c r="D34">
        <v>0.59519999999999995</v>
      </c>
      <c r="E34" s="2">
        <v>330.1</v>
      </c>
      <c r="F34" s="35">
        <f t="shared" si="0"/>
        <v>0.59519999999999995</v>
      </c>
      <c r="H34" s="6">
        <f t="shared" si="2"/>
        <v>0.60415757405786508</v>
      </c>
      <c r="I34" s="6">
        <f t="shared" si="3"/>
        <v>-8.9575740578651253E-3</v>
      </c>
      <c r="J34" s="6">
        <f t="shared" si="5"/>
        <v>8.0238133002138288E-5</v>
      </c>
      <c r="AB34">
        <f t="array" ref="AB34">MAX(IF($C$4:$C$200=MEDIAN($M$1-1,$M$1+1,C34),$D$4:$D$200,0))</f>
        <v>0.63109999999999999</v>
      </c>
      <c r="AC34" s="35">
        <f t="shared" si="4"/>
        <v>4.4599999999999973E-2</v>
      </c>
    </row>
    <row r="35" spans="2:29" x14ac:dyDescent="0.25">
      <c r="B35">
        <v>7.8479999999999999</v>
      </c>
      <c r="C35" s="2">
        <v>99.96</v>
      </c>
      <c r="D35">
        <v>0.55059999999999998</v>
      </c>
      <c r="E35" s="2">
        <v>329.6</v>
      </c>
      <c r="F35" s="35">
        <f t="shared" si="0"/>
        <v>0.55059999999999998</v>
      </c>
      <c r="H35" s="6">
        <f t="shared" si="2"/>
        <v>0.56139007694585308</v>
      </c>
      <c r="I35" s="6">
        <f t="shared" si="3"/>
        <v>-1.07900769458531E-2</v>
      </c>
      <c r="J35" s="6">
        <f t="shared" si="5"/>
        <v>1.1642576049743056E-4</v>
      </c>
      <c r="AB35">
        <f t="array" ref="AB35">MAX(IF($C$4:$C$200=MEDIAN($M$1-1,$M$1+1,C35),$D$4:$D$200,0))</f>
        <v>0.94969999999999999</v>
      </c>
      <c r="AC35" s="35">
        <f t="shared" si="4"/>
        <v>2.1900000000000031E-2</v>
      </c>
    </row>
    <row r="36" spans="2:29" x14ac:dyDescent="0.25">
      <c r="B36">
        <v>8.0519999999999996</v>
      </c>
      <c r="C36" s="2">
        <v>99.96</v>
      </c>
      <c r="D36">
        <v>0.52869999999999995</v>
      </c>
      <c r="E36" s="2">
        <v>330.2</v>
      </c>
      <c r="F36" s="35">
        <f t="shared" si="0"/>
        <v>0.52869999999999995</v>
      </c>
      <c r="H36" s="6">
        <f t="shared" ref="H36:H67" si="6">IF(MATCH(F36,$F$4:$F$200,0)&gt;=MATCH(MAX($F$4:$F$200),$F$4:$F$200,0),$M$4+($M$5-$M$4)*(1-EXP(-B36/$M$6)),0)</f>
        <v>0.54561839954682512</v>
      </c>
      <c r="I36" s="6">
        <f t="shared" ref="I36:I67" si="7">IF(H36&gt;0,D36-H36,0)</f>
        <v>-1.6918399546825169E-2</v>
      </c>
      <c r="J36" s="6">
        <f t="shared" si="5"/>
        <v>2.8623224322601407E-4</v>
      </c>
      <c r="AB36">
        <f t="array" ref="AB36">MAX(IF($C$4:$C$200=MEDIAN($M$1-1,$M$1+1,C36),$D$4:$D$200,0))</f>
        <v>0.94969999999999999</v>
      </c>
      <c r="AC36" s="35">
        <f t="shared" si="4"/>
        <v>1.5899999999999914E-2</v>
      </c>
    </row>
    <row r="37" spans="2:29" x14ac:dyDescent="0.25">
      <c r="B37">
        <v>8.2119999999999997</v>
      </c>
      <c r="C37" s="2">
        <v>99.96</v>
      </c>
      <c r="D37" s="35">
        <v>0.51280000000000003</v>
      </c>
      <c r="E37" s="2">
        <v>330.2</v>
      </c>
      <c r="F37" s="35">
        <f t="shared" si="0"/>
        <v>0.51280000000000003</v>
      </c>
      <c r="H37" s="6">
        <f t="shared" si="6"/>
        <v>0.53403243204461859</v>
      </c>
      <c r="I37" s="6">
        <f t="shared" si="7"/>
        <v>-2.1232432044618554E-2</v>
      </c>
      <c r="J37" s="6">
        <f t="shared" si="5"/>
        <v>4.5081617052934486E-4</v>
      </c>
      <c r="AB37">
        <f t="array" ref="AB37">MAX(IF($C$4:$C$200=MEDIAN($M$1-1,$M$1+1,C37),$D$4:$D$200,0))</f>
        <v>0.94969999999999999</v>
      </c>
      <c r="AC37" s="35">
        <f t="shared" si="4"/>
        <v>0</v>
      </c>
    </row>
    <row r="38" spans="2:29" x14ac:dyDescent="0.25">
      <c r="B38">
        <v>8.3919999999999995</v>
      </c>
      <c r="C38" s="2">
        <v>99.96</v>
      </c>
      <c r="D38" s="35">
        <v>0.51280000000000003</v>
      </c>
      <c r="E38" s="2">
        <v>330.2</v>
      </c>
      <c r="F38" s="35">
        <f t="shared" si="0"/>
        <v>0.51280000000000003</v>
      </c>
      <c r="H38" s="6">
        <f t="shared" si="6"/>
        <v>0.52177004220787149</v>
      </c>
      <c r="I38" s="6">
        <f t="shared" si="7"/>
        <v>-8.9700422078714537E-3</v>
      </c>
      <c r="J38" s="6">
        <f t="shared" si="5"/>
        <v>8.0461657210995384E-5</v>
      </c>
      <c r="AB38">
        <f t="array" ref="AB38">MAX(IF($C$4:$C$200=MEDIAN($M$1-1,$M$1+1,C38),$D$4:$D$200,0))</f>
        <v>0.94969999999999999</v>
      </c>
      <c r="AC38" s="35">
        <f t="shared" si="4"/>
        <v>2.1900000000000031E-2</v>
      </c>
    </row>
    <row r="39" spans="2:29" x14ac:dyDescent="0.25">
      <c r="B39">
        <v>8.5839999999999996</v>
      </c>
      <c r="C39" s="2">
        <v>99.96</v>
      </c>
      <c r="D39">
        <v>0.4909</v>
      </c>
      <c r="E39" s="2">
        <v>331.2</v>
      </c>
      <c r="F39" s="35">
        <f t="shared" si="0"/>
        <v>0.4909</v>
      </c>
      <c r="H39" s="6">
        <f t="shared" si="6"/>
        <v>0.50953537529739412</v>
      </c>
      <c r="I39" s="6">
        <f t="shared" si="7"/>
        <v>-1.8635375297394119E-2</v>
      </c>
      <c r="J39" s="6">
        <f t="shared" si="5"/>
        <v>3.4727721247472694E-4</v>
      </c>
      <c r="AB39">
        <f t="array" ref="AB39">MAX(IF($C$4:$C$200=MEDIAN($M$1-1,$M$1+1,C39),$D$4:$D$200,0))</f>
        <v>0.94969999999999999</v>
      </c>
      <c r="AC39" s="35">
        <f t="shared" si="4"/>
        <v>1.4000000000000012E-2</v>
      </c>
    </row>
    <row r="40" spans="2:29" x14ac:dyDescent="0.25">
      <c r="B40">
        <v>8.9</v>
      </c>
      <c r="C40" s="2">
        <v>99.96</v>
      </c>
      <c r="D40">
        <v>0.47689999999999999</v>
      </c>
      <c r="E40" s="2">
        <v>331.2</v>
      </c>
      <c r="F40" s="35">
        <f t="shared" si="0"/>
        <v>0.47689999999999999</v>
      </c>
      <c r="H40" s="6">
        <f t="shared" si="6"/>
        <v>0.49114914209580274</v>
      </c>
      <c r="I40" s="6">
        <f t="shared" si="7"/>
        <v>-1.4249142095802747E-2</v>
      </c>
      <c r="J40" s="6">
        <f t="shared" si="5"/>
        <v>2.0303805046637791E-4</v>
      </c>
      <c r="AB40">
        <f t="array" ref="AB40">MAX(IF($C$4:$C$200=MEDIAN($M$1-1,$M$1+1,C40),$D$4:$D$200,0))</f>
        <v>0.94969999999999999</v>
      </c>
      <c r="AC40" s="35">
        <f t="shared" si="4"/>
        <v>1.8100000000000005E-2</v>
      </c>
    </row>
    <row r="41" spans="2:29" x14ac:dyDescent="0.25">
      <c r="B41">
        <v>9.1760000000000002</v>
      </c>
      <c r="C41" s="2">
        <v>99.94</v>
      </c>
      <c r="D41">
        <v>0.45879999999999999</v>
      </c>
      <c r="E41" s="2">
        <v>331.8</v>
      </c>
      <c r="F41" s="35">
        <f t="shared" si="0"/>
        <v>0.45879999999999999</v>
      </c>
      <c r="H41" s="6">
        <f t="shared" si="6"/>
        <v>0.4767122495082754</v>
      </c>
      <c r="I41" s="6">
        <f t="shared" si="7"/>
        <v>-1.7912249508275413E-2</v>
      </c>
      <c r="J41" s="6">
        <f t="shared" si="5"/>
        <v>3.2084868244671279E-4</v>
      </c>
      <c r="AB41">
        <f t="array" ref="AB41">MAX(IF($C$4:$C$200=MEDIAN($M$1-1,$M$1+1,C41),$D$4:$D$200,0))</f>
        <v>1.3160000000000001</v>
      </c>
      <c r="AC41" s="35">
        <f t="shared" si="4"/>
        <v>1.5600000000000003E-2</v>
      </c>
    </row>
    <row r="42" spans="2:29" x14ac:dyDescent="0.25">
      <c r="B42">
        <v>9.3800000000000008</v>
      </c>
      <c r="C42" s="2">
        <v>99.94</v>
      </c>
      <c r="D42">
        <v>0.44319999999999998</v>
      </c>
      <c r="E42" s="2">
        <v>331.8</v>
      </c>
      <c r="F42" s="35">
        <f t="shared" si="0"/>
        <v>0.44319999999999998</v>
      </c>
      <c r="H42" s="6">
        <f t="shared" si="6"/>
        <v>0.46692487513695013</v>
      </c>
      <c r="I42" s="6">
        <f t="shared" si="7"/>
        <v>-2.3724875136950152E-2</v>
      </c>
      <c r="J42" s="6">
        <f t="shared" si="5"/>
        <v>5.6286970026387544E-4</v>
      </c>
      <c r="AB42">
        <f t="array" ref="AB42">MAX(IF($C$4:$C$200=MEDIAN($M$1-1,$M$1+1,C42),$D$4:$D$200,0))</f>
        <v>1.3160000000000001</v>
      </c>
      <c r="AC42" s="35">
        <f t="shared" si="4"/>
        <v>4.2999999999999705E-3</v>
      </c>
    </row>
    <row r="43" spans="2:29" x14ac:dyDescent="0.25">
      <c r="B43">
        <v>9.5239999999999991</v>
      </c>
      <c r="C43" s="2">
        <v>99.9</v>
      </c>
      <c r="D43">
        <v>0.43890000000000001</v>
      </c>
      <c r="E43" s="2">
        <v>331.9</v>
      </c>
      <c r="F43" s="35">
        <f t="shared" si="0"/>
        <v>0.43890000000000001</v>
      </c>
      <c r="H43" s="6">
        <f>IF(MATCH(F43,$F$4:$F$200,0)&gt;=MATCH(MAX($F$4:$F$200),$F$4:$F$200,0),$M$4+($M$5-$M$4)*(1-EXP(-B43/$M$6)),0)</f>
        <v>0.4604355425461617</v>
      </c>
      <c r="I43" s="6">
        <f t="shared" si="7"/>
        <v>-2.153554254616169E-2</v>
      </c>
      <c r="J43" s="6">
        <f t="shared" si="5"/>
        <v>4.6377959275754031E-4</v>
      </c>
      <c r="AB43">
        <f t="array" ref="AB43">MAX(IF($C$4:$C$200=MEDIAN($M$1-1,$M$1+1,C43),$D$4:$D$200,0))</f>
        <v>0.43890000000000001</v>
      </c>
      <c r="AC43" s="35">
        <f t="shared" si="4"/>
        <v>9.3000000000000305E-3</v>
      </c>
    </row>
    <row r="44" spans="2:29" x14ac:dyDescent="0.25">
      <c r="B44">
        <v>9.7639999999999993</v>
      </c>
      <c r="C44" s="2">
        <v>99.9</v>
      </c>
      <c r="D44">
        <v>0.42959999999999998</v>
      </c>
      <c r="E44" s="2">
        <v>331.9</v>
      </c>
      <c r="F44" s="35">
        <f t="shared" si="0"/>
        <v>0.42959999999999998</v>
      </c>
      <c r="H44" s="6">
        <f t="shared" si="6"/>
        <v>0.45033890963134127</v>
      </c>
      <c r="I44" s="6">
        <f t="shared" si="7"/>
        <v>-2.0738909631341285E-2</v>
      </c>
      <c r="J44" s="6">
        <f t="shared" si="5"/>
        <v>4.3010237269694028E-4</v>
      </c>
      <c r="AB44">
        <f t="array" ref="AB44">MAX(IF($C$4:$C$200=MEDIAN($M$1-1,$M$1+1,C44),$D$4:$D$200,0))</f>
        <v>0.43890000000000001</v>
      </c>
      <c r="AC44" s="35">
        <f t="shared" si="4"/>
        <v>6.8999999999999617E-3</v>
      </c>
    </row>
    <row r="45" spans="2:29" x14ac:dyDescent="0.25">
      <c r="B45">
        <v>10.084</v>
      </c>
      <c r="C45" s="2">
        <v>99.87</v>
      </c>
      <c r="D45">
        <v>0.42270000000000002</v>
      </c>
      <c r="E45" s="2">
        <v>332.2</v>
      </c>
      <c r="F45" s="35">
        <f t="shared" si="0"/>
        <v>0.42270000000000002</v>
      </c>
      <c r="H45" s="6">
        <f t="shared" si="6"/>
        <v>0.43816217843761773</v>
      </c>
      <c r="I45" s="6">
        <f t="shared" si="7"/>
        <v>-1.5462178437617713E-2</v>
      </c>
      <c r="J45" s="6">
        <f t="shared" si="5"/>
        <v>2.3907896203673014E-4</v>
      </c>
      <c r="AB45">
        <f t="array" ref="AB45">MAX(IF($C$4:$C$200=MEDIAN($M$1-1,$M$1+1,C45),$D$4:$D$200,0))</f>
        <v>0.42270000000000002</v>
      </c>
      <c r="AC45" s="35">
        <f t="shared" si="4"/>
        <v>5.0999999999999934E-3</v>
      </c>
    </row>
    <row r="46" spans="2:29" x14ac:dyDescent="0.25">
      <c r="B46">
        <v>10.268000000000001</v>
      </c>
      <c r="C46" s="2">
        <v>99.87</v>
      </c>
      <c r="D46">
        <v>0.41760000000000003</v>
      </c>
      <c r="E46" s="2">
        <v>332.2</v>
      </c>
      <c r="F46" s="35">
        <f t="shared" si="0"/>
        <v>0.41760000000000003</v>
      </c>
      <c r="H46" s="6">
        <f t="shared" si="6"/>
        <v>0.43176897989152074</v>
      </c>
      <c r="I46" s="6">
        <f t="shared" si="7"/>
        <v>-1.4168979891520717E-2</v>
      </c>
      <c r="J46" s="6">
        <f t="shared" si="5"/>
        <v>2.0075999116631841E-4</v>
      </c>
      <c r="S46" s="34"/>
      <c r="V46" s="25"/>
      <c r="AB46">
        <f t="array" ref="AB46">MAX(IF($C$4:$C$200=MEDIAN($M$1-1,$M$1+1,C46),$D$4:$D$200,0))</f>
        <v>0.42270000000000002</v>
      </c>
      <c r="AC46" s="35">
        <f t="shared" si="4"/>
        <v>5.1000000000000489E-3</v>
      </c>
    </row>
    <row r="47" spans="2:29" x14ac:dyDescent="0.25">
      <c r="B47">
        <v>10.448</v>
      </c>
      <c r="C47" s="2">
        <v>99.85</v>
      </c>
      <c r="D47">
        <v>0.41249999999999998</v>
      </c>
      <c r="E47" s="2">
        <v>332.9</v>
      </c>
      <c r="F47" s="35">
        <f t="shared" si="0"/>
        <v>0.41249999999999998</v>
      </c>
      <c r="H47" s="6">
        <f t="shared" si="6"/>
        <v>0.42591068152847766</v>
      </c>
      <c r="I47" s="6">
        <f t="shared" si="7"/>
        <v>-1.3410681528477686E-2</v>
      </c>
      <c r="J47" s="6">
        <f t="shared" si="5"/>
        <v>1.7984637905825261E-4</v>
      </c>
      <c r="S47" s="30"/>
      <c r="T47" s="31"/>
      <c r="U47" s="30"/>
      <c r="AB47">
        <f t="array" ref="AB47">MAX(IF($C$4:$C$200=MEDIAN($M$1-1,$M$1+1,C47),$D$4:$D$200,0))</f>
        <v>0.41249999999999998</v>
      </c>
      <c r="AC47" s="35">
        <f t="shared" si="4"/>
        <v>1.4499999999999957E-2</v>
      </c>
    </row>
    <row r="48" spans="2:29" x14ac:dyDescent="0.25">
      <c r="B48">
        <v>10.664</v>
      </c>
      <c r="C48" s="2">
        <v>99.85</v>
      </c>
      <c r="D48">
        <v>0.39800000000000002</v>
      </c>
      <c r="E48" s="2">
        <v>332.9</v>
      </c>
      <c r="F48" s="35">
        <f t="shared" si="0"/>
        <v>0.39800000000000002</v>
      </c>
      <c r="H48" s="6">
        <f t="shared" si="6"/>
        <v>0.41936294017455111</v>
      </c>
      <c r="I48" s="6">
        <f t="shared" si="7"/>
        <v>-2.1362940174551093E-2</v>
      </c>
      <c r="J48" s="6">
        <f t="shared" si="5"/>
        <v>4.563752129014491E-4</v>
      </c>
      <c r="AB48">
        <f t="array" ref="AB48">MAX(IF($C$4:$C$200=MEDIAN($M$1-1,$M$1+1,C48),$D$4:$D$200,0))</f>
        <v>0.41249999999999998</v>
      </c>
      <c r="AC48" s="35">
        <f t="shared" si="4"/>
        <v>1.0800000000000032E-2</v>
      </c>
    </row>
    <row r="49" spans="2:29" x14ac:dyDescent="0.25">
      <c r="B49">
        <v>10.964</v>
      </c>
      <c r="C49" s="2">
        <v>99.93</v>
      </c>
      <c r="D49">
        <v>0.38719999999999999</v>
      </c>
      <c r="E49" s="2">
        <v>333.8</v>
      </c>
      <c r="F49" s="35">
        <f t="shared" si="0"/>
        <v>0.38719999999999999</v>
      </c>
      <c r="H49" s="6">
        <f t="shared" si="6"/>
        <v>0.41107200039492042</v>
      </c>
      <c r="I49" s="6">
        <f t="shared" si="7"/>
        <v>-2.3872000394920434E-2</v>
      </c>
      <c r="J49" s="6">
        <f t="shared" si="5"/>
        <v>5.6987240285508135E-4</v>
      </c>
      <c r="AB49">
        <f t="array" ref="AB49">MAX(IF($C$4:$C$200=MEDIAN($M$1-1,$M$1+1,C49),$D$4:$D$200,0))</f>
        <v>1.575</v>
      </c>
      <c r="AC49" s="35">
        <f t="shared" si="4"/>
        <v>2.2999999999999687E-3</v>
      </c>
    </row>
    <row r="50" spans="2:29" x14ac:dyDescent="0.25">
      <c r="B50">
        <v>11.22</v>
      </c>
      <c r="C50" s="2">
        <v>99.93</v>
      </c>
      <c r="D50">
        <v>0.38490000000000002</v>
      </c>
      <c r="E50" s="2">
        <v>333.8</v>
      </c>
      <c r="F50" s="35">
        <f t="shared" si="0"/>
        <v>0.38490000000000002</v>
      </c>
      <c r="H50" s="6">
        <f t="shared" si="6"/>
        <v>0.40467040542381794</v>
      </c>
      <c r="I50" s="6">
        <f t="shared" si="7"/>
        <v>-1.9770405423817916E-2</v>
      </c>
      <c r="J50" s="6">
        <f t="shared" si="5"/>
        <v>3.9086893062212889E-4</v>
      </c>
      <c r="AB50">
        <f t="array" ref="AB50">MAX(IF($C$4:$C$200=MEDIAN($M$1-1,$M$1+1,C50),$D$4:$D$200,0))</f>
        <v>1.575</v>
      </c>
      <c r="AC50" s="35">
        <f t="shared" si="4"/>
        <v>0</v>
      </c>
    </row>
    <row r="51" spans="2:29" x14ac:dyDescent="0.25">
      <c r="B51">
        <v>11.38</v>
      </c>
      <c r="C51" s="2">
        <v>99.89</v>
      </c>
      <c r="D51">
        <v>0.38490000000000002</v>
      </c>
      <c r="E51" s="2">
        <v>333.6</v>
      </c>
      <c r="F51" s="35">
        <f t="shared" si="0"/>
        <v>0.38490000000000002</v>
      </c>
      <c r="H51" s="6">
        <f t="shared" si="6"/>
        <v>0.40095830177152836</v>
      </c>
      <c r="I51" s="6">
        <f t="shared" si="7"/>
        <v>-1.6058301771528338E-2</v>
      </c>
      <c r="J51" s="6">
        <f t="shared" si="5"/>
        <v>2.5786905578547019E-4</v>
      </c>
      <c r="AB51">
        <f t="array" ref="AB51">MAX(IF($C$4:$C$200=MEDIAN($M$1-1,$M$1+1,C51),$D$4:$D$200,0))</f>
        <v>0.38619999999999999</v>
      </c>
      <c r="AC51" s="35">
        <f t="shared" si="4"/>
        <v>1.0999999999999899E-3</v>
      </c>
    </row>
    <row r="52" spans="2:29" x14ac:dyDescent="0.25">
      <c r="B52">
        <v>11.54</v>
      </c>
      <c r="C52" s="2">
        <v>99.89</v>
      </c>
      <c r="D52">
        <v>0.38600000000000001</v>
      </c>
      <c r="E52" s="2">
        <v>333.6</v>
      </c>
      <c r="F52" s="35">
        <f t="shared" si="0"/>
        <v>0.38600000000000001</v>
      </c>
      <c r="H52" s="6">
        <f t="shared" si="6"/>
        <v>0.39745356963195011</v>
      </c>
      <c r="I52" s="6">
        <f t="shared" si="7"/>
        <v>-1.14535696319501E-2</v>
      </c>
      <c r="J52" s="6">
        <f t="shared" si="5"/>
        <v>1.3118425731392956E-4</v>
      </c>
      <c r="AB52">
        <f t="array" ref="AB52">MAX(IF($C$4:$C$200=MEDIAN($M$1-1,$M$1+1,C52),$D$4:$D$200,0))</f>
        <v>0.38619999999999999</v>
      </c>
      <c r="AC52" s="35">
        <f t="shared" si="4"/>
        <v>1.9999999999997797E-4</v>
      </c>
    </row>
    <row r="53" spans="2:29" x14ac:dyDescent="0.25">
      <c r="B53">
        <v>11.86</v>
      </c>
      <c r="C53" s="2">
        <v>99.89</v>
      </c>
      <c r="D53">
        <v>0.38619999999999999</v>
      </c>
      <c r="E53" s="2">
        <v>334.6</v>
      </c>
      <c r="F53" s="35">
        <f t="shared" si="0"/>
        <v>0.38619999999999999</v>
      </c>
      <c r="H53" s="6">
        <f t="shared" si="6"/>
        <v>0.39102052895842876</v>
      </c>
      <c r="I53" s="6">
        <f t="shared" si="7"/>
        <v>-4.8205289584287714E-3</v>
      </c>
      <c r="J53" s="6">
        <f t="shared" si="5"/>
        <v>2.3237499439050376E-5</v>
      </c>
      <c r="AB53">
        <f t="array" ref="AB53">MAX(IF($C$4:$C$200=MEDIAN($M$1-1,$M$1+1,C53),$D$4:$D$200,0))</f>
        <v>0.38619999999999999</v>
      </c>
      <c r="AC53" s="35">
        <f t="shared" si="4"/>
        <v>4.2999999999999705E-3</v>
      </c>
    </row>
    <row r="54" spans="2:29" x14ac:dyDescent="0.25">
      <c r="B54">
        <v>12.183999999999999</v>
      </c>
      <c r="C54" s="2">
        <v>99.89</v>
      </c>
      <c r="D54">
        <v>0.38190000000000002</v>
      </c>
      <c r="E54" s="2">
        <v>334.6</v>
      </c>
      <c r="F54" s="35">
        <f t="shared" si="0"/>
        <v>0.38190000000000002</v>
      </c>
      <c r="H54" s="6">
        <f t="shared" si="6"/>
        <v>0.38521856866060045</v>
      </c>
      <c r="I54" s="6">
        <f t="shared" si="7"/>
        <v>-3.3185686606004294E-3</v>
      </c>
      <c r="J54" s="6">
        <f t="shared" si="5"/>
        <v>1.1012897955119328E-5</v>
      </c>
      <c r="AB54">
        <f t="array" ref="AB54">MAX(IF($C$4:$C$200=MEDIAN($M$1-1,$M$1+1,C54),$D$4:$D$200,0))</f>
        <v>0.38619999999999999</v>
      </c>
      <c r="AC54" s="35">
        <f t="shared" si="4"/>
        <v>0</v>
      </c>
    </row>
    <row r="55" spans="2:29" x14ac:dyDescent="0.25">
      <c r="B55">
        <v>12.34</v>
      </c>
      <c r="C55" s="2">
        <v>99.98</v>
      </c>
      <c r="D55">
        <v>0.38190000000000002</v>
      </c>
      <c r="E55" s="2">
        <v>335.1</v>
      </c>
      <c r="F55" s="35">
        <f t="shared" si="0"/>
        <v>0.38190000000000002</v>
      </c>
      <c r="H55" s="6">
        <f t="shared" si="6"/>
        <v>0.38265692856245836</v>
      </c>
      <c r="I55" s="6">
        <f t="shared" si="7"/>
        <v>-7.5692856245834772E-4</v>
      </c>
      <c r="J55" s="6">
        <f t="shared" si="5"/>
        <v>5.7294084866526084E-7</v>
      </c>
      <c r="AB55">
        <f t="array" ref="AB55">MAX(IF($C$4:$C$200=MEDIAN($M$1-1,$M$1+1,C55),$D$4:$D$200,0))</f>
        <v>0.63109999999999999</v>
      </c>
      <c r="AC55" s="35">
        <f t="shared" si="4"/>
        <v>9.000000000000008E-3</v>
      </c>
    </row>
    <row r="56" spans="2:29" x14ac:dyDescent="0.25">
      <c r="B56">
        <v>12.52</v>
      </c>
      <c r="C56" s="2">
        <v>99.98</v>
      </c>
      <c r="D56">
        <v>0.37290000000000001</v>
      </c>
      <c r="E56" s="2">
        <v>335.1</v>
      </c>
      <c r="F56" s="35">
        <f t="shared" si="0"/>
        <v>0.37290000000000001</v>
      </c>
      <c r="H56" s="6">
        <f t="shared" si="6"/>
        <v>0.37987419691020508</v>
      </c>
      <c r="I56" s="6">
        <f t="shared" si="7"/>
        <v>-6.974196910205066E-3</v>
      </c>
      <c r="J56" s="6">
        <f t="shared" si="5"/>
        <v>4.8639422542313889E-5</v>
      </c>
      <c r="AB56">
        <f t="array" ref="AB56">MAX(IF($C$4:$C$200=MEDIAN($M$1-1,$M$1+1,C56),$D$4:$D$200,0))</f>
        <v>0.63109999999999999</v>
      </c>
      <c r="AC56" s="35">
        <f t="shared" si="4"/>
        <v>0</v>
      </c>
    </row>
    <row r="57" spans="2:29" x14ac:dyDescent="0.25">
      <c r="B57">
        <v>12.788</v>
      </c>
      <c r="C57" s="2">
        <v>99.98</v>
      </c>
      <c r="D57">
        <v>0.37290000000000001</v>
      </c>
      <c r="E57" s="2">
        <v>335.1</v>
      </c>
      <c r="F57" s="35">
        <f t="shared" si="0"/>
        <v>0.37290000000000001</v>
      </c>
      <c r="H57" s="6">
        <f t="shared" si="6"/>
        <v>0.37605058042935946</v>
      </c>
      <c r="I57" s="6">
        <f t="shared" si="7"/>
        <v>-3.1505804293594508E-3</v>
      </c>
      <c r="J57" s="6">
        <f t="shared" si="5"/>
        <v>9.9261570418627813E-6</v>
      </c>
      <c r="AB57">
        <f t="array" ref="AB57">MAX(IF($C$4:$C$200=MEDIAN($M$1-1,$M$1+1,C57),$D$4:$D$200,0))</f>
        <v>0.63109999999999999</v>
      </c>
      <c r="AC57" s="35">
        <f t="shared" si="4"/>
        <v>7.5999999999999956E-3</v>
      </c>
    </row>
    <row r="58" spans="2:29" x14ac:dyDescent="0.25">
      <c r="B58">
        <v>13.064</v>
      </c>
      <c r="C58" s="2">
        <v>99.9</v>
      </c>
      <c r="D58">
        <v>0.36530000000000001</v>
      </c>
      <c r="E58" s="2">
        <v>334.6</v>
      </c>
      <c r="F58" s="35">
        <f t="shared" si="0"/>
        <v>0.36530000000000001</v>
      </c>
      <c r="H58" s="6">
        <f t="shared" si="6"/>
        <v>0.37247935036321778</v>
      </c>
      <c r="I58" s="6">
        <f t="shared" si="7"/>
        <v>-7.1793503632177624E-3</v>
      </c>
      <c r="J58" s="6">
        <f t="shared" si="5"/>
        <v>5.1543071637835019E-5</v>
      </c>
      <c r="AB58">
        <f t="array" ref="AB58">MAX(IF($C$4:$C$200=MEDIAN($M$1-1,$M$1+1,C58),$D$4:$D$200,0))</f>
        <v>0.43890000000000001</v>
      </c>
      <c r="AC58" s="35">
        <f t="shared" si="4"/>
        <v>1.5999999999999903E-3</v>
      </c>
    </row>
    <row r="59" spans="2:29" x14ac:dyDescent="0.25">
      <c r="B59">
        <v>13.288</v>
      </c>
      <c r="C59" s="2">
        <v>99.94</v>
      </c>
      <c r="D59">
        <v>0.3669</v>
      </c>
      <c r="E59" s="2">
        <v>334.6</v>
      </c>
      <c r="F59" s="35">
        <f t="shared" si="0"/>
        <v>0.3669</v>
      </c>
      <c r="H59" s="6">
        <f t="shared" si="6"/>
        <v>0.36983031461500948</v>
      </c>
      <c r="I59" s="6">
        <f t="shared" si="7"/>
        <v>-2.9303146150094772E-3</v>
      </c>
      <c r="J59" s="6">
        <f t="shared" si="5"/>
        <v>8.5867437429381406E-6</v>
      </c>
      <c r="AB59">
        <f t="array" ref="AB59">MAX(IF($C$4:$C$200=MEDIAN($M$1-1,$M$1+1,C59),$D$4:$D$200,0))</f>
        <v>1.3160000000000001</v>
      </c>
      <c r="AC59" s="35">
        <f t="shared" si="4"/>
        <v>8.5000000000000075E-3</v>
      </c>
    </row>
    <row r="60" spans="2:29" x14ac:dyDescent="0.25">
      <c r="B60">
        <v>13.472</v>
      </c>
      <c r="C60" s="2">
        <v>99.94</v>
      </c>
      <c r="D60">
        <v>0.37540000000000001</v>
      </c>
      <c r="E60" s="2">
        <v>334.6</v>
      </c>
      <c r="F60" s="35">
        <f t="shared" si="0"/>
        <v>0.37540000000000001</v>
      </c>
      <c r="H60" s="6">
        <f t="shared" si="6"/>
        <v>0.3678082790210313</v>
      </c>
      <c r="I60" s="6">
        <f t="shared" si="7"/>
        <v>7.5917209789687079E-3</v>
      </c>
      <c r="J60" s="6">
        <f t="shared" si="5"/>
        <v>5.7634227422513599E-5</v>
      </c>
      <c r="AB60">
        <f t="array" ref="AB60">MAX(IF($C$4:$C$200=MEDIAN($M$1-1,$M$1+1,C60),$D$4:$D$200,0))</f>
        <v>1.3160000000000001</v>
      </c>
      <c r="AC60" s="35">
        <f t="shared" si="4"/>
        <v>0</v>
      </c>
    </row>
    <row r="61" spans="2:29" x14ac:dyDescent="0.25">
      <c r="B61">
        <v>13.624000000000001</v>
      </c>
      <c r="C61" s="2">
        <v>99.94</v>
      </c>
      <c r="D61">
        <v>0.37540000000000001</v>
      </c>
      <c r="E61" s="2">
        <v>334.6</v>
      </c>
      <c r="F61" s="35">
        <f t="shared" si="0"/>
        <v>0.37540000000000001</v>
      </c>
      <c r="H61" s="6">
        <f t="shared" si="6"/>
        <v>0.36623583236333168</v>
      </c>
      <c r="I61" s="6">
        <f t="shared" si="7"/>
        <v>9.16416763666833E-3</v>
      </c>
      <c r="J61" s="6">
        <f t="shared" si="5"/>
        <v>8.3981968472959199E-5</v>
      </c>
      <c r="AB61">
        <f t="array" ref="AB61">MAX(IF($C$4:$C$200=MEDIAN($M$1-1,$M$1+1,C61),$D$4:$D$200,0))</f>
        <v>1.3160000000000001</v>
      </c>
      <c r="AC61" s="35">
        <f t="shared" si="4"/>
        <v>4.0000000000000036E-3</v>
      </c>
    </row>
    <row r="62" spans="2:29" x14ac:dyDescent="0.25">
      <c r="B62">
        <v>13.928000000000001</v>
      </c>
      <c r="C62" s="2">
        <v>99.77</v>
      </c>
      <c r="D62" s="2">
        <v>0.37940000000000002</v>
      </c>
      <c r="E62" s="2">
        <v>335.5</v>
      </c>
      <c r="F62" s="35">
        <f t="shared" si="0"/>
        <v>0.37940000000000002</v>
      </c>
      <c r="H62" s="6">
        <f t="shared" si="6"/>
        <v>0.3633372056078068</v>
      </c>
      <c r="I62" s="6">
        <f t="shared" si="7"/>
        <v>1.6062794392193214E-2</v>
      </c>
      <c r="J62" s="6">
        <f t="shared" si="5"/>
        <v>2.5801336368587376E-4</v>
      </c>
      <c r="AB62">
        <f t="array" ref="AB62">MAX(IF($C$4:$C$200=MEDIAN($M$1-1,$M$1+1,C62),$D$4:$D$200,0))</f>
        <v>0.37940000000000002</v>
      </c>
      <c r="AC62" s="35">
        <f t="shared" si="4"/>
        <v>7.0000000000000062E-3</v>
      </c>
    </row>
    <row r="63" spans="2:29" x14ac:dyDescent="0.25">
      <c r="B63">
        <v>14.327999999999999</v>
      </c>
      <c r="C63" s="2">
        <v>99.66</v>
      </c>
      <c r="D63" s="2">
        <v>0.37240000000000001</v>
      </c>
      <c r="E63" s="2">
        <v>335.7</v>
      </c>
      <c r="F63" s="35">
        <f t="shared" si="0"/>
        <v>0.37240000000000001</v>
      </c>
      <c r="H63" s="6">
        <f t="shared" si="6"/>
        <v>0.35997508765610098</v>
      </c>
      <c r="I63" s="6">
        <f t="shared" si="7"/>
        <v>1.2424912343899031E-2</v>
      </c>
      <c r="J63" s="6">
        <f t="shared" si="5"/>
        <v>1.543784467535745E-4</v>
      </c>
      <c r="AB63">
        <f t="array" ref="AB63">MAX(IF($C$4:$C$200=MEDIAN($M$1-1,$M$1+1,C63),$D$4:$D$200,0))</f>
        <v>0.37240000000000001</v>
      </c>
      <c r="AC63" s="35">
        <f t="shared" si="4"/>
        <v>1.3300000000000034E-2</v>
      </c>
    </row>
    <row r="64" spans="2:29" x14ac:dyDescent="0.25">
      <c r="B64">
        <v>14.488</v>
      </c>
      <c r="C64" s="2">
        <v>99.66</v>
      </c>
      <c r="D64" s="2">
        <v>0.35909999999999997</v>
      </c>
      <c r="E64" s="2">
        <v>335.7</v>
      </c>
      <c r="F64" s="35">
        <f t="shared" si="0"/>
        <v>0.35909999999999997</v>
      </c>
      <c r="H64" s="6">
        <f t="shared" si="6"/>
        <v>0.3587598258284963</v>
      </c>
      <c r="I64" s="6">
        <f t="shared" si="7"/>
        <v>3.4017417150367102E-4</v>
      </c>
      <c r="J64" s="6">
        <f t="shared" si="5"/>
        <v>1.1571846695820899E-7</v>
      </c>
      <c r="AB64">
        <f t="array" ref="AB64">MAX(IF($C$4:$C$200=MEDIAN($M$1-1,$M$1+1,C64),$D$4:$D$200,0))</f>
        <v>0.37240000000000001</v>
      </c>
      <c r="AC64" s="35">
        <f t="shared" si="4"/>
        <v>7.9999999999999516E-3</v>
      </c>
    </row>
    <row r="65" spans="2:29" x14ac:dyDescent="0.25">
      <c r="B65">
        <v>14.667999999999999</v>
      </c>
      <c r="C65" s="2">
        <v>99.66</v>
      </c>
      <c r="D65" s="2">
        <v>0.35110000000000002</v>
      </c>
      <c r="E65" s="2">
        <v>335.7</v>
      </c>
      <c r="F65" s="35">
        <f t="shared" si="0"/>
        <v>0.35110000000000002</v>
      </c>
      <c r="H65" s="6">
        <f t="shared" si="6"/>
        <v>0.35747361349612383</v>
      </c>
      <c r="I65" s="6">
        <f t="shared" si="7"/>
        <v>-6.3736134961238089E-3</v>
      </c>
      <c r="J65" s="6">
        <f t="shared" si="5"/>
        <v>4.062294899797156E-5</v>
      </c>
      <c r="AB65">
        <f t="array" ref="AB65">MAX(IF($C$4:$C$200=MEDIAN($M$1-1,$M$1+1,C65),$D$4:$D$200,0))</f>
        <v>0.37240000000000001</v>
      </c>
      <c r="AC65" s="35">
        <f t="shared" si="4"/>
        <v>6.5000000000000058E-3</v>
      </c>
    </row>
    <row r="66" spans="2:29" x14ac:dyDescent="0.25">
      <c r="B66">
        <v>14.984</v>
      </c>
      <c r="C66" s="2">
        <v>99.68</v>
      </c>
      <c r="D66" s="2">
        <v>0.34460000000000002</v>
      </c>
      <c r="E66" s="2">
        <v>334.8</v>
      </c>
      <c r="F66" s="35">
        <f t="shared" si="0"/>
        <v>0.34460000000000002</v>
      </c>
      <c r="H66" s="6">
        <f t="shared" si="6"/>
        <v>0.35540733607236552</v>
      </c>
      <c r="I66" s="6">
        <f t="shared" si="7"/>
        <v>-1.0807336072365503E-2</v>
      </c>
      <c r="J66" s="6">
        <f t="shared" si="5"/>
        <v>1.1679851298105262E-4</v>
      </c>
      <c r="AB66">
        <f t="array" ref="AB66">MAX(IF($C$4:$C$200=MEDIAN($M$1-1,$M$1+1,C66),$D$4:$D$200,0))</f>
        <v>0.34460000000000002</v>
      </c>
      <c r="AC66" s="35">
        <f t="shared" si="4"/>
        <v>1.2199999999999989E-2</v>
      </c>
    </row>
    <row r="67" spans="2:29" x14ac:dyDescent="0.25">
      <c r="B67">
        <v>15.288</v>
      </c>
      <c r="C67" s="2">
        <v>99.59</v>
      </c>
      <c r="D67" s="2">
        <v>0.35680000000000001</v>
      </c>
      <c r="E67" s="2">
        <v>334.8</v>
      </c>
      <c r="F67" s="35">
        <f t="shared" si="0"/>
        <v>0.35680000000000001</v>
      </c>
      <c r="H67" s="6">
        <f t="shared" si="6"/>
        <v>0.35362910760171529</v>
      </c>
      <c r="I67" s="6">
        <f t="shared" si="7"/>
        <v>3.1708923982847192E-3</v>
      </c>
      <c r="J67" s="6">
        <f t="shared" si="5"/>
        <v>1.0054558601499819E-5</v>
      </c>
      <c r="AB67">
        <f t="array" ref="AB67">MAX(IF($C$4:$C$200=MEDIAN($M$1-1,$M$1+1,C67),$D$4:$D$200,0))</f>
        <v>0.36709999999999998</v>
      </c>
      <c r="AC67" s="35">
        <f t="shared" si="4"/>
        <v>1.0299999999999976E-2</v>
      </c>
    </row>
    <row r="68" spans="2:29" x14ac:dyDescent="0.25">
      <c r="B68">
        <v>15.464</v>
      </c>
      <c r="C68" s="2">
        <v>99.59</v>
      </c>
      <c r="D68" s="2">
        <v>0.36709999999999998</v>
      </c>
      <c r="E68" s="2">
        <v>334.8</v>
      </c>
      <c r="F68" s="35">
        <f t="shared" ref="F68:F131" si="8">IF(C68=MEDIAN($M$1-1,$M$1+1,C68),IF(D68&lt;=AVERAGE($AB$3,AVERAGEIF($B$4:$B$200,"&gt;20",$D$4:$D$200)),D68,0),0)</f>
        <v>0.36709999999999998</v>
      </c>
      <c r="H68" s="6">
        <f t="shared" ref="H68:H99" si="9">IF(MATCH(F68,$F$4:$F$200,0)&gt;=MATCH(MAX($F$4:$F$200),$F$4:$F$200,0),$M$4+($M$5-$M$4)*(1-EXP(-B68/$M$6)),0)</f>
        <v>0.35268497008389144</v>
      </c>
      <c r="I68" s="6">
        <f t="shared" ref="I68:I99" si="10">IF(H68&gt;0,D68-H68,0)</f>
        <v>1.4415029916108546E-2</v>
      </c>
      <c r="J68" s="6">
        <f t="shared" si="5"/>
        <v>2.0779308748230437E-4</v>
      </c>
      <c r="AB68">
        <f t="array" ref="AB68">MAX(IF($C$4:$C$200=MEDIAN($M$1-1,$M$1+1,C68),$D$4:$D$200,0))</f>
        <v>0.36709999999999998</v>
      </c>
      <c r="AC68" s="35">
        <f t="shared" si="4"/>
        <v>6.8000000000000282E-3</v>
      </c>
    </row>
    <row r="69" spans="2:29" x14ac:dyDescent="0.25">
      <c r="B69">
        <v>15.696</v>
      </c>
      <c r="C69" s="2">
        <v>99.74</v>
      </c>
      <c r="D69" s="2">
        <v>0.37390000000000001</v>
      </c>
      <c r="E69" s="2">
        <v>336.4</v>
      </c>
      <c r="F69" s="35">
        <f t="shared" si="8"/>
        <v>0.37390000000000001</v>
      </c>
      <c r="H69" s="6">
        <f t="shared" si="9"/>
        <v>0.35152823681659617</v>
      </c>
      <c r="I69" s="6">
        <f t="shared" si="10"/>
        <v>2.2371763183403837E-2</v>
      </c>
      <c r="J69" s="6">
        <f t="shared" si="5"/>
        <v>5.0049578793430341E-4</v>
      </c>
      <c r="AB69">
        <f t="array" ref="AB69">MAX(IF($C$4:$C$200=MEDIAN($M$1-1,$M$1+1,C69),$D$4:$D$200,0))</f>
        <v>2.2999999999999998</v>
      </c>
      <c r="AC69" s="35">
        <f t="shared" ref="AC69:AC132" si="11">ABS(D69-D70)</f>
        <v>5.9000000000000163E-3</v>
      </c>
    </row>
    <row r="70" spans="2:29" x14ac:dyDescent="0.25">
      <c r="B70">
        <v>15.988</v>
      </c>
      <c r="C70" s="2">
        <v>99.74</v>
      </c>
      <c r="D70" s="2">
        <v>0.36799999999999999</v>
      </c>
      <c r="E70" s="2">
        <v>336.4</v>
      </c>
      <c r="F70" s="35">
        <f t="shared" si="8"/>
        <v>0.36799999999999999</v>
      </c>
      <c r="H70" s="6">
        <f t="shared" si="9"/>
        <v>0.3502029163621363</v>
      </c>
      <c r="I70" s="6">
        <f t="shared" si="10"/>
        <v>1.7797083637863698E-2</v>
      </c>
      <c r="J70" s="6">
        <f t="shared" si="5"/>
        <v>3.1673618601311574E-4</v>
      </c>
      <c r="AB70">
        <f t="array" ref="AB70">MAX(IF($C$4:$C$200=MEDIAN($M$1-1,$M$1+1,C70),$D$4:$D$200,0))</f>
        <v>2.2999999999999998</v>
      </c>
      <c r="AC70" s="35">
        <f t="shared" si="11"/>
        <v>8.4000000000000186E-3</v>
      </c>
    </row>
    <row r="71" spans="2:29" x14ac:dyDescent="0.25">
      <c r="B71">
        <v>16.263999999999999</v>
      </c>
      <c r="C71" s="2">
        <v>99.7</v>
      </c>
      <c r="D71" s="2">
        <v>0.35959999999999998</v>
      </c>
      <c r="E71" s="2">
        <v>336.6</v>
      </c>
      <c r="F71" s="35">
        <f t="shared" si="8"/>
        <v>0.35959999999999998</v>
      </c>
      <c r="H71" s="6">
        <f t="shared" si="9"/>
        <v>0.34907178624732671</v>
      </c>
      <c r="I71" s="6">
        <f t="shared" si="10"/>
        <v>1.0528213752673266E-2</v>
      </c>
      <c r="J71" s="6">
        <f t="shared" si="5"/>
        <v>1.1084328482197848E-4</v>
      </c>
      <c r="Q71" s="25"/>
      <c r="V71" s="25"/>
      <c r="AB71">
        <f t="array" ref="AB71">MAX(IF($C$4:$C$200=MEDIAN($M$1-1,$M$1+1,C71),$D$4:$D$200,0))</f>
        <v>2.2599999999999998</v>
      </c>
      <c r="AC71" s="35">
        <f t="shared" si="11"/>
        <v>1.2299999999999978E-2</v>
      </c>
    </row>
    <row r="72" spans="2:29" x14ac:dyDescent="0.25">
      <c r="B72">
        <v>16.52</v>
      </c>
      <c r="C72" s="2">
        <v>99.7</v>
      </c>
      <c r="D72" s="2">
        <v>0.3473</v>
      </c>
      <c r="E72" s="2">
        <v>336.6</v>
      </c>
      <c r="F72" s="35">
        <f t="shared" si="8"/>
        <v>0.3473</v>
      </c>
      <c r="H72" s="6">
        <f t="shared" si="9"/>
        <v>0.34811830128290211</v>
      </c>
      <c r="I72" s="6">
        <f t="shared" si="10"/>
        <v>-8.183012829021119E-4</v>
      </c>
      <c r="J72" s="6">
        <f t="shared" si="5"/>
        <v>6.6961698959924216E-7</v>
      </c>
      <c r="S72" s="17"/>
      <c r="T72" s="19"/>
      <c r="U72" s="17"/>
      <c r="V72" s="33"/>
      <c r="AB72">
        <f t="array" ref="AB72">MAX(IF($C$4:$C$200=MEDIAN($M$1-1,$M$1+1,C72),$D$4:$D$200,0))</f>
        <v>2.2599999999999998</v>
      </c>
      <c r="AC72" s="35">
        <f t="shared" si="11"/>
        <v>4.599999999999993E-3</v>
      </c>
    </row>
    <row r="73" spans="2:29" x14ac:dyDescent="0.25">
      <c r="B73">
        <v>16.776</v>
      </c>
      <c r="C73" s="2">
        <v>99.7</v>
      </c>
      <c r="D73" s="2">
        <v>0.3427</v>
      </c>
      <c r="E73" s="2">
        <v>335.4</v>
      </c>
      <c r="F73" s="35">
        <f t="shared" si="8"/>
        <v>0.3427</v>
      </c>
      <c r="H73" s="6">
        <f t="shared" si="9"/>
        <v>0.34724860136740565</v>
      </c>
      <c r="I73" s="6">
        <f t="shared" si="10"/>
        <v>-4.5486013674056469E-3</v>
      </c>
      <c r="J73" s="6">
        <f t="shared" si="5"/>
        <v>2.0689774399564522E-5</v>
      </c>
      <c r="AB73">
        <f t="array" ref="AB73">MAX(IF($C$4:$C$200=MEDIAN($M$1-1,$M$1+1,C73),$D$4:$D$200,0))</f>
        <v>2.2599999999999998</v>
      </c>
      <c r="AC73" s="35">
        <f t="shared" si="11"/>
        <v>2.5000000000000022E-3</v>
      </c>
    </row>
    <row r="74" spans="2:29" x14ac:dyDescent="0.25">
      <c r="B74">
        <v>17.032</v>
      </c>
      <c r="C74" s="2">
        <v>99.7</v>
      </c>
      <c r="D74" s="2">
        <v>0.34520000000000001</v>
      </c>
      <c r="E74" s="2">
        <v>335.4</v>
      </c>
      <c r="F74" s="35">
        <f t="shared" si="8"/>
        <v>0.34520000000000001</v>
      </c>
      <c r="H74" s="6">
        <f t="shared" si="9"/>
        <v>0.34645532410427515</v>
      </c>
      <c r="I74" s="6">
        <f t="shared" si="10"/>
        <v>-1.2553241042751462E-3</v>
      </c>
      <c r="J74" s="6">
        <f t="shared" si="5"/>
        <v>1.5758386067741982E-6</v>
      </c>
      <c r="AB74">
        <f t="array" ref="AB74">MAX(IF($C$4:$C$200=MEDIAN($M$1-1,$M$1+1,C74),$D$4:$D$200,0))</f>
        <v>2.2599999999999998</v>
      </c>
      <c r="AC74" s="35">
        <f t="shared" si="11"/>
        <v>9.299999999999975E-3</v>
      </c>
    </row>
    <row r="75" spans="2:29" x14ac:dyDescent="0.25">
      <c r="B75">
        <v>17.303999999999998</v>
      </c>
      <c r="C75" s="2">
        <v>99.84</v>
      </c>
      <c r="D75" s="2">
        <v>0.35449999999999998</v>
      </c>
      <c r="E75" s="2">
        <v>335.7</v>
      </c>
      <c r="F75" s="35">
        <f t="shared" si="8"/>
        <v>0.35449999999999998</v>
      </c>
      <c r="H75" s="6">
        <f t="shared" si="9"/>
        <v>0.34568870261105555</v>
      </c>
      <c r="I75" s="6">
        <f t="shared" si="10"/>
        <v>8.8112973889444279E-3</v>
      </c>
      <c r="J75" s="6">
        <f t="shared" si="5"/>
        <v>7.7638961676418895E-5</v>
      </c>
      <c r="AB75">
        <f t="array" ref="AB75">MAX(IF($C$4:$C$200=MEDIAN($M$1-1,$M$1+1,C75),$D$4:$D$200,0))</f>
        <v>0.36</v>
      </c>
      <c r="AC75" s="35">
        <f t="shared" si="11"/>
        <v>5.5000000000000049E-3</v>
      </c>
    </row>
    <row r="76" spans="2:29" x14ac:dyDescent="0.25">
      <c r="B76">
        <v>17.48</v>
      </c>
      <c r="C76" s="2">
        <v>99.84</v>
      </c>
      <c r="D76" s="2">
        <v>0.36</v>
      </c>
      <c r="E76" s="2">
        <v>335.7</v>
      </c>
      <c r="F76" s="35">
        <f t="shared" si="8"/>
        <v>0.36</v>
      </c>
      <c r="H76" s="6">
        <f t="shared" si="9"/>
        <v>0.34523111638897985</v>
      </c>
      <c r="I76" s="6">
        <f t="shared" si="10"/>
        <v>1.4768883611020134E-2</v>
      </c>
      <c r="J76" s="6">
        <f t="shared" si="5"/>
        <v>2.1811992311585911E-4</v>
      </c>
      <c r="AB76">
        <f t="array" ref="AB76">MAX(IF($C$4:$C$200=MEDIAN($M$1-1,$M$1+1,C76),$D$4:$D$200,0))</f>
        <v>0.36</v>
      </c>
      <c r="AC76" s="35">
        <f t="shared" si="11"/>
        <v>1.4000000000000123E-3</v>
      </c>
    </row>
    <row r="77" spans="2:29" x14ac:dyDescent="0.25">
      <c r="B77">
        <v>17.672000000000001</v>
      </c>
      <c r="C77" s="2">
        <v>99.87</v>
      </c>
      <c r="D77" s="2">
        <v>0.3614</v>
      </c>
      <c r="E77" s="2">
        <v>336.6</v>
      </c>
      <c r="F77" s="35">
        <f t="shared" si="8"/>
        <v>0.3614</v>
      </c>
      <c r="H77" s="6">
        <f t="shared" si="9"/>
        <v>0.34476384929316772</v>
      </c>
      <c r="I77" s="6">
        <f t="shared" si="10"/>
        <v>1.6636150706832276E-2</v>
      </c>
      <c r="J77" s="6">
        <f t="shared" ref="J77:J140" si="12">I77^2</f>
        <v>2.7676151034043602E-4</v>
      </c>
      <c r="AB77">
        <f t="array" ref="AB77">MAX(IF($C$4:$C$200=MEDIAN($M$1-1,$M$1+1,C77),$D$4:$D$200,0))</f>
        <v>0.42270000000000002</v>
      </c>
      <c r="AC77" s="35">
        <f t="shared" si="11"/>
        <v>5.0000000000000044E-4</v>
      </c>
    </row>
    <row r="78" spans="2:29" x14ac:dyDescent="0.25">
      <c r="B78">
        <v>17.96</v>
      </c>
      <c r="C78" s="2">
        <v>99.87</v>
      </c>
      <c r="D78" s="2">
        <v>0.3619</v>
      </c>
      <c r="E78" s="2">
        <v>336.6</v>
      </c>
      <c r="F78" s="35">
        <f t="shared" si="8"/>
        <v>0.3619</v>
      </c>
      <c r="H78" s="6">
        <f t="shared" si="9"/>
        <v>0.34412069350259822</v>
      </c>
      <c r="I78" s="6">
        <f t="shared" si="10"/>
        <v>1.7779306497401781E-2</v>
      </c>
      <c r="J78" s="6">
        <f t="shared" si="12"/>
        <v>3.1610373952855317E-4</v>
      </c>
      <c r="AB78">
        <f t="array" ref="AB78">MAX(IF($C$4:$C$200=MEDIAN($M$1-1,$M$1+1,C78),$D$4:$D$200,0))</f>
        <v>0.42270000000000002</v>
      </c>
      <c r="AC78" s="35">
        <f t="shared" si="11"/>
        <v>6.7999999999999727E-3</v>
      </c>
    </row>
    <row r="79" spans="2:29" x14ac:dyDescent="0.25">
      <c r="B79">
        <v>18.216000000000001</v>
      </c>
      <c r="C79" s="2">
        <v>99.88</v>
      </c>
      <c r="D79" s="2">
        <v>0.35510000000000003</v>
      </c>
      <c r="E79" s="2">
        <v>336.7</v>
      </c>
      <c r="F79" s="35">
        <f t="shared" si="8"/>
        <v>0.35510000000000003</v>
      </c>
      <c r="H79" s="6">
        <f t="shared" si="9"/>
        <v>0.34360227313105263</v>
      </c>
      <c r="I79" s="6">
        <f t="shared" si="10"/>
        <v>1.14977268689474E-2</v>
      </c>
      <c r="J79" s="6">
        <f t="shared" si="12"/>
        <v>1.3219772315291499E-4</v>
      </c>
      <c r="AB79">
        <f t="array" ref="AB79">MAX(IF($C$4:$C$200=MEDIAN($M$1-1,$M$1+1,C79),$D$4:$D$200,0))</f>
        <v>0.35510000000000003</v>
      </c>
      <c r="AC79" s="35">
        <f t="shared" si="11"/>
        <v>0</v>
      </c>
    </row>
    <row r="80" spans="2:29" x14ac:dyDescent="0.25">
      <c r="B80">
        <v>18.38</v>
      </c>
      <c r="C80" s="2">
        <v>99.88</v>
      </c>
      <c r="D80" s="2">
        <v>0.35510000000000003</v>
      </c>
      <c r="E80" s="2">
        <v>336.7</v>
      </c>
      <c r="F80" s="35">
        <f t="shared" si="8"/>
        <v>0.35510000000000003</v>
      </c>
      <c r="H80" s="6">
        <f t="shared" si="9"/>
        <v>0.34329435959072763</v>
      </c>
      <c r="I80" s="6">
        <f t="shared" si="10"/>
        <v>1.18056404092724E-2</v>
      </c>
      <c r="J80" s="6">
        <f t="shared" si="12"/>
        <v>1.393731454730454E-4</v>
      </c>
      <c r="AB80">
        <f t="array" ref="AB80">MAX(IF($C$4:$C$200=MEDIAN($M$1-1,$M$1+1,C80),$D$4:$D$200,0))</f>
        <v>0.35510000000000003</v>
      </c>
      <c r="AC80" s="35">
        <f t="shared" si="11"/>
        <v>1.2200000000000044E-2</v>
      </c>
    </row>
    <row r="81" spans="2:29" x14ac:dyDescent="0.25">
      <c r="B81">
        <v>18.564</v>
      </c>
      <c r="C81" s="2">
        <v>99.94</v>
      </c>
      <c r="D81" s="2">
        <v>0.34289999999999998</v>
      </c>
      <c r="E81" s="2">
        <v>336.4</v>
      </c>
      <c r="F81" s="35">
        <f t="shared" si="8"/>
        <v>0.34289999999999998</v>
      </c>
      <c r="H81" s="6">
        <f t="shared" si="9"/>
        <v>0.34296981879657462</v>
      </c>
      <c r="I81" s="6">
        <f t="shared" si="10"/>
        <v>-6.9818796574638853E-5</v>
      </c>
      <c r="J81" s="6">
        <f t="shared" si="12"/>
        <v>4.8746643551308023E-9</v>
      </c>
      <c r="AB81">
        <f t="array" ref="AB81">MAX(IF($C$4:$C$200=MEDIAN($M$1-1,$M$1+1,C81),$D$4:$D$200,0))</f>
        <v>1.3160000000000001</v>
      </c>
      <c r="AC81" s="35">
        <f t="shared" si="11"/>
        <v>5.6999999999999829E-3</v>
      </c>
    </row>
    <row r="82" spans="2:29" x14ac:dyDescent="0.25">
      <c r="B82">
        <v>18.856000000000002</v>
      </c>
      <c r="C82" s="2">
        <v>99.94</v>
      </c>
      <c r="D82" s="2">
        <v>0.3372</v>
      </c>
      <c r="E82" s="2">
        <v>336.4</v>
      </c>
      <c r="F82" s="35">
        <f t="shared" si="8"/>
        <v>0.3372</v>
      </c>
      <c r="H82" s="6">
        <f t="shared" si="9"/>
        <v>0.34249686517246181</v>
      </c>
      <c r="I82" s="6">
        <f t="shared" si="10"/>
        <v>-5.2968651724618065E-3</v>
      </c>
      <c r="J82" s="6">
        <f t="shared" si="12"/>
        <v>2.8056780655238844E-5</v>
      </c>
      <c r="AB82">
        <f t="array" ref="AB82">MAX(IF($C$4:$C$200=MEDIAN($M$1-1,$M$1+1,C82),$D$4:$D$200,0))</f>
        <v>1.3160000000000001</v>
      </c>
      <c r="AC82" s="35">
        <f t="shared" si="11"/>
        <v>8.4000000000000186E-3</v>
      </c>
    </row>
    <row r="83" spans="2:29" x14ac:dyDescent="0.25">
      <c r="B83">
        <v>19.148</v>
      </c>
      <c r="C83" s="2">
        <v>99.96</v>
      </c>
      <c r="D83" s="2">
        <v>0.34560000000000002</v>
      </c>
      <c r="E83" s="2">
        <v>337.4</v>
      </c>
      <c r="F83" s="35">
        <f t="shared" si="8"/>
        <v>0.34560000000000002</v>
      </c>
      <c r="H83" s="6">
        <f t="shared" si="9"/>
        <v>0.34207101487755542</v>
      </c>
      <c r="I83" s="6">
        <f t="shared" si="10"/>
        <v>3.5289851224445945E-3</v>
      </c>
      <c r="J83" s="6">
        <f t="shared" si="12"/>
        <v>1.2453735994435289E-5</v>
      </c>
      <c r="AB83">
        <f t="array" ref="AB83">MAX(IF($C$4:$C$200=MEDIAN($M$1-1,$M$1+1,C83),$D$4:$D$200,0))</f>
        <v>0.94969999999999999</v>
      </c>
      <c r="AC83" s="35">
        <f t="shared" si="11"/>
        <v>0</v>
      </c>
    </row>
    <row r="84" spans="2:29" x14ac:dyDescent="0.25">
      <c r="B84">
        <v>19.356000000000002</v>
      </c>
      <c r="C84" s="2">
        <v>99.96</v>
      </c>
      <c r="D84" s="2">
        <v>0.34560000000000002</v>
      </c>
      <c r="E84" s="2">
        <v>337.4</v>
      </c>
      <c r="F84" s="35">
        <f t="shared" si="8"/>
        <v>0.34560000000000002</v>
      </c>
      <c r="H84" s="6">
        <f t="shared" si="9"/>
        <v>0.34179379068846671</v>
      </c>
      <c r="I84" s="6">
        <f t="shared" si="10"/>
        <v>3.806209311533304E-3</v>
      </c>
      <c r="J84" s="6">
        <f t="shared" si="12"/>
        <v>1.4487229323202828E-5</v>
      </c>
      <c r="AB84">
        <f t="array" ref="AB84">MAX(IF($C$4:$C$200=MEDIAN($M$1-1,$M$1+1,C84),$D$4:$D$200,0))</f>
        <v>0.94969999999999999</v>
      </c>
      <c r="AC84" s="35">
        <f t="shared" si="11"/>
        <v>6.0000000000004494E-4</v>
      </c>
    </row>
    <row r="85" spans="2:29" x14ac:dyDescent="0.25">
      <c r="B85">
        <v>19.52</v>
      </c>
      <c r="C85" s="2">
        <v>99.77</v>
      </c>
      <c r="D85" s="2">
        <v>0.34499999999999997</v>
      </c>
      <c r="E85" s="2">
        <v>338.2</v>
      </c>
      <c r="F85" s="35">
        <f t="shared" si="8"/>
        <v>0.34499999999999997</v>
      </c>
      <c r="H85" s="6">
        <f t="shared" si="9"/>
        <v>0.3415893575543274</v>
      </c>
      <c r="I85" s="6">
        <f t="shared" si="10"/>
        <v>3.4106424456725737E-3</v>
      </c>
      <c r="J85" s="6">
        <f t="shared" si="12"/>
        <v>1.1632481892223396E-5</v>
      </c>
      <c r="AB85">
        <f t="array" ref="AB85">MAX(IF($C$4:$C$200=MEDIAN($M$1-1,$M$1+1,C85),$D$4:$D$200,0))</f>
        <v>0.37940000000000002</v>
      </c>
      <c r="AC85" s="35">
        <f t="shared" si="11"/>
        <v>3.9999999999995595E-4</v>
      </c>
    </row>
    <row r="86" spans="2:29" x14ac:dyDescent="0.25">
      <c r="B86">
        <v>19.78</v>
      </c>
      <c r="C86" s="2">
        <v>99.77</v>
      </c>
      <c r="D86" s="2">
        <v>0.34460000000000002</v>
      </c>
      <c r="E86" s="2">
        <v>338.2</v>
      </c>
      <c r="F86" s="35">
        <f t="shared" si="8"/>
        <v>0.34460000000000002</v>
      </c>
      <c r="H86" s="6">
        <f t="shared" si="9"/>
        <v>0.34128895966286832</v>
      </c>
      <c r="I86" s="6">
        <f t="shared" si="10"/>
        <v>3.3110403371316988E-3</v>
      </c>
      <c r="J86" s="6">
        <f t="shared" si="12"/>
        <v>1.0962988114113194E-5</v>
      </c>
      <c r="S86" s="14"/>
      <c r="T86" s="15"/>
      <c r="U86" s="14"/>
      <c r="V86" s="10"/>
      <c r="AB86">
        <f t="array" ref="AB86">MAX(IF($C$4:$C$200=MEDIAN($M$1-1,$M$1+1,C86),$D$4:$D$200,0))</f>
        <v>0.37940000000000002</v>
      </c>
      <c r="AC86" s="35">
        <f t="shared" si="11"/>
        <v>1.5900000000000025E-2</v>
      </c>
    </row>
    <row r="87" spans="2:29" x14ac:dyDescent="0.25">
      <c r="B87">
        <v>20.059999999999999</v>
      </c>
      <c r="C87" s="2">
        <v>99.85</v>
      </c>
      <c r="D87" s="2">
        <v>0.32869999999999999</v>
      </c>
      <c r="E87" s="2">
        <v>337.9</v>
      </c>
      <c r="F87" s="35">
        <f t="shared" si="8"/>
        <v>0.32869999999999999</v>
      </c>
      <c r="H87" s="6">
        <f t="shared" si="9"/>
        <v>0.34099534488890626</v>
      </c>
      <c r="I87" s="6">
        <f t="shared" si="10"/>
        <v>-1.2295344888906268E-2</v>
      </c>
      <c r="J87" s="6">
        <f t="shared" si="12"/>
        <v>1.5117550593715348E-4</v>
      </c>
      <c r="AB87">
        <f t="array" ref="AB87">MAX(IF($C$4:$C$200=MEDIAN($M$1-1,$M$1+1,C87),$D$4:$D$200,0))</f>
        <v>0.41249999999999998</v>
      </c>
      <c r="AC87" s="35">
        <f t="shared" si="11"/>
        <v>8.0000000000000071E-3</v>
      </c>
    </row>
    <row r="88" spans="2:29" x14ac:dyDescent="0.25">
      <c r="B88">
        <v>20.295999999999999</v>
      </c>
      <c r="C88" s="2">
        <v>99.85</v>
      </c>
      <c r="D88" s="2">
        <v>0.32069999999999999</v>
      </c>
      <c r="E88" s="2">
        <v>337.9</v>
      </c>
      <c r="F88" s="35">
        <f t="shared" si="8"/>
        <v>0.32069999999999999</v>
      </c>
      <c r="H88" s="6">
        <f t="shared" si="9"/>
        <v>0.3407698055180588</v>
      </c>
      <c r="I88" s="6">
        <f t="shared" si="10"/>
        <v>-2.0069805518058814E-2</v>
      </c>
      <c r="J88" s="6">
        <f t="shared" si="12"/>
        <v>4.0279709353270403E-4</v>
      </c>
      <c r="T88" s="11"/>
      <c r="AB88">
        <f t="array" ref="AB88">MAX(IF($C$4:$C$200=MEDIAN($M$1-1,$M$1+1,C88),$D$4:$D$200,0))</f>
        <v>0.41249999999999998</v>
      </c>
      <c r="AC88" s="35">
        <f t="shared" si="11"/>
        <v>6.5000000000000058E-3</v>
      </c>
    </row>
    <row r="89" spans="2:29" x14ac:dyDescent="0.25">
      <c r="B89">
        <v>20.48</v>
      </c>
      <c r="C89" s="2">
        <v>99.84</v>
      </c>
      <c r="D89" s="2">
        <v>0.31419999999999998</v>
      </c>
      <c r="E89" s="2">
        <v>336.5</v>
      </c>
      <c r="F89" s="35">
        <f t="shared" si="8"/>
        <v>0.31419999999999998</v>
      </c>
      <c r="H89" s="6">
        <f t="shared" si="9"/>
        <v>0.34060675947343766</v>
      </c>
      <c r="I89" s="6">
        <f t="shared" si="10"/>
        <v>-2.640675947343768E-2</v>
      </c>
      <c r="J89" s="6">
        <f t="shared" si="12"/>
        <v>6.9731694588799067E-4</v>
      </c>
      <c r="AB89">
        <f t="array" ref="AB89">MAX(IF($C$4:$C$200=MEDIAN($M$1-1,$M$1+1,C89),$D$4:$D$200,0))</f>
        <v>0.36</v>
      </c>
      <c r="AC89" s="35">
        <f t="shared" si="11"/>
        <v>2.3000000000000242E-3</v>
      </c>
    </row>
    <row r="90" spans="2:29" x14ac:dyDescent="0.25">
      <c r="B90">
        <v>20.7</v>
      </c>
      <c r="C90" s="2">
        <v>99.84</v>
      </c>
      <c r="D90" s="2">
        <v>0.3165</v>
      </c>
      <c r="E90" s="2">
        <v>336.5</v>
      </c>
      <c r="F90" s="35">
        <f t="shared" si="8"/>
        <v>0.3165</v>
      </c>
      <c r="H90" s="6">
        <f t="shared" si="9"/>
        <v>0.34042544584478973</v>
      </c>
      <c r="I90" s="6">
        <f t="shared" si="10"/>
        <v>-2.3925445844789728E-2</v>
      </c>
      <c r="J90" s="6">
        <f t="shared" si="12"/>
        <v>5.7242695887196611E-4</v>
      </c>
      <c r="AB90">
        <f t="array" ref="AB90">MAX(IF($C$4:$C$200=MEDIAN($M$1-1,$M$1+1,C90),$D$4:$D$200,0))</f>
        <v>0.36</v>
      </c>
      <c r="AC90" s="35">
        <f t="shared" si="11"/>
        <v>1.2900000000000023E-2</v>
      </c>
    </row>
    <row r="91" spans="2:29" x14ac:dyDescent="0.25">
      <c r="B91">
        <v>21.02</v>
      </c>
      <c r="C91" s="2">
        <v>99.87</v>
      </c>
      <c r="D91" s="2">
        <v>0.32940000000000003</v>
      </c>
      <c r="E91" s="2">
        <v>337.6</v>
      </c>
      <c r="F91" s="35">
        <f t="shared" si="8"/>
        <v>0.32940000000000003</v>
      </c>
      <c r="H91" s="6">
        <f t="shared" si="9"/>
        <v>0.34018602884817062</v>
      </c>
      <c r="I91" s="6">
        <f t="shared" si="10"/>
        <v>-1.0786028848170592E-2</v>
      </c>
      <c r="J91" s="6">
        <f t="shared" si="12"/>
        <v>1.1633841831356823E-4</v>
      </c>
      <c r="AB91">
        <f t="array" ref="AB91">MAX(IF($C$4:$C$200=MEDIAN($M$1-1,$M$1+1,C91),$D$4:$D$200,0))</f>
        <v>0.42270000000000002</v>
      </c>
      <c r="AC91" s="35">
        <f t="shared" si="11"/>
        <v>4.9999999999999489E-3</v>
      </c>
    </row>
    <row r="92" spans="2:29" x14ac:dyDescent="0.25">
      <c r="B92">
        <v>21.276</v>
      </c>
      <c r="C92" s="2">
        <v>99.87</v>
      </c>
      <c r="D92" s="2">
        <v>0.33439999999999998</v>
      </c>
      <c r="E92" s="2">
        <v>337.6</v>
      </c>
      <c r="F92" s="35">
        <f t="shared" si="8"/>
        <v>0.33439999999999998</v>
      </c>
      <c r="H92" s="6">
        <f t="shared" si="9"/>
        <v>0.34001335705461644</v>
      </c>
      <c r="I92" s="6">
        <f t="shared" si="10"/>
        <v>-5.6133570546164635E-3</v>
      </c>
      <c r="J92" s="6">
        <f t="shared" si="12"/>
        <v>3.1509777422612417E-5</v>
      </c>
      <c r="AB92">
        <f t="array" ref="AB92">MAX(IF($C$4:$C$200=MEDIAN($M$1-1,$M$1+1,C92),$D$4:$D$200,0))</f>
        <v>0.42270000000000002</v>
      </c>
      <c r="AC92" s="35">
        <f t="shared" si="11"/>
        <v>5.5000000000000049E-3</v>
      </c>
    </row>
    <row r="93" spans="2:29" x14ac:dyDescent="0.25">
      <c r="B93">
        <v>21.44</v>
      </c>
      <c r="C93" s="2">
        <v>99.97</v>
      </c>
      <c r="D93" s="2">
        <v>0.33989999999999998</v>
      </c>
      <c r="E93" s="2">
        <v>339.5</v>
      </c>
      <c r="F93" s="35">
        <f t="shared" si="8"/>
        <v>0.33989999999999998</v>
      </c>
      <c r="H93" s="6">
        <f t="shared" si="9"/>
        <v>0.33991079938870383</v>
      </c>
      <c r="I93" s="6">
        <f t="shared" si="10"/>
        <v>-1.0799388703852664E-5</v>
      </c>
      <c r="J93" s="6">
        <f t="shared" si="12"/>
        <v>1.166267963769005E-10</v>
      </c>
      <c r="AB93">
        <f t="array" ref="AB93">MAX(IF($C$4:$C$200=MEDIAN($M$1-1,$M$1+1,C93),$D$4:$D$200,0))</f>
        <v>0.33989999999999998</v>
      </c>
      <c r="AC93" s="35">
        <f t="shared" si="11"/>
        <v>4.0000000000000036E-3</v>
      </c>
    </row>
    <row r="94" spans="2:29" x14ac:dyDescent="0.25">
      <c r="B94">
        <v>21.664000000000001</v>
      </c>
      <c r="C94" s="2">
        <v>99.97</v>
      </c>
      <c r="D94" s="2">
        <v>0.33589999999999998</v>
      </c>
      <c r="E94" s="2">
        <v>339.5</v>
      </c>
      <c r="F94" s="35">
        <f t="shared" si="8"/>
        <v>0.33589999999999998</v>
      </c>
      <c r="H94" s="6">
        <f t="shared" si="9"/>
        <v>0.33978013528613316</v>
      </c>
      <c r="I94" s="6">
        <f t="shared" si="10"/>
        <v>-3.8801352861331795E-3</v>
      </c>
      <c r="J94" s="6">
        <f t="shared" si="12"/>
        <v>1.5055449838695811E-5</v>
      </c>
      <c r="AB94">
        <f t="array" ref="AB94">MAX(IF($C$4:$C$200=MEDIAN($M$1-1,$M$1+1,C94),$D$4:$D$200,0))</f>
        <v>0.33989999999999998</v>
      </c>
      <c r="AC94" s="35">
        <f t="shared" si="11"/>
        <v>1.2999999999999678E-3</v>
      </c>
    </row>
    <row r="95" spans="2:29" x14ac:dyDescent="0.25">
      <c r="B95">
        <v>21.98</v>
      </c>
      <c r="C95" s="2">
        <v>99.9</v>
      </c>
      <c r="D95" s="2">
        <v>0.33460000000000001</v>
      </c>
      <c r="E95" s="2">
        <v>339.6</v>
      </c>
      <c r="F95" s="35">
        <f t="shared" si="8"/>
        <v>0.33460000000000001</v>
      </c>
      <c r="H95" s="6">
        <f t="shared" si="9"/>
        <v>0.33961280193958832</v>
      </c>
      <c r="I95" s="6">
        <f t="shared" si="10"/>
        <v>-5.0128019395883072E-3</v>
      </c>
      <c r="J95" s="6">
        <f t="shared" si="12"/>
        <v>2.5128183285540297E-5</v>
      </c>
      <c r="AB95">
        <f t="array" ref="AB95">MAX(IF($C$4:$C$200=MEDIAN($M$1-1,$M$1+1,C95),$D$4:$D$200,0))</f>
        <v>0.43890000000000001</v>
      </c>
      <c r="AC95" s="35">
        <f t="shared" si="11"/>
        <v>1.9000000000000128E-3</v>
      </c>
    </row>
    <row r="96" spans="2:29" x14ac:dyDescent="0.25">
      <c r="B96">
        <v>22.22</v>
      </c>
      <c r="C96" s="2">
        <v>99.9</v>
      </c>
      <c r="D96" s="2">
        <v>0.3327</v>
      </c>
      <c r="E96" s="2">
        <v>339.6</v>
      </c>
      <c r="F96" s="35">
        <f t="shared" si="8"/>
        <v>0.3327</v>
      </c>
      <c r="H96" s="6">
        <f t="shared" si="9"/>
        <v>0.33949781968347192</v>
      </c>
      <c r="I96" s="6">
        <f t="shared" si="10"/>
        <v>-6.7978196834719284E-3</v>
      </c>
      <c r="J96" s="6">
        <f t="shared" si="12"/>
        <v>4.6210352448998392E-5</v>
      </c>
      <c r="AB96">
        <f t="array" ref="AB96">MAX(IF($C$4:$C$200=MEDIAN($M$1-1,$M$1+1,C96),$D$4:$D$200,0))</f>
        <v>0.43890000000000001</v>
      </c>
      <c r="AC96" s="35">
        <f t="shared" si="11"/>
        <v>1.1999999999999789E-3</v>
      </c>
    </row>
    <row r="97" spans="2:29" x14ac:dyDescent="0.25">
      <c r="B97">
        <v>22.396000000000001</v>
      </c>
      <c r="C97" s="2">
        <v>99.9</v>
      </c>
      <c r="D97" s="2">
        <v>0.33150000000000002</v>
      </c>
      <c r="E97" s="2">
        <v>339.6</v>
      </c>
      <c r="F97" s="35">
        <f t="shared" si="8"/>
        <v>0.33150000000000002</v>
      </c>
      <c r="H97" s="6">
        <f t="shared" si="9"/>
        <v>0.33941958213615386</v>
      </c>
      <c r="I97" s="6">
        <f t="shared" si="10"/>
        <v>-7.9195821361538465E-3</v>
      </c>
      <c r="J97" s="6">
        <f t="shared" si="12"/>
        <v>6.2719781211287127E-5</v>
      </c>
      <c r="AB97">
        <f t="array" ref="AB97">MAX(IF($C$4:$C$200=MEDIAN($M$1-1,$M$1+1,C97),$D$4:$D$200,0))</f>
        <v>0.43890000000000001</v>
      </c>
      <c r="AC97" s="35">
        <f t="shared" si="11"/>
        <v>0</v>
      </c>
    </row>
    <row r="98" spans="2:29" x14ac:dyDescent="0.25">
      <c r="B98">
        <v>22.556000000000001</v>
      </c>
      <c r="C98" s="2">
        <v>99.83</v>
      </c>
      <c r="D98" s="2">
        <v>0.33150000000000002</v>
      </c>
      <c r="E98" s="2">
        <v>339.2</v>
      </c>
      <c r="F98" s="35">
        <f t="shared" si="8"/>
        <v>0.33150000000000002</v>
      </c>
      <c r="H98" s="6">
        <f t="shared" si="9"/>
        <v>0.33935262506334407</v>
      </c>
      <c r="I98" s="6">
        <f t="shared" si="10"/>
        <v>-7.8526250633440542E-3</v>
      </c>
      <c r="J98" s="6">
        <f t="shared" si="12"/>
        <v>6.1663720385459207E-5</v>
      </c>
      <c r="AB98">
        <f t="array" ref="AB98">MAX(IF($C$4:$C$200=MEDIAN($M$1-1,$M$1+1,C98),$D$4:$D$200,0))</f>
        <v>0.34939999999999999</v>
      </c>
      <c r="AC98" s="35">
        <f t="shared" si="11"/>
        <v>1.2999999999999956E-2</v>
      </c>
    </row>
    <row r="99" spans="2:29" x14ac:dyDescent="0.25">
      <c r="B99">
        <v>22.844000000000001</v>
      </c>
      <c r="C99" s="2">
        <v>99.83</v>
      </c>
      <c r="D99" s="2">
        <v>0.34449999999999997</v>
      </c>
      <c r="E99" s="2">
        <v>339.2</v>
      </c>
      <c r="F99" s="35">
        <f t="shared" si="8"/>
        <v>0.34449999999999997</v>
      </c>
      <c r="H99" s="6">
        <f t="shared" si="9"/>
        <v>0.33924138748526911</v>
      </c>
      <c r="I99" s="6">
        <f t="shared" si="10"/>
        <v>5.2586125147308649E-3</v>
      </c>
      <c r="J99" s="6">
        <f t="shared" si="12"/>
        <v>2.7653005580084071E-5</v>
      </c>
      <c r="AB99">
        <f t="array" ref="AB99">MAX(IF($C$4:$C$200=MEDIAN($M$1-1,$M$1+1,C99),$D$4:$D$200,0))</f>
        <v>0.34939999999999999</v>
      </c>
      <c r="AC99" s="35">
        <f t="shared" si="11"/>
        <v>9.8000000000000309E-3</v>
      </c>
    </row>
    <row r="100" spans="2:29" x14ac:dyDescent="0.25">
      <c r="B100">
        <v>23.123999999999999</v>
      </c>
      <c r="C100" s="2">
        <v>99.92</v>
      </c>
      <c r="D100" s="2">
        <v>0.3543</v>
      </c>
      <c r="E100" s="2">
        <v>339.4</v>
      </c>
      <c r="F100" s="35">
        <f t="shared" si="8"/>
        <v>0.3543</v>
      </c>
      <c r="H100" s="6">
        <f t="shared" ref="H100:H131" si="13">IF(MATCH(F100,$F$4:$F$200,0)&gt;=MATCH(MAX($F$4:$F$200),$F$4:$F$200,0),$M$4+($M$5-$M$4)*(1-EXP(-B100/$M$6)),0)</f>
        <v>0.33914373279342236</v>
      </c>
      <c r="I100" s="6">
        <f t="shared" ref="I100:I131" si="14">IF(H100&gt;0,D100-H100,0)</f>
        <v>1.5156267206577645E-2</v>
      </c>
      <c r="J100" s="6">
        <f t="shared" si="12"/>
        <v>2.2971243563718092E-4</v>
      </c>
      <c r="AB100">
        <f t="array" ref="AB100">MAX(IF($C$4:$C$200=MEDIAN($M$1-1,$M$1+1,C100),$D$4:$D$200,0))</f>
        <v>0.3543</v>
      </c>
      <c r="AC100" s="35">
        <f t="shared" si="11"/>
        <v>0</v>
      </c>
    </row>
    <row r="101" spans="2:29" x14ac:dyDescent="0.25">
      <c r="B101">
        <v>23.327999999999999</v>
      </c>
      <c r="C101" s="2">
        <v>99.92</v>
      </c>
      <c r="D101" s="2">
        <v>0.3543</v>
      </c>
      <c r="E101" s="2">
        <v>339.4</v>
      </c>
      <c r="F101" s="35">
        <f t="shared" si="8"/>
        <v>0.3543</v>
      </c>
      <c r="H101" s="6">
        <f t="shared" si="13"/>
        <v>0.3390785220156336</v>
      </c>
      <c r="I101" s="6">
        <f t="shared" si="14"/>
        <v>1.5221477984366405E-2</v>
      </c>
      <c r="J101" s="6">
        <f t="shared" si="12"/>
        <v>2.3169339202855116E-4</v>
      </c>
      <c r="AB101">
        <f t="array" ref="AB101">MAX(IF($C$4:$C$200=MEDIAN($M$1-1,$M$1+1,C101),$D$4:$D$200,0))</f>
        <v>0.3543</v>
      </c>
      <c r="AC101" s="35">
        <f t="shared" si="11"/>
        <v>7.4000000000000177E-3</v>
      </c>
    </row>
    <row r="102" spans="2:29" x14ac:dyDescent="0.25">
      <c r="B102">
        <v>23.52</v>
      </c>
      <c r="C102" s="2">
        <v>99.86</v>
      </c>
      <c r="D102" s="2">
        <v>0.34689999999999999</v>
      </c>
      <c r="E102" s="2">
        <v>340.2</v>
      </c>
      <c r="F102" s="35">
        <f t="shared" si="8"/>
        <v>0.34689999999999999</v>
      </c>
      <c r="H102" s="6">
        <f t="shared" si="13"/>
        <v>0.33902136298835472</v>
      </c>
      <c r="I102" s="6">
        <f t="shared" si="14"/>
        <v>7.878637011645262E-3</v>
      </c>
      <c r="J102" s="6">
        <f t="shared" si="12"/>
        <v>6.207292116126658E-5</v>
      </c>
      <c r="AB102">
        <f t="array" ref="AB102">MAX(IF($C$4:$C$200=MEDIAN($M$1-1,$M$1+1,C102),$D$4:$D$200,0))</f>
        <v>0.34939999999999999</v>
      </c>
      <c r="AC102" s="35">
        <f t="shared" si="11"/>
        <v>1.9000000000000128E-3</v>
      </c>
    </row>
    <row r="103" spans="2:29" x14ac:dyDescent="0.25">
      <c r="B103">
        <v>23.744</v>
      </c>
      <c r="C103" s="2">
        <v>99.86</v>
      </c>
      <c r="D103" s="2">
        <v>0.34499999999999997</v>
      </c>
      <c r="E103" s="2">
        <v>340.2</v>
      </c>
      <c r="F103" s="35">
        <f t="shared" si="8"/>
        <v>0.34499999999999997</v>
      </c>
      <c r="H103" s="6">
        <f t="shared" si="13"/>
        <v>0.33895947478597632</v>
      </c>
      <c r="I103" s="6">
        <f t="shared" si="14"/>
        <v>6.0405252140236509E-3</v>
      </c>
      <c r="J103" s="6">
        <f t="shared" si="12"/>
        <v>3.6487944861255471E-5</v>
      </c>
      <c r="AB103">
        <f t="array" ref="AB103">MAX(IF($C$4:$C$200=MEDIAN($M$1-1,$M$1+1,C103),$D$4:$D$200,0))</f>
        <v>0.34939999999999999</v>
      </c>
      <c r="AC103" s="35">
        <f t="shared" si="11"/>
        <v>3.3999999999999586E-3</v>
      </c>
    </row>
    <row r="104" spans="2:29" x14ac:dyDescent="0.25">
      <c r="B104">
        <v>24.044</v>
      </c>
      <c r="C104" s="2">
        <v>99.86</v>
      </c>
      <c r="D104" s="2">
        <v>0.34160000000000001</v>
      </c>
      <c r="E104" s="2">
        <v>340.4</v>
      </c>
      <c r="F104" s="35">
        <f t="shared" si="8"/>
        <v>0.34160000000000001</v>
      </c>
      <c r="H104" s="6">
        <f t="shared" si="13"/>
        <v>0.33888401883564034</v>
      </c>
      <c r="I104" s="6">
        <f t="shared" si="14"/>
        <v>2.715981164359671E-3</v>
      </c>
      <c r="J104" s="6">
        <f t="shared" si="12"/>
        <v>7.3765536851565142E-6</v>
      </c>
      <c r="AB104">
        <f t="array" ref="AB104">MAX(IF($C$4:$C$200=MEDIAN($M$1-1,$M$1+1,C104),$D$4:$D$200,0))</f>
        <v>0.34939999999999999</v>
      </c>
      <c r="AC104" s="35">
        <f t="shared" si="11"/>
        <v>2.2999999999999687E-3</v>
      </c>
    </row>
    <row r="105" spans="2:29" x14ac:dyDescent="0.25">
      <c r="B105">
        <v>24.251999999999999</v>
      </c>
      <c r="C105" s="2">
        <v>99.86</v>
      </c>
      <c r="D105" s="2">
        <v>0.34389999999999998</v>
      </c>
      <c r="E105" s="2">
        <v>340.4</v>
      </c>
      <c r="F105" s="35">
        <f t="shared" si="8"/>
        <v>0.34389999999999998</v>
      </c>
      <c r="H105" s="6">
        <f t="shared" si="13"/>
        <v>0.33883627755467627</v>
      </c>
      <c r="I105" s="6">
        <f t="shared" si="14"/>
        <v>5.0637224453237151E-3</v>
      </c>
      <c r="J105" s="6">
        <f t="shared" si="12"/>
        <v>2.5641285003275185E-5</v>
      </c>
      <c r="AB105">
        <f t="array" ref="AB105">MAX(IF($C$4:$C$200=MEDIAN($M$1-1,$M$1+1,C105),$D$4:$D$200,0))</f>
        <v>0.34939999999999999</v>
      </c>
      <c r="AC105" s="35">
        <f t="shared" si="11"/>
        <v>3.4000000000000141E-3</v>
      </c>
    </row>
    <row r="106" spans="2:29" x14ac:dyDescent="0.25">
      <c r="B106">
        <v>24.416</v>
      </c>
      <c r="C106" s="2">
        <v>99.91</v>
      </c>
      <c r="D106" s="2">
        <v>0.3473</v>
      </c>
      <c r="E106" s="2">
        <v>340.4</v>
      </c>
      <c r="F106" s="35">
        <f t="shared" si="8"/>
        <v>0.3473</v>
      </c>
      <c r="H106" s="6">
        <f t="shared" si="13"/>
        <v>0.33880107175345309</v>
      </c>
      <c r="I106" s="6">
        <f t="shared" si="14"/>
        <v>8.4989282465469107E-3</v>
      </c>
      <c r="J106" s="6">
        <f t="shared" si="12"/>
        <v>7.223178133995295E-5</v>
      </c>
      <c r="AB106">
        <f t="array" ref="AB106">MAX(IF($C$4:$C$200=MEDIAN($M$1-1,$M$1+1,C106),$D$4:$D$200,0))</f>
        <v>1.097</v>
      </c>
      <c r="AC106" s="35">
        <f t="shared" si="11"/>
        <v>0</v>
      </c>
    </row>
    <row r="107" spans="2:29" x14ac:dyDescent="0.25">
      <c r="B107">
        <v>24.6</v>
      </c>
      <c r="C107" s="2">
        <v>99.91</v>
      </c>
      <c r="D107" s="2">
        <v>0.3473</v>
      </c>
      <c r="E107" s="2">
        <v>340.4</v>
      </c>
      <c r="F107" s="35">
        <f t="shared" si="8"/>
        <v>0.3473</v>
      </c>
      <c r="H107" s="6">
        <f t="shared" si="13"/>
        <v>0.33876396484780757</v>
      </c>
      <c r="I107" s="6">
        <f t="shared" si="14"/>
        <v>8.5360351521924227E-3</v>
      </c>
      <c r="J107" s="6">
        <f t="shared" si="12"/>
        <v>7.2863896119464722E-5</v>
      </c>
      <c r="AB107">
        <f t="array" ref="AB107">MAX(IF($C$4:$C$200=MEDIAN($M$1-1,$M$1+1,C107),$D$4:$D$200,0))</f>
        <v>1.097</v>
      </c>
      <c r="AC107" s="35">
        <f t="shared" si="11"/>
        <v>2.0999999999999908E-3</v>
      </c>
    </row>
    <row r="108" spans="2:29" x14ac:dyDescent="0.25">
      <c r="B108">
        <v>24.896000000000001</v>
      </c>
      <c r="C108" s="2">
        <v>99.86</v>
      </c>
      <c r="D108" s="2">
        <v>0.34939999999999999</v>
      </c>
      <c r="E108" s="2">
        <v>341.2</v>
      </c>
      <c r="F108" s="35">
        <f t="shared" si="8"/>
        <v>0.34939999999999999</v>
      </c>
      <c r="H108" s="6">
        <f t="shared" si="13"/>
        <v>0.33870918683292306</v>
      </c>
      <c r="I108" s="6">
        <f t="shared" si="14"/>
        <v>1.0690813167076929E-2</v>
      </c>
      <c r="J108" s="6">
        <f t="shared" si="12"/>
        <v>1.1429348617334544E-4</v>
      </c>
      <c r="AB108">
        <f t="array" ref="AB108">MAX(IF($C$4:$C$200=MEDIAN($M$1-1,$M$1+1,C108),$D$4:$D$200,0))</f>
        <v>0.34939999999999999</v>
      </c>
      <c r="AC108" s="35">
        <f t="shared" si="11"/>
        <v>3.4000000000000141E-3</v>
      </c>
    </row>
    <row r="109" spans="2:29" x14ac:dyDescent="0.25">
      <c r="B109">
        <v>25.164000000000001</v>
      </c>
      <c r="C109" s="2">
        <v>99.86</v>
      </c>
      <c r="D109" s="2">
        <v>0.34599999999999997</v>
      </c>
      <c r="E109" s="2">
        <v>341.2</v>
      </c>
      <c r="F109" s="35">
        <f t="shared" si="8"/>
        <v>0.34599999999999997</v>
      </c>
      <c r="H109" s="6">
        <f t="shared" si="13"/>
        <v>0.33866437309030406</v>
      </c>
      <c r="I109" s="6">
        <f t="shared" si="14"/>
        <v>7.3356269096959137E-3</v>
      </c>
      <c r="J109" s="6">
        <f t="shared" si="12"/>
        <v>5.3811422158254823E-5</v>
      </c>
      <c r="AB109">
        <f t="array" ref="AB109">MAX(IF($C$4:$C$200=MEDIAN($M$1-1,$M$1+1,C109),$D$4:$D$200,0))</f>
        <v>0.34939999999999999</v>
      </c>
      <c r="AC109" s="35">
        <f t="shared" si="11"/>
        <v>4.1999999999999815E-3</v>
      </c>
    </row>
    <row r="110" spans="2:29" x14ac:dyDescent="0.25">
      <c r="B110">
        <v>25.376000000000001</v>
      </c>
      <c r="C110" s="2">
        <v>99.85</v>
      </c>
      <c r="D110" s="2">
        <v>0.34179999999999999</v>
      </c>
      <c r="E110" s="2">
        <v>341</v>
      </c>
      <c r="F110" s="35">
        <f t="shared" si="8"/>
        <v>0.34179999999999999</v>
      </c>
      <c r="H110" s="6">
        <f t="shared" si="13"/>
        <v>0.33863185675382201</v>
      </c>
      <c r="I110" s="6">
        <f t="shared" si="14"/>
        <v>3.168143246177979E-3</v>
      </c>
      <c r="J110" s="6">
        <f t="shared" si="12"/>
        <v>1.0037131628303142E-5</v>
      </c>
      <c r="AB110">
        <f t="array" ref="AB110">MAX(IF($C$4:$C$200=MEDIAN($M$1-1,$M$1+1,C110),$D$4:$D$200,0))</f>
        <v>0.41249999999999998</v>
      </c>
      <c r="AC110" s="35">
        <f t="shared" si="11"/>
        <v>0</v>
      </c>
    </row>
    <row r="111" spans="2:29" x14ac:dyDescent="0.25">
      <c r="B111">
        <v>25.536000000000001</v>
      </c>
      <c r="C111" s="2">
        <v>99.85</v>
      </c>
      <c r="D111" s="2">
        <v>0.34179999999999999</v>
      </c>
      <c r="E111" s="2">
        <v>341</v>
      </c>
      <c r="F111" s="35">
        <f t="shared" si="8"/>
        <v>0.34179999999999999</v>
      </c>
      <c r="H111" s="6">
        <f t="shared" si="13"/>
        <v>0.3386089048649823</v>
      </c>
      <c r="I111" s="6">
        <f t="shared" si="14"/>
        <v>3.1910951350176964E-3</v>
      </c>
      <c r="J111" s="6">
        <f t="shared" si="12"/>
        <v>1.018308816073361E-5</v>
      </c>
      <c r="AB111">
        <f t="array" ref="AB111">MAX(IF($C$4:$C$200=MEDIAN($M$1-1,$M$1+1,C111),$D$4:$D$200,0))</f>
        <v>0.41249999999999998</v>
      </c>
      <c r="AC111" s="35">
        <f t="shared" si="11"/>
        <v>5.2999999999999714E-3</v>
      </c>
    </row>
    <row r="112" spans="2:29" x14ac:dyDescent="0.25">
      <c r="B112">
        <v>25.844000000000001</v>
      </c>
      <c r="C112" s="2">
        <v>99.88</v>
      </c>
      <c r="D112" s="2">
        <v>0.33650000000000002</v>
      </c>
      <c r="E112" s="2">
        <v>340.5</v>
      </c>
      <c r="F112" s="35">
        <f t="shared" si="8"/>
        <v>0.33650000000000002</v>
      </c>
      <c r="H112" s="6">
        <f t="shared" si="13"/>
        <v>0.33856826996130929</v>
      </c>
      <c r="I112" s="6">
        <f t="shared" si="14"/>
        <v>-2.0682699613092659E-3</v>
      </c>
      <c r="J112" s="6">
        <f t="shared" si="12"/>
        <v>4.2777406328542325E-6</v>
      </c>
      <c r="AB112">
        <f t="array" ref="AB112">MAX(IF($C$4:$C$200=MEDIAN($M$1-1,$M$1+1,C112),$D$4:$D$200,0))</f>
        <v>0.35510000000000003</v>
      </c>
      <c r="AC112" s="35">
        <f t="shared" si="11"/>
        <v>6.9999999999997842E-4</v>
      </c>
    </row>
    <row r="113" spans="2:29" x14ac:dyDescent="0.25">
      <c r="B113">
        <v>26.132000000000001</v>
      </c>
      <c r="C113" s="2">
        <v>99.88</v>
      </c>
      <c r="D113" s="2">
        <v>0.3372</v>
      </c>
      <c r="E113" s="2">
        <v>340.5</v>
      </c>
      <c r="F113" s="35">
        <f t="shared" si="8"/>
        <v>0.3372</v>
      </c>
      <c r="H113" s="6">
        <f t="shared" si="13"/>
        <v>0.33853413374627372</v>
      </c>
      <c r="I113" s="6">
        <f t="shared" si="14"/>
        <v>-1.3341337462737246E-3</v>
      </c>
      <c r="J113" s="6">
        <f t="shared" si="12"/>
        <v>1.7799128529463629E-6</v>
      </c>
      <c r="AB113">
        <f t="array" ref="AB113">MAX(IF($C$4:$C$200=MEDIAN($M$1-1,$M$1+1,C113),$D$4:$D$200,0))</f>
        <v>0.35510000000000003</v>
      </c>
      <c r="AC113" s="35">
        <f t="shared" si="11"/>
        <v>8.0000000000000071E-3</v>
      </c>
    </row>
    <row r="114" spans="2:29" x14ac:dyDescent="0.25">
      <c r="B114">
        <v>26.352</v>
      </c>
      <c r="C114" s="2">
        <v>99.84</v>
      </c>
      <c r="D114" s="2">
        <v>0.34520000000000001</v>
      </c>
      <c r="E114" s="2">
        <v>340.5</v>
      </c>
      <c r="F114" s="35">
        <f t="shared" si="8"/>
        <v>0.34520000000000001</v>
      </c>
      <c r="H114" s="6">
        <f t="shared" si="13"/>
        <v>0.33851033618100335</v>
      </c>
      <c r="I114" s="6">
        <f t="shared" si="14"/>
        <v>6.6896638189966606E-3</v>
      </c>
      <c r="J114" s="6">
        <f t="shared" si="12"/>
        <v>4.4751602011192984E-5</v>
      </c>
      <c r="AB114">
        <f t="array" ref="AB114">MAX(IF($C$4:$C$200=MEDIAN($M$1-1,$M$1+1,C114),$D$4:$D$200,0))</f>
        <v>0.36</v>
      </c>
      <c r="AC114" s="35">
        <f t="shared" si="11"/>
        <v>6.2999999999999723E-3</v>
      </c>
    </row>
    <row r="115" spans="2:29" x14ac:dyDescent="0.25">
      <c r="B115">
        <v>26.527999999999999</v>
      </c>
      <c r="C115" s="2">
        <v>99.84</v>
      </c>
      <c r="D115" s="2">
        <v>0.35149999999999998</v>
      </c>
      <c r="E115" s="2">
        <v>340.5</v>
      </c>
      <c r="F115" s="35">
        <f t="shared" si="8"/>
        <v>0.35149999999999998</v>
      </c>
      <c r="H115" s="6">
        <f t="shared" si="13"/>
        <v>0.33849260705589046</v>
      </c>
      <c r="I115" s="6">
        <f t="shared" si="14"/>
        <v>1.3007392944109519E-2</v>
      </c>
      <c r="J115" s="6">
        <f t="shared" si="12"/>
        <v>1.691922712024701E-4</v>
      </c>
      <c r="AB115">
        <f t="array" ref="AB115">MAX(IF($C$4:$C$200=MEDIAN($M$1-1,$M$1+1,C115),$D$4:$D$200,0))</f>
        <v>0.36</v>
      </c>
      <c r="AC115" s="35">
        <f t="shared" si="11"/>
        <v>2.0999999999999908E-3</v>
      </c>
    </row>
    <row r="116" spans="2:29" x14ac:dyDescent="0.25">
      <c r="B116">
        <v>26.832000000000001</v>
      </c>
      <c r="C116" s="2">
        <v>99.83</v>
      </c>
      <c r="D116" s="2">
        <v>0.34939999999999999</v>
      </c>
      <c r="E116" s="2">
        <v>341.5</v>
      </c>
      <c r="F116" s="35">
        <f t="shared" si="8"/>
        <v>0.34939999999999999</v>
      </c>
      <c r="H116" s="6">
        <f t="shared" si="13"/>
        <v>0.33846450462951649</v>
      </c>
      <c r="I116" s="6">
        <f t="shared" si="14"/>
        <v>1.0935495370483495E-2</v>
      </c>
      <c r="J116" s="6">
        <f t="shared" si="12"/>
        <v>1.1958505899786595E-4</v>
      </c>
      <c r="AB116">
        <f t="array" ref="AB116">MAX(IF($C$4:$C$200=MEDIAN($M$1-1,$M$1+1,C116),$D$4:$D$200,0))</f>
        <v>0.34939999999999999</v>
      </c>
      <c r="AC116" s="35">
        <f t="shared" si="11"/>
        <v>3.7999999999999701E-3</v>
      </c>
    </row>
    <row r="117" spans="2:29" x14ac:dyDescent="0.25">
      <c r="B117">
        <v>27.088000000000001</v>
      </c>
      <c r="C117" s="2">
        <v>99.83</v>
      </c>
      <c r="D117" s="2">
        <v>0.34560000000000002</v>
      </c>
      <c r="E117" s="2">
        <v>341.5</v>
      </c>
      <c r="F117" s="35">
        <f t="shared" si="8"/>
        <v>0.34560000000000002</v>
      </c>
      <c r="H117" s="6">
        <f t="shared" si="13"/>
        <v>0.33844310736704886</v>
      </c>
      <c r="I117" s="6">
        <f t="shared" si="14"/>
        <v>7.1568926329511617E-3</v>
      </c>
      <c r="J117" s="6">
        <f t="shared" si="12"/>
        <v>5.1221112159590612E-5</v>
      </c>
      <c r="AB117">
        <f t="array" ref="AB117">MAX(IF($C$4:$C$200=MEDIAN($M$1-1,$M$1+1,C117),$D$4:$D$200,0))</f>
        <v>0.34939999999999999</v>
      </c>
      <c r="AC117" s="35">
        <f t="shared" si="11"/>
        <v>2.5000000000000022E-3</v>
      </c>
    </row>
    <row r="118" spans="2:29" x14ac:dyDescent="0.25">
      <c r="B118">
        <v>27.268000000000001</v>
      </c>
      <c r="C118" s="2">
        <v>99.86</v>
      </c>
      <c r="D118" s="2">
        <v>0.34310000000000002</v>
      </c>
      <c r="E118" s="2">
        <v>341.1</v>
      </c>
      <c r="F118" s="35">
        <f t="shared" si="8"/>
        <v>0.34310000000000002</v>
      </c>
      <c r="H118" s="6">
        <f t="shared" si="13"/>
        <v>0.33842919829388762</v>
      </c>
      <c r="I118" s="6">
        <f t="shared" si="14"/>
        <v>4.670801706112393E-3</v>
      </c>
      <c r="J118" s="6">
        <f t="shared" si="12"/>
        <v>2.1816388577822441E-5</v>
      </c>
      <c r="AB118">
        <f t="array" ref="AB118">MAX(IF($C$4:$C$200=MEDIAN($M$1-1,$M$1+1,C118),$D$4:$D$200,0))</f>
        <v>0.34939999999999999</v>
      </c>
      <c r="AC118" s="35">
        <f t="shared" si="11"/>
        <v>2.3000000000000242E-3</v>
      </c>
    </row>
    <row r="119" spans="2:29" x14ac:dyDescent="0.25">
      <c r="B119">
        <v>27.423999999999999</v>
      </c>
      <c r="C119" s="2">
        <v>99.86</v>
      </c>
      <c r="D119" s="2">
        <v>0.34079999999999999</v>
      </c>
      <c r="E119" s="2">
        <v>341.1</v>
      </c>
      <c r="F119" s="35">
        <f t="shared" si="8"/>
        <v>0.34079999999999999</v>
      </c>
      <c r="H119" s="6">
        <f t="shared" si="13"/>
        <v>0.33841785033056171</v>
      </c>
      <c r="I119" s="6">
        <f t="shared" si="14"/>
        <v>2.3821496694382827E-3</v>
      </c>
      <c r="J119" s="6">
        <f t="shared" si="12"/>
        <v>5.6746370476049197E-6</v>
      </c>
      <c r="AB119">
        <f t="array" ref="AB119">MAX(IF($C$4:$C$200=MEDIAN($M$1-1,$M$1+1,C119),$D$4:$D$200,0))</f>
        <v>0.34939999999999999</v>
      </c>
      <c r="AC119" s="35">
        <f t="shared" si="11"/>
        <v>0</v>
      </c>
    </row>
    <row r="120" spans="2:29" x14ac:dyDescent="0.25">
      <c r="B120">
        <v>27.571999999999999</v>
      </c>
      <c r="C120" s="2">
        <v>99.86</v>
      </c>
      <c r="D120" s="2">
        <v>0.34079999999999999</v>
      </c>
      <c r="E120" s="2">
        <v>341.1</v>
      </c>
      <c r="F120" s="35">
        <f t="shared" si="8"/>
        <v>0.34079999999999999</v>
      </c>
      <c r="H120" s="6">
        <f t="shared" si="13"/>
        <v>0.33840765661854366</v>
      </c>
      <c r="I120" s="6">
        <f t="shared" si="14"/>
        <v>2.39234338145633E-3</v>
      </c>
      <c r="J120" s="6">
        <f t="shared" si="12"/>
        <v>5.7233068547979071E-6</v>
      </c>
      <c r="AB120">
        <f t="array" ref="AB120">MAX(IF($C$4:$C$200=MEDIAN($M$1-1,$M$1+1,C120),$D$4:$D$200,0))</f>
        <v>0.34939999999999999</v>
      </c>
      <c r="AC120" s="35">
        <f t="shared" si="11"/>
        <v>2.5999999999999912E-3</v>
      </c>
    </row>
    <row r="121" spans="2:29" x14ac:dyDescent="0.25">
      <c r="B121">
        <v>27.888000000000002</v>
      </c>
      <c r="C121" s="2">
        <v>99.85</v>
      </c>
      <c r="D121" s="2">
        <v>0.3382</v>
      </c>
      <c r="E121" s="2">
        <v>340.8</v>
      </c>
      <c r="F121" s="35">
        <f t="shared" si="8"/>
        <v>0.3382</v>
      </c>
      <c r="H121" s="6">
        <f t="shared" si="13"/>
        <v>0.33838762388785204</v>
      </c>
      <c r="I121" s="6">
        <f t="shared" si="14"/>
        <v>-1.8762388785203976E-4</v>
      </c>
      <c r="J121" s="6">
        <f t="shared" si="12"/>
        <v>3.5202723292714796E-8</v>
      </c>
      <c r="AB121">
        <f t="array" ref="AB121">MAX(IF($C$4:$C$200=MEDIAN($M$1-1,$M$1+1,C121),$D$4:$D$200,0))</f>
        <v>0.41249999999999998</v>
      </c>
      <c r="AC121" s="35">
        <f t="shared" si="11"/>
        <v>4.8000000000000265E-3</v>
      </c>
    </row>
    <row r="122" spans="2:29" x14ac:dyDescent="0.25">
      <c r="B122">
        <v>28.164000000000001</v>
      </c>
      <c r="C122" s="2">
        <v>99.72</v>
      </c>
      <c r="D122" s="2">
        <v>0.34300000000000003</v>
      </c>
      <c r="E122" s="2">
        <v>341.1</v>
      </c>
      <c r="F122" s="35">
        <f t="shared" si="8"/>
        <v>0.34300000000000003</v>
      </c>
      <c r="H122" s="6">
        <f t="shared" si="13"/>
        <v>0.3383718941634406</v>
      </c>
      <c r="I122" s="6">
        <f t="shared" si="14"/>
        <v>4.6281058365594263E-3</v>
      </c>
      <c r="J122" s="6">
        <f t="shared" si="12"/>
        <v>2.1419363634395428E-5</v>
      </c>
      <c r="AB122">
        <f t="array" ref="AB122">MAX(IF($C$4:$C$200=MEDIAN($M$1-1,$M$1+1,C122),$D$4:$D$200,0))</f>
        <v>0.35020000000000001</v>
      </c>
      <c r="AC122" s="35">
        <f t="shared" si="11"/>
        <v>7.1999999999999842E-3</v>
      </c>
    </row>
    <row r="123" spans="2:29" x14ac:dyDescent="0.25">
      <c r="B123">
        <v>28.4</v>
      </c>
      <c r="C123" s="2">
        <v>99.72</v>
      </c>
      <c r="D123" s="2">
        <v>0.35020000000000001</v>
      </c>
      <c r="E123" s="2">
        <v>341.1</v>
      </c>
      <c r="F123" s="35">
        <f t="shared" si="8"/>
        <v>0.35020000000000001</v>
      </c>
      <c r="H123" s="6">
        <f t="shared" si="13"/>
        <v>0.33835962734936098</v>
      </c>
      <c r="I123" s="6">
        <f t="shared" si="14"/>
        <v>1.1840372650639031E-2</v>
      </c>
      <c r="J123" s="6">
        <f t="shared" si="12"/>
        <v>1.4019442450600075E-4</v>
      </c>
      <c r="AB123">
        <f t="array" ref="AB123">MAX(IF($C$4:$C$200=MEDIAN($M$1-1,$M$1+1,C123),$D$4:$D$200,0))</f>
        <v>0.35020000000000001</v>
      </c>
      <c r="AC123" s="35">
        <f t="shared" si="11"/>
        <v>0</v>
      </c>
    </row>
    <row r="124" spans="2:29" x14ac:dyDescent="0.25">
      <c r="B124">
        <v>28.56</v>
      </c>
      <c r="C124" s="2">
        <v>99.72</v>
      </c>
      <c r="D124" s="2">
        <v>0.35020000000000001</v>
      </c>
      <c r="E124" s="2">
        <v>341.1</v>
      </c>
      <c r="F124" s="35">
        <f t="shared" si="8"/>
        <v>0.35020000000000001</v>
      </c>
      <c r="H124" s="6">
        <f t="shared" si="13"/>
        <v>0.33835188317794929</v>
      </c>
      <c r="I124" s="6">
        <f t="shared" si="14"/>
        <v>1.1848116822050725E-2</v>
      </c>
      <c r="J124" s="6">
        <f t="shared" si="12"/>
        <v>1.4037787222896138E-4</v>
      </c>
      <c r="AB124">
        <f t="array" ref="AB124">MAX(IF($C$4:$C$200=MEDIAN($M$1-1,$M$1+1,C124),$D$4:$D$200,0))</f>
        <v>0.35020000000000001</v>
      </c>
      <c r="AC124" s="35">
        <f t="shared" si="11"/>
        <v>2.7000000000000357E-3</v>
      </c>
    </row>
    <row r="125" spans="2:29" x14ac:dyDescent="0.25">
      <c r="B125">
        <v>28.86</v>
      </c>
      <c r="C125" s="2">
        <v>99.78</v>
      </c>
      <c r="D125" s="2">
        <v>0.34749999999999998</v>
      </c>
      <c r="E125" s="2">
        <v>341.9</v>
      </c>
      <c r="F125" s="35">
        <f t="shared" si="8"/>
        <v>0.34749999999999998</v>
      </c>
      <c r="H125" s="6">
        <f t="shared" si="13"/>
        <v>0.33833850986306224</v>
      </c>
      <c r="I125" s="6">
        <f t="shared" si="14"/>
        <v>9.1614901369377333E-3</v>
      </c>
      <c r="J125" s="6">
        <f t="shared" si="12"/>
        <v>8.3932901529207361E-5</v>
      </c>
      <c r="AB125">
        <f t="array" ref="AB125">MAX(IF($C$4:$C$200=MEDIAN($M$1-1,$M$1+1,C125),$D$4:$D$200,0))</f>
        <v>0.34749999999999998</v>
      </c>
      <c r="AC125" s="35">
        <f t="shared" si="11"/>
        <v>1.1599999999999999E-2</v>
      </c>
    </row>
    <row r="126" spans="2:29" x14ac:dyDescent="0.25">
      <c r="B126">
        <v>29.167999999999999</v>
      </c>
      <c r="C126" s="2">
        <v>99.68</v>
      </c>
      <c r="D126" s="2">
        <v>0.33589999999999998</v>
      </c>
      <c r="E126" s="2">
        <v>341.1</v>
      </c>
      <c r="F126" s="35">
        <f t="shared" si="8"/>
        <v>0.33589999999999998</v>
      </c>
      <c r="H126" s="6">
        <f t="shared" si="13"/>
        <v>0.33832620020777471</v>
      </c>
      <c r="I126" s="6">
        <f t="shared" si="14"/>
        <v>-2.4262002077747313E-3</v>
      </c>
      <c r="J126" s="6">
        <f t="shared" si="12"/>
        <v>5.8864474482061494E-6</v>
      </c>
      <c r="AB126">
        <f t="array" ref="AB126">MAX(IF($C$4:$C$200=MEDIAN($M$1-1,$M$1+1,C126),$D$4:$D$200,0))</f>
        <v>0.34460000000000002</v>
      </c>
      <c r="AC126" s="35">
        <f t="shared" si="11"/>
        <v>4.0000000000000036E-3</v>
      </c>
    </row>
    <row r="127" spans="2:29" x14ac:dyDescent="0.25">
      <c r="B127">
        <v>29.36</v>
      </c>
      <c r="C127" s="2">
        <v>99.68</v>
      </c>
      <c r="D127" s="2">
        <v>0.33189999999999997</v>
      </c>
      <c r="E127" s="2">
        <v>341.1</v>
      </c>
      <c r="F127" s="35">
        <f t="shared" si="8"/>
        <v>0.33189999999999997</v>
      </c>
      <c r="H127" s="6">
        <f t="shared" si="13"/>
        <v>0.33831918803315952</v>
      </c>
      <c r="I127" s="6">
        <f t="shared" si="14"/>
        <v>-6.4191880331595508E-3</v>
      </c>
      <c r="J127" s="6">
        <f t="shared" si="12"/>
        <v>4.1205975005058782E-5</v>
      </c>
      <c r="AB127">
        <f t="array" ref="AB127">MAX(IF($C$4:$C$200=MEDIAN($M$1-1,$M$1+1,C127),$D$4:$D$200,0))</f>
        <v>0.34460000000000002</v>
      </c>
      <c r="AC127" s="35">
        <f t="shared" si="11"/>
        <v>0</v>
      </c>
    </row>
    <row r="128" spans="2:29" x14ac:dyDescent="0.25">
      <c r="B128">
        <v>29.507999999999999</v>
      </c>
      <c r="C128" s="2">
        <v>99.68</v>
      </c>
      <c r="D128" s="2">
        <v>0.33189999999999997</v>
      </c>
      <c r="E128" s="2">
        <v>341.1</v>
      </c>
      <c r="F128" s="35">
        <f t="shared" si="8"/>
        <v>0.33189999999999997</v>
      </c>
      <c r="H128" s="6">
        <f t="shared" si="13"/>
        <v>0.33831410348136881</v>
      </c>
      <c r="I128" s="6">
        <f t="shared" si="14"/>
        <v>-6.414103481368838E-3</v>
      </c>
      <c r="J128" s="6">
        <f t="shared" si="12"/>
        <v>4.114072346970785E-5</v>
      </c>
      <c r="AB128">
        <f t="array" ref="AB128">MAX(IF($C$4:$C$200=MEDIAN($M$1-1,$M$1+1,C128),$D$4:$D$200,0))</f>
        <v>0.34460000000000002</v>
      </c>
      <c r="AC128" s="35">
        <f t="shared" si="11"/>
        <v>5.0000000000000044E-4</v>
      </c>
    </row>
    <row r="129" spans="2:29" x14ac:dyDescent="0.25">
      <c r="B129">
        <v>29.763999999999999</v>
      </c>
      <c r="C129" s="2">
        <v>99.74</v>
      </c>
      <c r="D129" s="2">
        <v>0.33139999999999997</v>
      </c>
      <c r="E129" s="2">
        <v>340.8</v>
      </c>
      <c r="F129" s="35">
        <f t="shared" si="8"/>
        <v>0.33139999999999997</v>
      </c>
      <c r="H129" s="6">
        <f t="shared" si="13"/>
        <v>0.33830592233454704</v>
      </c>
      <c r="I129" s="6">
        <f t="shared" si="14"/>
        <v>-6.9059223345470655E-3</v>
      </c>
      <c r="J129" s="6">
        <f t="shared" si="12"/>
        <v>4.7691763290795994E-5</v>
      </c>
      <c r="AB129">
        <f t="array" ref="AB129">MAX(IF($C$4:$C$200=MEDIAN($M$1-1,$M$1+1,C129),$D$4:$D$200,0))</f>
        <v>2.2999999999999998</v>
      </c>
      <c r="AC129" s="35">
        <f t="shared" si="11"/>
        <v>9.6000000000000529E-3</v>
      </c>
    </row>
    <row r="130" spans="2:29" x14ac:dyDescent="0.25">
      <c r="B130">
        <v>30.036000000000001</v>
      </c>
      <c r="C130" s="2">
        <v>99.74</v>
      </c>
      <c r="D130" s="2">
        <v>0.34100000000000003</v>
      </c>
      <c r="E130" s="2">
        <v>340.8</v>
      </c>
      <c r="F130" s="35">
        <f t="shared" si="8"/>
        <v>0.34100000000000003</v>
      </c>
      <c r="H130" s="6">
        <f t="shared" si="13"/>
        <v>0.33829801609131449</v>
      </c>
      <c r="I130" s="6">
        <f t="shared" si="14"/>
        <v>2.7019839086855346E-3</v>
      </c>
      <c r="J130" s="6">
        <f t="shared" si="12"/>
        <v>7.3007170427955596E-6</v>
      </c>
      <c r="AB130">
        <f t="array" ref="AB130">MAX(IF($C$4:$C$200=MEDIAN($M$1-1,$M$1+1,C130),$D$4:$D$200,0))</f>
        <v>2.2999999999999998</v>
      </c>
      <c r="AC130" s="35">
        <f t="shared" si="11"/>
        <v>5.1999999999999824E-3</v>
      </c>
    </row>
    <row r="131" spans="2:29" x14ac:dyDescent="0.25">
      <c r="B131">
        <v>30.271999999999998</v>
      </c>
      <c r="C131" s="2">
        <v>99.73</v>
      </c>
      <c r="D131" s="2">
        <v>0.34620000000000001</v>
      </c>
      <c r="E131" s="2">
        <v>341.3</v>
      </c>
      <c r="F131" s="35">
        <f t="shared" si="8"/>
        <v>0.34620000000000001</v>
      </c>
      <c r="H131" s="6">
        <f t="shared" si="13"/>
        <v>0.3382917551706095</v>
      </c>
      <c r="I131" s="6">
        <f t="shared" si="14"/>
        <v>7.9082448293905094E-3</v>
      </c>
      <c r="J131" s="6">
        <f t="shared" si="12"/>
        <v>6.2540336281581731E-5</v>
      </c>
      <c r="AB131">
        <f t="array" ref="AB131">MAX(IF($C$4:$C$200=MEDIAN($M$1-1,$M$1+1,C131),$D$4:$D$200,0))</f>
        <v>2.2999999999999998</v>
      </c>
      <c r="AC131" s="35">
        <f t="shared" si="11"/>
        <v>2.4000000000000132E-3</v>
      </c>
    </row>
    <row r="132" spans="2:29" x14ac:dyDescent="0.25">
      <c r="B132">
        <v>30.443999999999999</v>
      </c>
      <c r="C132" s="2">
        <v>99.73</v>
      </c>
      <c r="D132" s="2">
        <v>0.34860000000000002</v>
      </c>
      <c r="E132" s="2">
        <v>341.3</v>
      </c>
      <c r="F132" s="35">
        <f t="shared" ref="F132:F147" si="15">IF(C132=MEDIAN($M$1-1,$M$1+1,C132),IF(D132&lt;=AVERAGE($AB$3,AVERAGEIF($B$4:$B$200,"&gt;20",$D$4:$D$200)),D132,0),0)</f>
        <v>0.34860000000000002</v>
      </c>
      <c r="H132" s="6">
        <f t="shared" ref="H132:H147" si="16">IF(MATCH(F132,$F$4:$F$200,0)&gt;=MATCH(MAX($F$4:$F$200),$F$4:$F$200,0),$M$4+($M$5-$M$4)*(1-EXP(-B132/$M$6)),0)</f>
        <v>0.33828751519898859</v>
      </c>
      <c r="I132" s="6">
        <f t="shared" ref="I132:I147" si="17">IF(H132&gt;0,D132-H132,0)</f>
        <v>1.0312484801011434E-2</v>
      </c>
      <c r="J132" s="6">
        <f t="shared" si="12"/>
        <v>1.0634734277109184E-4</v>
      </c>
      <c r="AB132">
        <f t="array" ref="AB132">MAX(IF($C$4:$C$200=MEDIAN($M$1-1,$M$1+1,C132),$D$4:$D$200,0))</f>
        <v>2.2999999999999998</v>
      </c>
      <c r="AC132" s="35">
        <f t="shared" si="11"/>
        <v>1.5000000000000013E-3</v>
      </c>
    </row>
    <row r="133" spans="2:29" x14ac:dyDescent="0.25">
      <c r="B133">
        <v>30.66</v>
      </c>
      <c r="C133" s="2">
        <v>99.78</v>
      </c>
      <c r="D133" s="2">
        <v>0.34710000000000002</v>
      </c>
      <c r="E133" s="2">
        <v>341.9</v>
      </c>
      <c r="F133" s="35">
        <f t="shared" si="15"/>
        <v>0.34710000000000002</v>
      </c>
      <c r="H133" s="6">
        <f t="shared" si="16"/>
        <v>0.33828254861543572</v>
      </c>
      <c r="I133" s="6">
        <f t="shared" si="17"/>
        <v>8.817451384564301E-3</v>
      </c>
      <c r="J133" s="6">
        <f t="shared" si="12"/>
        <v>7.7747448919154914E-5</v>
      </c>
      <c r="AB133">
        <f t="array" ref="AB133">MAX(IF($C$4:$C$200=MEDIAN($M$1-1,$M$1+1,C133),$D$4:$D$200,0))</f>
        <v>0.34749999999999998</v>
      </c>
      <c r="AC133" s="35">
        <f t="shared" ref="AC133:AC145" si="18">ABS(D133-D134)</f>
        <v>1.1599999999999999E-2</v>
      </c>
    </row>
    <row r="134" spans="2:29" x14ac:dyDescent="0.25">
      <c r="B134">
        <v>30.963999999999999</v>
      </c>
      <c r="C134" s="2">
        <v>99.78</v>
      </c>
      <c r="D134" s="2">
        <v>0.33550000000000002</v>
      </c>
      <c r="E134" s="2">
        <v>341.9</v>
      </c>
      <c r="F134" s="35">
        <f t="shared" si="15"/>
        <v>0.33550000000000002</v>
      </c>
      <c r="H134" s="6">
        <f t="shared" si="16"/>
        <v>0.33827618042713947</v>
      </c>
      <c r="I134" s="6">
        <f t="shared" si="17"/>
        <v>-2.7761804271394519E-3</v>
      </c>
      <c r="J134" s="6">
        <f t="shared" si="12"/>
        <v>7.7071777640321888E-6</v>
      </c>
      <c r="AB134">
        <f t="array" ref="AB134">MAX(IF($C$4:$C$200=MEDIAN($M$1-1,$M$1+1,C134),$D$4:$D$200,0))</f>
        <v>0.34749999999999998</v>
      </c>
      <c r="AC134" s="35">
        <f t="shared" si="18"/>
        <v>2.6000000000000467E-3</v>
      </c>
    </row>
    <row r="135" spans="2:29" x14ac:dyDescent="0.25">
      <c r="B135">
        <v>31.224</v>
      </c>
      <c r="C135" s="2">
        <v>100</v>
      </c>
      <c r="D135" s="2">
        <v>0.33289999999999997</v>
      </c>
      <c r="E135" s="2">
        <v>341.2</v>
      </c>
      <c r="F135" s="35">
        <f t="shared" si="15"/>
        <v>0.33289999999999997</v>
      </c>
      <c r="H135" s="6">
        <f t="shared" si="16"/>
        <v>0.33827125939242375</v>
      </c>
      <c r="I135" s="6">
        <f t="shared" si="17"/>
        <v>-5.3712593924237773E-3</v>
      </c>
      <c r="J135" s="6">
        <f t="shared" si="12"/>
        <v>2.8850427460700645E-5</v>
      </c>
      <c r="AB135">
        <f t="array" ref="AB135">MAX(IF($C$4:$C$200=MEDIAN($M$1-1,$M$1+1,C135),$D$4:$D$200,0))</f>
        <v>0.34770000000000001</v>
      </c>
      <c r="AC135" s="35">
        <f t="shared" si="18"/>
        <v>8.3999999999999631E-3</v>
      </c>
    </row>
    <row r="136" spans="2:29" x14ac:dyDescent="0.25">
      <c r="B136">
        <v>31.38</v>
      </c>
      <c r="C136" s="2">
        <v>100</v>
      </c>
      <c r="D136" s="2">
        <v>0.32450000000000001</v>
      </c>
      <c r="E136" s="2">
        <v>341.2</v>
      </c>
      <c r="F136" s="35">
        <f t="shared" si="15"/>
        <v>0.32450000000000001</v>
      </c>
      <c r="H136" s="6">
        <f t="shared" si="16"/>
        <v>0.33826852001551444</v>
      </c>
      <c r="I136" s="6">
        <f t="shared" si="17"/>
        <v>-1.3768520015514429E-2</v>
      </c>
      <c r="J136" s="6">
        <f t="shared" si="12"/>
        <v>1.8957214341762147E-4</v>
      </c>
      <c r="AB136">
        <f t="array" ref="AB136">MAX(IF($C$4:$C$200=MEDIAN($M$1-1,$M$1+1,C136),$D$4:$D$200,0))</f>
        <v>0.34770000000000001</v>
      </c>
      <c r="AC136" s="35">
        <f t="shared" si="18"/>
        <v>0</v>
      </c>
    </row>
    <row r="137" spans="2:29" x14ac:dyDescent="0.25">
      <c r="B137">
        <v>31.556000000000001</v>
      </c>
      <c r="C137" s="2">
        <v>100</v>
      </c>
      <c r="D137" s="2">
        <v>0.32450000000000001</v>
      </c>
      <c r="E137" s="2">
        <v>340.6</v>
      </c>
      <c r="F137" s="35">
        <f t="shared" si="15"/>
        <v>0.32450000000000001</v>
      </c>
      <c r="H137" s="6">
        <f t="shared" si="16"/>
        <v>0.33826560826669239</v>
      </c>
      <c r="I137" s="6">
        <f t="shared" si="17"/>
        <v>-1.3765608266692375E-2</v>
      </c>
      <c r="J137" s="6">
        <f t="shared" si="12"/>
        <v>1.8949197095202946E-4</v>
      </c>
      <c r="AB137">
        <f t="array" ref="AB137">MAX(IF($C$4:$C$200=MEDIAN($M$1-1,$M$1+1,C137),$D$4:$D$200,0))</f>
        <v>0.34770000000000001</v>
      </c>
      <c r="AC137" s="35">
        <f t="shared" si="18"/>
        <v>2.3199999999999998E-2</v>
      </c>
    </row>
    <row r="138" spans="2:29" x14ac:dyDescent="0.25">
      <c r="B138">
        <v>31.856000000000002</v>
      </c>
      <c r="C138" s="2">
        <v>100</v>
      </c>
      <c r="D138" s="2">
        <v>0.34770000000000001</v>
      </c>
      <c r="E138" s="2">
        <v>340.6</v>
      </c>
      <c r="F138" s="35">
        <f t="shared" si="15"/>
        <v>0.34770000000000001</v>
      </c>
      <c r="H138" s="6">
        <f t="shared" si="16"/>
        <v>0.33826105036958465</v>
      </c>
      <c r="I138" s="6">
        <f t="shared" si="17"/>
        <v>9.4389496304153608E-3</v>
      </c>
      <c r="J138" s="6">
        <f t="shared" si="12"/>
        <v>8.909377012551827E-5</v>
      </c>
      <c r="AB138">
        <f t="array" ref="AB138">MAX(IF($C$4:$C$200=MEDIAN($M$1-1,$M$1+1,C138),$D$4:$D$200,0))</f>
        <v>0.34770000000000001</v>
      </c>
      <c r="AC138" s="35">
        <f t="shared" si="18"/>
        <v>1.0000000000000009E-3</v>
      </c>
    </row>
    <row r="139" spans="2:29" x14ac:dyDescent="0.25">
      <c r="B139">
        <v>32.148000000000003</v>
      </c>
      <c r="C139" s="2">
        <v>100</v>
      </c>
      <c r="D139" s="2">
        <v>0.34670000000000001</v>
      </c>
      <c r="E139" s="2">
        <v>341.8</v>
      </c>
      <c r="F139" s="35">
        <f t="shared" si="15"/>
        <v>0.34670000000000001</v>
      </c>
      <c r="H139" s="6">
        <f t="shared" si="16"/>
        <v>0.33825706168847391</v>
      </c>
      <c r="I139" s="6">
        <f t="shared" si="17"/>
        <v>8.4429383115260936E-3</v>
      </c>
      <c r="J139" s="6">
        <f t="shared" si="12"/>
        <v>7.1283207332235082E-5</v>
      </c>
      <c r="AB139">
        <f t="array" ref="AB139">MAX(IF($C$4:$C$200=MEDIAN($M$1-1,$M$1+1,C139),$D$4:$D$200,0))</f>
        <v>0.34770000000000001</v>
      </c>
      <c r="AC139" s="35">
        <f t="shared" si="18"/>
        <v>1.3000000000000234E-3</v>
      </c>
    </row>
    <row r="140" spans="2:29" x14ac:dyDescent="0.25">
      <c r="B140">
        <v>32.375999999999998</v>
      </c>
      <c r="C140" s="2">
        <v>100</v>
      </c>
      <c r="D140" s="2">
        <v>0.34539999999999998</v>
      </c>
      <c r="E140" s="2">
        <v>341.8</v>
      </c>
      <c r="F140" s="35">
        <f t="shared" si="15"/>
        <v>0.34539999999999998</v>
      </c>
      <c r="H140" s="6">
        <f t="shared" si="16"/>
        <v>0.33825422550034379</v>
      </c>
      <c r="I140" s="6">
        <f t="shared" si="17"/>
        <v>7.1457744996561989E-3</v>
      </c>
      <c r="J140" s="6">
        <f t="shared" si="12"/>
        <v>5.1062093199936802E-5</v>
      </c>
      <c r="AB140">
        <f t="array" ref="AB140">MAX(IF($C$4:$C$200=MEDIAN($M$1-1,$M$1+1,C140),$D$4:$D$200,0))</f>
        <v>0.34770000000000001</v>
      </c>
      <c r="AC140" s="35">
        <f t="shared" si="18"/>
        <v>8.3999999999999631E-3</v>
      </c>
    </row>
    <row r="141" spans="2:29" x14ac:dyDescent="0.25">
      <c r="B141">
        <v>32.567999999999998</v>
      </c>
      <c r="C141" s="2">
        <v>100</v>
      </c>
      <c r="D141" s="2">
        <v>0.33700000000000002</v>
      </c>
      <c r="E141" s="2">
        <v>341.8</v>
      </c>
      <c r="F141" s="35">
        <f t="shared" si="15"/>
        <v>0.33700000000000002</v>
      </c>
      <c r="H141" s="6">
        <f t="shared" si="16"/>
        <v>0.33825201088045942</v>
      </c>
      <c r="I141" s="6">
        <f t="shared" si="17"/>
        <v>-1.2520108804593977E-3</v>
      </c>
      <c r="J141" s="6">
        <f t="shared" ref="J141:J147" si="19">I141^2</f>
        <v>1.5675312447887163E-6</v>
      </c>
      <c r="AB141">
        <f t="array" ref="AB141">MAX(IF($C$4:$C$200=MEDIAN($M$1-1,$M$1+1,C141),$D$4:$D$200,0))</f>
        <v>0.34770000000000001</v>
      </c>
      <c r="AC141" s="35">
        <f t="shared" si="18"/>
        <v>1.5000000000000013E-3</v>
      </c>
    </row>
    <row r="142" spans="2:29" x14ac:dyDescent="0.25">
      <c r="B142">
        <v>32.868000000000002</v>
      </c>
      <c r="C142" s="2">
        <v>100</v>
      </c>
      <c r="D142" s="2">
        <v>0.33550000000000002</v>
      </c>
      <c r="E142" s="2">
        <v>341.8</v>
      </c>
      <c r="F142" s="35">
        <f t="shared" si="15"/>
        <v>0.33550000000000002</v>
      </c>
      <c r="H142" s="6">
        <f t="shared" si="16"/>
        <v>0.33824884234021813</v>
      </c>
      <c r="I142" s="6">
        <f t="shared" si="17"/>
        <v>-2.748842340218105E-3</v>
      </c>
      <c r="J142" s="6">
        <f t="shared" si="19"/>
        <v>7.5561342113757481E-6</v>
      </c>
      <c r="AB142">
        <f t="array" ref="AB142">MAX(IF($C$4:$C$200=MEDIAN($M$1-1,$M$1+1,C142),$D$4:$D$200,0))</f>
        <v>0.34770000000000001</v>
      </c>
      <c r="AC142" s="35">
        <f t="shared" si="18"/>
        <v>7.0000000000000062E-3</v>
      </c>
    </row>
    <row r="143" spans="2:29" x14ac:dyDescent="0.25">
      <c r="B143">
        <v>33.155999999999999</v>
      </c>
      <c r="C143" s="2">
        <v>100</v>
      </c>
      <c r="D143" s="2">
        <v>0.32850000000000001</v>
      </c>
      <c r="E143" s="2">
        <v>340.8</v>
      </c>
      <c r="F143" s="35">
        <f t="shared" si="15"/>
        <v>0.32850000000000001</v>
      </c>
      <c r="H143" s="6">
        <f t="shared" si="16"/>
        <v>0.33824610555755097</v>
      </c>
      <c r="I143" s="6">
        <f t="shared" si="17"/>
        <v>-9.7461055575509548E-3</v>
      </c>
      <c r="J143" s="6">
        <f t="shared" si="19"/>
        <v>9.498657353892561E-5</v>
      </c>
      <c r="AB143">
        <f t="array" ref="AB143">MAX(IF($C$4:$C$200=MEDIAN($M$1-1,$M$1+1,C143),$D$4:$D$200,0))</f>
        <v>0.34770000000000001</v>
      </c>
      <c r="AC143" s="35">
        <f t="shared" si="18"/>
        <v>2.3000000000000242E-3</v>
      </c>
    </row>
    <row r="144" spans="2:29" x14ac:dyDescent="0.25">
      <c r="B144">
        <v>33.380000000000003</v>
      </c>
      <c r="C144" s="2">
        <v>100</v>
      </c>
      <c r="D144" s="2">
        <v>0.32619999999999999</v>
      </c>
      <c r="E144" s="2">
        <v>340.8</v>
      </c>
      <c r="F144" s="35">
        <f t="shared" si="15"/>
        <v>0.32619999999999999</v>
      </c>
      <c r="H144" s="6">
        <f t="shared" si="16"/>
        <v>0.3382441643369507</v>
      </c>
      <c r="I144" s="6">
        <f t="shared" si="17"/>
        <v>-1.2044164336950713E-2</v>
      </c>
      <c r="J144" s="6">
        <f t="shared" si="19"/>
        <v>1.4506189457547542E-4</v>
      </c>
      <c r="AB144">
        <f t="array" ref="AB144">MAX(IF($C$4:$C$200=MEDIAN($M$1-1,$M$1+1,C144),$D$4:$D$200,0))</f>
        <v>0.34770000000000001</v>
      </c>
      <c r="AC144" s="35">
        <f t="shared" si="18"/>
        <v>0</v>
      </c>
    </row>
    <row r="145" spans="2:29" x14ac:dyDescent="0.25">
      <c r="B145">
        <v>33.543999999999997</v>
      </c>
      <c r="C145" s="2">
        <v>100</v>
      </c>
      <c r="D145" s="2">
        <v>0.32619999999999999</v>
      </c>
      <c r="E145" s="2">
        <v>340.5</v>
      </c>
      <c r="F145" s="35">
        <f t="shared" si="15"/>
        <v>0.32619999999999999</v>
      </c>
      <c r="H145" s="6">
        <f t="shared" si="16"/>
        <v>0.33824283894000207</v>
      </c>
      <c r="I145" s="6">
        <f t="shared" si="17"/>
        <v>-1.2042838940002076E-2</v>
      </c>
      <c r="J145" s="6">
        <f t="shared" si="19"/>
        <v>1.4502996973483033E-4</v>
      </c>
      <c r="AB145">
        <f t="array" ref="AB145">MAX(IF($C$4:$C$200=MEDIAN($M$1-1,$M$1+1,C145),$D$4:$D$200,0))</f>
        <v>0.34770000000000001</v>
      </c>
      <c r="AC145" s="35">
        <f t="shared" si="18"/>
        <v>8.4000000000000186E-3</v>
      </c>
    </row>
    <row r="146" spans="2:29" x14ac:dyDescent="0.25">
      <c r="B146">
        <v>33.847999999999999</v>
      </c>
      <c r="C146" s="2">
        <v>100</v>
      </c>
      <c r="D146" s="2">
        <v>0.33460000000000001</v>
      </c>
      <c r="E146" s="2">
        <v>340.5</v>
      </c>
      <c r="F146" s="35">
        <f t="shared" si="15"/>
        <v>0.33460000000000001</v>
      </c>
      <c r="H146" s="6">
        <f t="shared" si="16"/>
        <v>0.33824057941564734</v>
      </c>
      <c r="I146" s="6">
        <f t="shared" si="17"/>
        <v>-3.640579415647327E-3</v>
      </c>
      <c r="J146" s="6">
        <f t="shared" si="19"/>
        <v>1.3253818481635034E-5</v>
      </c>
      <c r="AB146">
        <f t="array" ref="AB146">MAX(IF($C$4:$C$200=MEDIAN($M$1-1,$M$1+1,C146),$D$4:$D$200,0))</f>
        <v>0.34770000000000001</v>
      </c>
      <c r="AC146" s="35">
        <f>ABS(D146-D147)</f>
        <v>2.7999999999999692E-3</v>
      </c>
    </row>
    <row r="147" spans="2:29" ht="15.75" thickBot="1" x14ac:dyDescent="0.3">
      <c r="B147">
        <v>34.116</v>
      </c>
      <c r="C147" s="2">
        <v>100</v>
      </c>
      <c r="D147" s="2">
        <v>0.33739999999999998</v>
      </c>
      <c r="E147" s="2">
        <v>341.5</v>
      </c>
      <c r="F147" s="35">
        <f t="shared" si="15"/>
        <v>0.33739999999999998</v>
      </c>
      <c r="H147" s="6">
        <f t="shared" si="16"/>
        <v>0.33823878218118031</v>
      </c>
      <c r="I147" s="6">
        <f t="shared" si="17"/>
        <v>-8.3878218118033088E-4</v>
      </c>
      <c r="J147" s="6">
        <f t="shared" si="19"/>
        <v>7.0355554746563341E-7</v>
      </c>
      <c r="AB147" s="40">
        <f t="array" ref="AB147">MAX(IF($C$4:$C$200=MEDIAN($M$1-1,$M$1+1,C147),$D$4:$D$200,0))</f>
        <v>0.34770000000000001</v>
      </c>
      <c r="AC147" s="40"/>
    </row>
    <row r="148" spans="2:29" x14ac:dyDescent="0.25">
      <c r="H148" s="6"/>
      <c r="I148" s="6"/>
      <c r="J148" s="6"/>
      <c r="AB148">
        <f t="array" ref="AB148">MAX(IF($C$4:$C$200=MEDIAN($M$1-1,$M$1+1,C148),$D$4:$D$200,0))</f>
        <v>0.34770000000000001</v>
      </c>
      <c r="AC148" s="35">
        <f>AVERAGE(AC4:AC146)</f>
        <v>2.7223776223776232E-2</v>
      </c>
    </row>
    <row r="149" spans="2:29" x14ac:dyDescent="0.25">
      <c r="H149" s="6"/>
      <c r="I149" s="6"/>
      <c r="J149" s="6"/>
    </row>
    <row r="150" spans="2:29" x14ac:dyDescent="0.25">
      <c r="H150" s="6"/>
      <c r="I150" s="6"/>
      <c r="J150" s="6"/>
    </row>
    <row r="151" spans="2:29" x14ac:dyDescent="0.25">
      <c r="H151" s="6"/>
      <c r="I151" s="6"/>
      <c r="J151" s="6"/>
    </row>
    <row r="152" spans="2:29" x14ac:dyDescent="0.25">
      <c r="H152" s="6"/>
      <c r="I152" s="6"/>
      <c r="J152" s="6"/>
    </row>
    <row r="153" spans="2:29" x14ac:dyDescent="0.25">
      <c r="H153" s="6"/>
      <c r="I153" s="6"/>
      <c r="J153" s="6"/>
    </row>
    <row r="154" spans="2:29" x14ac:dyDescent="0.25">
      <c r="H154" s="6"/>
      <c r="I154" s="6"/>
      <c r="J154" s="6"/>
    </row>
    <row r="155" spans="2:29" x14ac:dyDescent="0.25">
      <c r="H155" s="6"/>
      <c r="I155" s="6"/>
      <c r="J155" s="6"/>
    </row>
    <row r="156" spans="2:29" x14ac:dyDescent="0.25">
      <c r="H156" s="6"/>
      <c r="I156" s="6"/>
      <c r="J156" s="6"/>
    </row>
    <row r="157" spans="2:29" x14ac:dyDescent="0.25">
      <c r="H157" s="6"/>
      <c r="I157" s="6"/>
      <c r="J157" s="6"/>
    </row>
    <row r="158" spans="2:29" x14ac:dyDescent="0.25">
      <c r="H158" s="6"/>
      <c r="I158" s="6"/>
      <c r="J158" s="6"/>
    </row>
    <row r="159" spans="2:29" x14ac:dyDescent="0.25">
      <c r="H159" s="6"/>
      <c r="I159" s="6"/>
      <c r="J159" s="6"/>
    </row>
    <row r="160" spans="2:29" x14ac:dyDescent="0.25">
      <c r="H160" s="6"/>
      <c r="I160" s="6"/>
      <c r="J160" s="6"/>
    </row>
    <row r="161" spans="8:10" x14ac:dyDescent="0.25">
      <c r="H161" s="6"/>
      <c r="I161" s="6"/>
      <c r="J161" s="6"/>
    </row>
    <row r="162" spans="8:10" x14ac:dyDescent="0.25">
      <c r="H162" s="6"/>
      <c r="I162" s="6"/>
      <c r="J162" s="6"/>
    </row>
    <row r="163" spans="8:10" x14ac:dyDescent="0.25">
      <c r="H163" s="6"/>
      <c r="I163" s="6"/>
      <c r="J163" s="6"/>
    </row>
    <row r="164" spans="8:10" x14ac:dyDescent="0.25">
      <c r="H164" s="6"/>
      <c r="I164" s="6"/>
      <c r="J164" s="6"/>
    </row>
    <row r="165" spans="8:10" x14ac:dyDescent="0.25">
      <c r="H165" s="6"/>
      <c r="I165" s="6"/>
      <c r="J165" s="6"/>
    </row>
    <row r="166" spans="8:10" x14ac:dyDescent="0.25">
      <c r="H166" s="6"/>
      <c r="I166" s="6"/>
      <c r="J166" s="6"/>
    </row>
    <row r="167" spans="8:10" x14ac:dyDescent="0.25">
      <c r="H167" s="6"/>
      <c r="I167" s="6"/>
      <c r="J167" s="6"/>
    </row>
    <row r="168" spans="8:10" x14ac:dyDescent="0.25">
      <c r="H168" s="6"/>
      <c r="I168" s="6"/>
      <c r="J168" s="6"/>
    </row>
    <row r="169" spans="8:10" x14ac:dyDescent="0.25">
      <c r="H169" s="6"/>
      <c r="I169" s="6"/>
      <c r="J169" s="6"/>
    </row>
    <row r="170" spans="8:10" x14ac:dyDescent="0.25">
      <c r="H170" s="6"/>
      <c r="I170" s="6"/>
      <c r="J170" s="6"/>
    </row>
    <row r="171" spans="8:10" x14ac:dyDescent="0.25">
      <c r="H171" s="6"/>
      <c r="I171" s="6"/>
      <c r="J171" s="6"/>
    </row>
    <row r="172" spans="8:10" x14ac:dyDescent="0.25">
      <c r="H172" s="6"/>
      <c r="I172" s="6"/>
      <c r="J172" s="6"/>
    </row>
    <row r="173" spans="8:10" x14ac:dyDescent="0.25">
      <c r="H173" s="6"/>
      <c r="I173" s="6"/>
      <c r="J173" s="6"/>
    </row>
    <row r="174" spans="8:10" x14ac:dyDescent="0.25">
      <c r="H174" s="6"/>
      <c r="I174" s="6"/>
      <c r="J174" s="6"/>
    </row>
    <row r="175" spans="8:10" x14ac:dyDescent="0.25">
      <c r="H175" s="6"/>
      <c r="I175" s="6"/>
      <c r="J175" s="6"/>
    </row>
    <row r="176" spans="8:10" x14ac:dyDescent="0.25">
      <c r="H176" s="6"/>
      <c r="I176" s="6"/>
      <c r="J176" s="6"/>
    </row>
    <row r="177" spans="8:10" x14ac:dyDescent="0.25">
      <c r="H177" s="6"/>
      <c r="I177" s="6"/>
      <c r="J177" s="6"/>
    </row>
    <row r="178" spans="8:10" x14ac:dyDescent="0.25">
      <c r="H178" s="6"/>
      <c r="I178" s="6"/>
      <c r="J178" s="6"/>
    </row>
    <row r="179" spans="8:10" x14ac:dyDescent="0.25">
      <c r="H179" s="6"/>
      <c r="I179" s="6"/>
      <c r="J179" s="6"/>
    </row>
    <row r="180" spans="8:10" x14ac:dyDescent="0.25">
      <c r="H180" s="6"/>
      <c r="I180" s="6"/>
      <c r="J180" s="6"/>
    </row>
    <row r="181" spans="8:10" x14ac:dyDescent="0.25">
      <c r="H181" s="6"/>
      <c r="I181" s="6"/>
      <c r="J181" s="6"/>
    </row>
    <row r="182" spans="8:10" x14ac:dyDescent="0.25">
      <c r="H182" s="6"/>
      <c r="I182" s="6"/>
      <c r="J182" s="6"/>
    </row>
    <row r="183" spans="8:10" x14ac:dyDescent="0.25">
      <c r="H183" s="6"/>
      <c r="I183" s="6"/>
      <c r="J183" s="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alculate">
                <anchor moveWithCells="1" sizeWithCells="1">
                  <from>
                    <xdr:col>11</xdr:col>
                    <xdr:colOff>95250</xdr:colOff>
                    <xdr:row>7</xdr:row>
                    <xdr:rowOff>104775</xdr:rowOff>
                  </from>
                  <to>
                    <xdr:col>12</xdr:col>
                    <xdr:colOff>590550</xdr:colOff>
                    <xdr:row>9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422"/>
  <sheetViews>
    <sheetView tabSelected="1" topLeftCell="A13" workbookViewId="0">
      <selection activeCell="I25" sqref="I25"/>
    </sheetView>
  </sheetViews>
  <sheetFormatPr defaultRowHeight="15" x14ac:dyDescent="0.25"/>
  <cols>
    <col min="1" max="4" width="9.140625" style="35"/>
    <col min="5" max="5" width="9.5703125" style="35" bestFit="1" customWidth="1"/>
    <col min="6" max="6" width="9.140625" style="35"/>
    <col min="7" max="7" width="12.140625" style="35" bestFit="1" customWidth="1"/>
    <col min="8" max="8" width="12" style="35" bestFit="1" customWidth="1"/>
    <col min="9" max="16384" width="9.140625" style="35"/>
  </cols>
  <sheetData>
    <row r="1" spans="1:13" x14ac:dyDescent="0.25">
      <c r="B1" s="36" t="s">
        <v>90</v>
      </c>
      <c r="C1" s="35" t="s">
        <v>91</v>
      </c>
      <c r="D1" s="35" t="s">
        <v>92</v>
      </c>
      <c r="E1" s="35" t="s">
        <v>93</v>
      </c>
    </row>
    <row r="2" spans="1:13" x14ac:dyDescent="0.25">
      <c r="B2" s="8" t="s">
        <v>1</v>
      </c>
      <c r="D2" s="35" t="s">
        <v>1</v>
      </c>
      <c r="E2" s="35" t="s">
        <v>1</v>
      </c>
      <c r="K2" s="38" t="s">
        <v>35</v>
      </c>
      <c r="L2" s="35" t="s">
        <v>36</v>
      </c>
      <c r="M2" s="35" t="s">
        <v>43</v>
      </c>
    </row>
    <row r="3" spans="1:13" x14ac:dyDescent="0.25">
      <c r="A3" s="38"/>
      <c r="B3" s="9">
        <v>0.1726</v>
      </c>
      <c r="C3" s="38">
        <v>3.0087000000000001E-4</v>
      </c>
      <c r="D3" s="38">
        <v>569.9</v>
      </c>
      <c r="E3" s="38">
        <v>69.97</v>
      </c>
      <c r="K3" s="38">
        <f>$H$5*C3+$H$7</f>
        <v>0.22210838391980567</v>
      </c>
      <c r="L3" s="35">
        <f>$H$6*C3+$H$8</f>
        <v>134.55037277514973</v>
      </c>
      <c r="M3" s="35">
        <f>IF(D3&lt;E3,1,0)</f>
        <v>0</v>
      </c>
    </row>
    <row r="4" spans="1:13" x14ac:dyDescent="0.25">
      <c r="A4" s="38"/>
      <c r="B4" s="8">
        <v>0.94169999999999998</v>
      </c>
      <c r="C4" s="38">
        <v>1.2731000000000001E-3</v>
      </c>
      <c r="D4" s="38">
        <v>736.2</v>
      </c>
      <c r="E4" s="38">
        <v>78.989999999999995</v>
      </c>
      <c r="K4" s="38">
        <f t="shared" ref="K4:K40" si="0">$H$5*C4+$H$7</f>
        <v>0.93982822838066948</v>
      </c>
      <c r="L4" s="35">
        <f t="shared" ref="L4:L40" si="1">$H$6*C4+$H$8</f>
        <v>134.57486824797564</v>
      </c>
      <c r="M4" s="35">
        <f t="shared" ref="M4:M40" si="2">IF(D4&lt;E4,1,0)</f>
        <v>0</v>
      </c>
    </row>
    <row r="5" spans="1:13" x14ac:dyDescent="0.25">
      <c r="A5" s="38"/>
      <c r="B5" s="2">
        <v>1.171</v>
      </c>
      <c r="C5" s="38">
        <v>1.5873E-3</v>
      </c>
      <c r="D5" s="38">
        <v>733.4</v>
      </c>
      <c r="E5" s="38">
        <v>84.57</v>
      </c>
      <c r="G5" s="35" t="s">
        <v>21</v>
      </c>
      <c r="H5" s="38">
        <f>SLOPE(B7:B11,C7:C11)</f>
        <v>738.22021996941442</v>
      </c>
      <c r="K5" s="38">
        <f t="shared" si="0"/>
        <v>1.1717770214950594</v>
      </c>
      <c r="L5" s="35">
        <f t="shared" si="1"/>
        <v>134.58278456156594</v>
      </c>
      <c r="M5" s="35">
        <f t="shared" si="2"/>
        <v>0</v>
      </c>
    </row>
    <row r="6" spans="1:13" x14ac:dyDescent="0.25">
      <c r="A6" s="38"/>
      <c r="B6" s="2">
        <v>1.4770000000000001</v>
      </c>
      <c r="C6" s="38">
        <v>1.9889999999999999E-3</v>
      </c>
      <c r="D6" s="38">
        <v>738.4</v>
      </c>
      <c r="E6" s="38">
        <v>87.53</v>
      </c>
      <c r="G6" s="35" t="s">
        <v>22</v>
      </c>
      <c r="H6" s="38">
        <f>SLOPE(B35:B37,C35:C37)</f>
        <v>25.195141916955119</v>
      </c>
      <c r="K6" s="38">
        <f t="shared" si="0"/>
        <v>1.4683200838567729</v>
      </c>
      <c r="L6" s="35">
        <f t="shared" si="1"/>
        <v>134.592905450074</v>
      </c>
      <c r="M6" s="35">
        <f t="shared" si="2"/>
        <v>0</v>
      </c>
    </row>
    <row r="7" spans="1:13" x14ac:dyDescent="0.25">
      <c r="A7" s="38"/>
      <c r="B7" s="38">
        <v>1.857</v>
      </c>
      <c r="C7" s="38">
        <v>2.5205000000000002E-3</v>
      </c>
      <c r="D7" s="38">
        <v>731.9</v>
      </c>
      <c r="E7" s="38">
        <v>89.3</v>
      </c>
      <c r="G7" s="35" t="s">
        <v>27</v>
      </c>
      <c r="H7" s="38">
        <f>INTERCEPT(C7:C11,B7:B11)</f>
        <v>6.6337607923343256E-8</v>
      </c>
      <c r="K7" s="38">
        <f t="shared" si="0"/>
        <v>1.8606841307705171</v>
      </c>
      <c r="L7" s="35">
        <f t="shared" si="1"/>
        <v>134.60629666800284</v>
      </c>
      <c r="M7" s="35">
        <f t="shared" si="2"/>
        <v>0</v>
      </c>
    </row>
    <row r="8" spans="1:13" x14ac:dyDescent="0.25">
      <c r="A8" s="38"/>
      <c r="B8" s="38">
        <v>2.33</v>
      </c>
      <c r="C8" s="38">
        <v>3.1429000000000001E-3</v>
      </c>
      <c r="D8" s="38">
        <v>737</v>
      </c>
      <c r="E8" s="38">
        <v>87.74</v>
      </c>
      <c r="G8" s="35" t="s">
        <v>28</v>
      </c>
      <c r="H8" s="38">
        <f>INTERCEPT(B35:B37,C35:C37)</f>
        <v>134.54279231280117</v>
      </c>
      <c r="K8" s="38">
        <f t="shared" si="0"/>
        <v>2.3201523956794805</v>
      </c>
      <c r="L8" s="35">
        <f t="shared" si="1"/>
        <v>134.62197812433197</v>
      </c>
      <c r="M8" s="35">
        <f t="shared" si="2"/>
        <v>0</v>
      </c>
    </row>
    <row r="9" spans="1:13" x14ac:dyDescent="0.25">
      <c r="A9" s="38"/>
      <c r="B9" s="38">
        <v>2.95</v>
      </c>
      <c r="C9" s="38">
        <v>4.0057000000000001E-3</v>
      </c>
      <c r="D9" s="38">
        <v>731.5</v>
      </c>
      <c r="E9" s="38">
        <v>90.96</v>
      </c>
      <c r="G9" s="35" t="s">
        <v>23</v>
      </c>
      <c r="H9" s="38">
        <f>B7</f>
        <v>1.857</v>
      </c>
      <c r="K9" s="38">
        <f t="shared" si="0"/>
        <v>2.9570888014690913</v>
      </c>
      <c r="L9" s="35">
        <f t="shared" si="1"/>
        <v>134.64371649277791</v>
      </c>
      <c r="M9" s="35">
        <f t="shared" si="2"/>
        <v>0</v>
      </c>
    </row>
    <row r="10" spans="1:13" x14ac:dyDescent="0.25">
      <c r="A10" s="38"/>
      <c r="B10" s="38">
        <v>3.6890000000000001</v>
      </c>
      <c r="C10" s="38">
        <v>4.9975000000000002E-3</v>
      </c>
      <c r="D10" s="38">
        <v>733.4</v>
      </c>
      <c r="E10" s="38">
        <v>89.92</v>
      </c>
      <c r="G10" s="35" t="s">
        <v>24</v>
      </c>
      <c r="H10" s="38">
        <f>B37</f>
        <v>199.4</v>
      </c>
      <c r="K10" s="38">
        <f t="shared" si="0"/>
        <v>3.6892556156347567</v>
      </c>
      <c r="L10" s="35">
        <f t="shared" si="1"/>
        <v>134.66870503453114</v>
      </c>
      <c r="M10" s="35">
        <f t="shared" si="2"/>
        <v>0</v>
      </c>
    </row>
    <row r="11" spans="1:13" x14ac:dyDescent="0.25">
      <c r="A11" s="38"/>
      <c r="B11" s="38">
        <v>4.6559999999999997</v>
      </c>
      <c r="C11" s="38">
        <v>6.3051000000000001E-3</v>
      </c>
      <c r="D11" s="38">
        <v>733.2</v>
      </c>
      <c r="E11" s="38">
        <v>94.58</v>
      </c>
      <c r="G11" s="35" t="s">
        <v>25</v>
      </c>
      <c r="H11" s="38">
        <f>C7</f>
        <v>2.5205000000000002E-3</v>
      </c>
      <c r="K11" s="38">
        <f t="shared" si="0"/>
        <v>4.6545523752667632</v>
      </c>
      <c r="L11" s="35">
        <f t="shared" si="1"/>
        <v>134.70165020210177</v>
      </c>
      <c r="M11" s="35">
        <f t="shared" si="2"/>
        <v>0</v>
      </c>
    </row>
    <row r="12" spans="1:13" x14ac:dyDescent="0.25">
      <c r="A12" s="38"/>
      <c r="B12" s="38">
        <v>5.867</v>
      </c>
      <c r="C12" s="38">
        <v>7.9632999999999995E-3</v>
      </c>
      <c r="D12" s="38">
        <v>731.6</v>
      </c>
      <c r="E12" s="38">
        <v>93.06</v>
      </c>
      <c r="G12" s="35" t="s">
        <v>26</v>
      </c>
      <c r="H12" s="38">
        <f>C37</f>
        <v>2.5880999999999998</v>
      </c>
      <c r="K12" s="38">
        <f t="shared" si="0"/>
        <v>5.878669144020046</v>
      </c>
      <c r="L12" s="35">
        <f t="shared" si="1"/>
        <v>134.74342878642847</v>
      </c>
      <c r="M12" s="35">
        <f t="shared" si="2"/>
        <v>0</v>
      </c>
    </row>
    <row r="13" spans="1:13" x14ac:dyDescent="0.25">
      <c r="A13" s="38"/>
      <c r="B13" s="38">
        <v>7.37</v>
      </c>
      <c r="C13" s="38">
        <v>1.0014E-2</v>
      </c>
      <c r="D13" s="38">
        <v>730.5</v>
      </c>
      <c r="E13" s="38">
        <v>95.9</v>
      </c>
      <c r="G13" s="35" t="s">
        <v>37</v>
      </c>
      <c r="H13" s="35">
        <f>(H7-H8)/(H6-H5)</f>
        <v>0.18869293155010863</v>
      </c>
      <c r="K13" s="38">
        <f t="shared" si="0"/>
        <v>7.3925373491113247</v>
      </c>
      <c r="L13" s="35">
        <f t="shared" si="1"/>
        <v>134.79509646395755</v>
      </c>
      <c r="M13" s="35">
        <f t="shared" si="2"/>
        <v>0</v>
      </c>
    </row>
    <row r="14" spans="1:13" x14ac:dyDescent="0.25">
      <c r="A14" s="38"/>
      <c r="B14" s="38">
        <v>9.2390000000000008</v>
      </c>
      <c r="C14" s="38">
        <v>1.2611000000000001E-2</v>
      </c>
      <c r="D14" s="38">
        <v>726.9</v>
      </c>
      <c r="E14" s="38">
        <v>97.2</v>
      </c>
      <c r="K14" s="38">
        <f t="shared" si="0"/>
        <v>9.3096952603718925</v>
      </c>
      <c r="L14" s="35">
        <f t="shared" si="1"/>
        <v>134.8605282475159</v>
      </c>
      <c r="M14" s="35">
        <f t="shared" si="2"/>
        <v>0</v>
      </c>
    </row>
    <row r="15" spans="1:13" x14ac:dyDescent="0.25">
      <c r="A15" s="38"/>
      <c r="B15" s="38">
        <v>11.58</v>
      </c>
      <c r="C15" s="38">
        <v>1.5896E-2</v>
      </c>
      <c r="D15" s="38">
        <v>722.3</v>
      </c>
      <c r="E15" s="38">
        <v>98.64</v>
      </c>
      <c r="K15" s="38">
        <f t="shared" si="0"/>
        <v>11.73474868297142</v>
      </c>
      <c r="L15" s="35">
        <f t="shared" si="1"/>
        <v>134.94329428871308</v>
      </c>
      <c r="M15" s="35">
        <f t="shared" si="2"/>
        <v>0</v>
      </c>
    </row>
    <row r="16" spans="1:13" x14ac:dyDescent="0.25">
      <c r="A16" s="38"/>
      <c r="B16" s="38">
        <v>14.47</v>
      </c>
      <c r="C16" s="38">
        <v>2.0048E-2</v>
      </c>
      <c r="D16" s="38">
        <v>714.9</v>
      </c>
      <c r="E16" s="38">
        <v>103.8</v>
      </c>
      <c r="G16" s="35" t="s">
        <v>29</v>
      </c>
      <c r="H16" s="35">
        <f ca="1">SLOPE((INDIRECT("B"&amp;MATCH(H13,C1:C40,1)-1):INDIRECT("B"&amp;MATCH(H13,C1:C40,1)+1)),(INDIRECT("C"&amp;MATCH(H13,C1:C40,1)-1):INDIRECT("C"&amp;MATCH(H13,C1:C40,1)+1)))</f>
        <v>215.68339574768578</v>
      </c>
      <c r="K16" s="38">
        <f t="shared" si="0"/>
        <v>14.799839036284428</v>
      </c>
      <c r="L16" s="35">
        <f t="shared" si="1"/>
        <v>135.04790451795228</v>
      </c>
      <c r="M16" s="35">
        <f t="shared" si="2"/>
        <v>0</v>
      </c>
    </row>
    <row r="17" spans="1:13" x14ac:dyDescent="0.25">
      <c r="A17" s="38"/>
      <c r="B17" s="38">
        <v>17.97</v>
      </c>
      <c r="C17" s="38">
        <v>2.5312000000000001E-2</v>
      </c>
      <c r="D17" s="38">
        <v>701.6</v>
      </c>
      <c r="E17" s="38">
        <v>112.2</v>
      </c>
      <c r="G17" s="35" t="s">
        <v>30</v>
      </c>
      <c r="H17" s="35">
        <f ca="1">INTERCEPT((INDIRECT("B"&amp;MATCH(H13,C1:C40,1)-1):INDIRECT("B"&amp;MATCH(H13,C1:C40,1)+1)),(INDIRECT("C"&amp;MATCH(H13,C1:C40,1)-1):INDIRECT("C"&amp;MATCH(H13,C1:C40,1)+1)))</f>
        <v>32.886758832742672</v>
      </c>
      <c r="K17" s="38">
        <f t="shared" si="0"/>
        <v>18.685830274203429</v>
      </c>
      <c r="L17" s="35">
        <f t="shared" si="1"/>
        <v>135.18053174500312</v>
      </c>
      <c r="M17" s="35">
        <f t="shared" si="2"/>
        <v>0</v>
      </c>
    </row>
    <row r="18" spans="1:13" x14ac:dyDescent="0.25">
      <c r="A18" s="38"/>
      <c r="B18" s="38">
        <v>22.15</v>
      </c>
      <c r="C18" s="38">
        <v>3.1850999999999997E-2</v>
      </c>
      <c r="D18" s="38">
        <v>684.3</v>
      </c>
      <c r="E18" s="38">
        <v>128.19999999999999</v>
      </c>
      <c r="K18" s="38">
        <f t="shared" si="0"/>
        <v>23.513052292583424</v>
      </c>
      <c r="L18" s="35">
        <f t="shared" si="1"/>
        <v>135.34528277799811</v>
      </c>
      <c r="M18" s="35">
        <f t="shared" si="2"/>
        <v>0</v>
      </c>
    </row>
    <row r="19" spans="1:13" x14ac:dyDescent="0.25">
      <c r="A19" s="38"/>
      <c r="B19" s="38">
        <v>27.34</v>
      </c>
      <c r="C19" s="38">
        <v>4.0568E-2</v>
      </c>
      <c r="D19" s="38">
        <v>656.4</v>
      </c>
      <c r="E19" s="38">
        <v>156.19999999999999</v>
      </c>
      <c r="G19" s="39" t="s">
        <v>31</v>
      </c>
      <c r="H19" s="35">
        <f ca="1">((INDIRECT("B"&amp;MATCH(H20,C1:C40,1)+1))-INDIRECT("B"&amp;MATCH(H20,C1:C40,1)))/((INDIRECT("C"&amp;MATCH(H20,C1:C40,1)+1))-INDIRECT("C"&amp;MATCH(H20,C1:C40,1)))*(H20-INDIRECT("C"&amp;MATCH(H20,C1:C40,1)))+INDIRECT("B"&amp;MATCH(H20,C1:C40,1))</f>
        <v>38.558618090277328</v>
      </c>
      <c r="K19" s="38">
        <f t="shared" si="0"/>
        <v>29.948117950056812</v>
      </c>
      <c r="L19" s="35">
        <f t="shared" si="1"/>
        <v>135.5649088300882</v>
      </c>
      <c r="M19" s="35">
        <f t="shared" si="2"/>
        <v>0</v>
      </c>
    </row>
    <row r="20" spans="1:13" x14ac:dyDescent="0.25">
      <c r="A20" s="38"/>
      <c r="B20" s="38">
        <v>33.01</v>
      </c>
      <c r="C20" s="38">
        <v>5.1194999999999997E-2</v>
      </c>
      <c r="D20" s="38">
        <v>618</v>
      </c>
      <c r="E20" s="38">
        <v>185.8</v>
      </c>
      <c r="G20" s="39" t="s">
        <v>32</v>
      </c>
      <c r="H20" s="37">
        <f ca="1">(H7-H17)/(H16-H5)</f>
        <v>6.293672951257917E-2</v>
      </c>
      <c r="K20" s="38">
        <f t="shared" si="0"/>
        <v>37.793184227671773</v>
      </c>
      <c r="L20" s="35">
        <f t="shared" si="1"/>
        <v>135.83265760323968</v>
      </c>
      <c r="M20" s="35">
        <f t="shared" si="2"/>
        <v>0</v>
      </c>
    </row>
    <row r="21" spans="1:13" x14ac:dyDescent="0.25">
      <c r="A21" s="38"/>
      <c r="B21" s="38">
        <v>39.51</v>
      </c>
      <c r="C21" s="38">
        <v>6.4949999999999994E-2</v>
      </c>
      <c r="D21" s="38">
        <v>570.1</v>
      </c>
      <c r="E21" s="38">
        <v>214</v>
      </c>
      <c r="G21" s="39" t="s">
        <v>33</v>
      </c>
      <c r="H21" s="35">
        <f ca="1">((INDIRECT("B"&amp;MATCH(H22,C1:C40,1)+1))-INDIRECT("B"&amp;MATCH(H22,C1:C40,1)))/((INDIRECT("C"&amp;MATCH(H22,C1:C40,1)+1))-INDIRECT("C"&amp;MATCH(H22,C1:C40,1)))*(H22-INDIRECT("C"&amp;MATCH(H22,C1:C40,1)))+INDIRECT("B"&amp;MATCH(H22,C1:C40,1))</f>
        <v>125.17993304655334</v>
      </c>
      <c r="K21" s="38">
        <f t="shared" si="0"/>
        <v>47.947403353351071</v>
      </c>
      <c r="L21" s="35">
        <f t="shared" si="1"/>
        <v>136.1792167803074</v>
      </c>
      <c r="M21" s="35">
        <f t="shared" si="2"/>
        <v>0</v>
      </c>
    </row>
    <row r="22" spans="1:13" x14ac:dyDescent="0.25">
      <c r="A22" s="38"/>
      <c r="B22" s="38">
        <v>46.58</v>
      </c>
      <c r="C22" s="38">
        <v>8.2507999999999998E-2</v>
      </c>
      <c r="D22" s="38">
        <v>514.29999999999995</v>
      </c>
      <c r="E22" s="38">
        <v>234.1</v>
      </c>
      <c r="G22" s="39" t="s">
        <v>34</v>
      </c>
      <c r="H22" s="37">
        <f ca="1">(H8-H17)/(H16-H6)</f>
        <v>0.53366037766502306</v>
      </c>
      <c r="K22" s="38">
        <f t="shared" si="0"/>
        <v>60.909073975574046</v>
      </c>
      <c r="L22" s="35">
        <f t="shared" si="1"/>
        <v>136.6215930820853</v>
      </c>
      <c r="M22" s="35">
        <f t="shared" si="2"/>
        <v>0</v>
      </c>
    </row>
    <row r="23" spans="1:13" x14ac:dyDescent="0.25">
      <c r="A23" s="38"/>
      <c r="B23" s="38">
        <v>53.75</v>
      </c>
      <c r="C23" s="38">
        <v>0.10442</v>
      </c>
      <c r="D23" s="38">
        <v>454.2</v>
      </c>
      <c r="E23" s="38">
        <v>243.4</v>
      </c>
      <c r="G23" s="39" t="s">
        <v>44</v>
      </c>
      <c r="H23" s="35">
        <f ca="1">((INDIRECT("D"&amp;MATCH(1,M4:M40,0)+3)-INDIRECT("D"&amp;MATCH(1,M4:M40,0)+2))/(INDIRECT("C"&amp;MATCH(1,M4:M40,0)+3)-INDIRECT("C"&amp;MATCH(1,M4:M40,0)+2)))*(H24-INDIRECT("C"&amp;MATCH(1,M4:M40,0)+3))+INDIRECT("D"&amp;MATCH(1,M4:M40,0)+3)</f>
        <v>170.68496732026145</v>
      </c>
      <c r="K23" s="38">
        <f t="shared" si="0"/>
        <v>77.084955435543861</v>
      </c>
      <c r="L23" s="35">
        <f t="shared" si="1"/>
        <v>137.17366903176963</v>
      </c>
      <c r="M23" s="35">
        <f t="shared" si="2"/>
        <v>0</v>
      </c>
    </row>
    <row r="24" spans="1:13" x14ac:dyDescent="0.25">
      <c r="A24" s="38"/>
      <c r="B24" s="38">
        <v>61.06</v>
      </c>
      <c r="C24" s="38">
        <v>0.13153000000000001</v>
      </c>
      <c r="D24" s="38">
        <v>395.8</v>
      </c>
      <c r="E24" s="38">
        <v>243.5</v>
      </c>
      <c r="G24" s="39" t="s">
        <v>45</v>
      </c>
      <c r="H24" s="35">
        <f ca="1">(INTERCEPT((INDIRECT("D"&amp;MATCH(1,M4:M40,0)+2):INDIRECT("D"&amp;MATCH(1,M4:M40,0)+3)),(INDIRECT("C"&amp;MATCH(1,M4:M40,0)+2):INDIRECT("C"&amp;MATCH(1,M4:M40,0)+3)))-INTERCEPT((INDIRECT("E"&amp;MATCH(1,M4:M40,0)+2):INDIRECT("E"&amp;MATCH(1,M4:M40,0)+3)),(INDIRECT("C"&amp;MATCH(1,M4:M40,0)+2):INDIRECT("C"&amp;MATCH(1,M4:M40,0)+3))))/((INDIRECT("E"&amp;MATCH(1,M4:M40,0)+3)-INDIRECT("E"&amp;MATCH(1,M4:M40,0)+2))/(INDIRECT("C"&amp;MATCH(1,M4:M40,0)+3)-INDIRECT("C"&amp;MATCH(1,M4:M40,0)+2))-(INDIRECT("D"&amp;MATCH(1,M4:M40,0)+3)-INDIRECT("D"&amp;MATCH(1,M4:M40,0)+2))/(INDIRECT("C"&amp;MATCH(1,M4:M40,0)+3)-INDIRECT("C"&amp;MATCH(1,M4:M40,0)+2)))</f>
        <v>0.51114679738562085</v>
      </c>
      <c r="I24" s="35" t="str">
        <f>"D"&amp;MATCH(1,M4:M40,0)+3</f>
        <v>D30</v>
      </c>
      <c r="J24" s="35">
        <f ca="1">INTERCEPT((INDIRECT("D"&amp;MATCH(1,M4:M40,0)-1):INDIRECT("D"&amp;MATCH(1,M4:M40,0))),(INDIRECT("C"&amp;MATCH(1,M4:M40,0)-1):INDIRECT("C"&amp;MATCH(1,M4:M40,0))))</f>
        <v>444.33733802295455</v>
      </c>
      <c r="K24" s="38">
        <f t="shared" si="0"/>
        <v>97.098105598914685</v>
      </c>
      <c r="L24" s="35">
        <f t="shared" si="1"/>
        <v>137.85670932913828</v>
      </c>
      <c r="M24" s="35">
        <f t="shared" si="2"/>
        <v>0</v>
      </c>
    </row>
    <row r="25" spans="1:13" x14ac:dyDescent="0.25">
      <c r="A25" s="38"/>
      <c r="B25" s="38">
        <v>68.94</v>
      </c>
      <c r="C25" s="38">
        <v>0.16552</v>
      </c>
      <c r="D25" s="38">
        <v>342.6</v>
      </c>
      <c r="E25" s="38">
        <v>237.7</v>
      </c>
      <c r="G25" s="39" t="s">
        <v>57</v>
      </c>
      <c r="H25" s="38">
        <f>AVERAGE(D7:D11)</f>
        <v>733.4</v>
      </c>
      <c r="K25" s="38">
        <f t="shared" si="0"/>
        <v>122.19021087567508</v>
      </c>
      <c r="L25" s="35">
        <f t="shared" si="1"/>
        <v>138.71309220289558</v>
      </c>
      <c r="M25" s="35">
        <f t="shared" si="2"/>
        <v>0</v>
      </c>
    </row>
    <row r="26" spans="1:13" x14ac:dyDescent="0.25">
      <c r="A26" s="38"/>
      <c r="B26" s="38">
        <v>77.52</v>
      </c>
      <c r="C26" s="38">
        <v>0.20766999999999999</v>
      </c>
      <c r="D26" s="38">
        <v>297.10000000000002</v>
      </c>
      <c r="E26" s="38">
        <v>226.7</v>
      </c>
      <c r="G26" s="39" t="s">
        <v>56</v>
      </c>
      <c r="H26" s="38">
        <f>AVERAGE(E7:E11)</f>
        <v>90.5</v>
      </c>
      <c r="K26" s="38">
        <f t="shared" si="0"/>
        <v>153.3061931473859</v>
      </c>
      <c r="L26" s="35">
        <f t="shared" si="1"/>
        <v>139.77506743469525</v>
      </c>
      <c r="M26" s="35">
        <f t="shared" si="2"/>
        <v>0</v>
      </c>
    </row>
    <row r="27" spans="1:13" x14ac:dyDescent="0.25">
      <c r="A27" s="38"/>
      <c r="B27" s="38">
        <v>87.61</v>
      </c>
      <c r="C27" s="38">
        <v>0.26168999999999998</v>
      </c>
      <c r="D27" s="38">
        <v>258.8</v>
      </c>
      <c r="E27" s="38">
        <v>213</v>
      </c>
      <c r="K27" s="38">
        <f t="shared" si="0"/>
        <v>193.18484943013365</v>
      </c>
      <c r="L27" s="35">
        <f t="shared" si="1"/>
        <v>141.13610900104916</v>
      </c>
      <c r="M27" s="35">
        <f t="shared" si="2"/>
        <v>0</v>
      </c>
    </row>
    <row r="28" spans="1:13" x14ac:dyDescent="0.25">
      <c r="A28" s="38"/>
      <c r="B28" s="38">
        <v>98.58</v>
      </c>
      <c r="C28" s="38">
        <v>0.32678000000000001</v>
      </c>
      <c r="D28" s="38">
        <v>227.7</v>
      </c>
      <c r="E28" s="38">
        <v>198.5</v>
      </c>
      <c r="G28" s="38"/>
      <c r="K28" s="38">
        <f t="shared" si="0"/>
        <v>241.23560354794287</v>
      </c>
      <c r="L28" s="35">
        <f t="shared" si="1"/>
        <v>142.77606078842376</v>
      </c>
      <c r="M28" s="35">
        <f t="shared" si="2"/>
        <v>0</v>
      </c>
    </row>
    <row r="29" spans="1:13" x14ac:dyDescent="0.25">
      <c r="A29" s="38"/>
      <c r="B29" s="38">
        <v>111.4</v>
      </c>
      <c r="C29" s="38">
        <v>0.41389999999999999</v>
      </c>
      <c r="D29" s="38">
        <v>197.6</v>
      </c>
      <c r="E29" s="38">
        <v>183.4</v>
      </c>
      <c r="G29" s="38"/>
      <c r="K29" s="38">
        <f t="shared" si="0"/>
        <v>305.54934911167823</v>
      </c>
      <c r="L29" s="35">
        <f t="shared" si="1"/>
        <v>144.97106155222889</v>
      </c>
      <c r="M29" s="35">
        <f t="shared" si="2"/>
        <v>0</v>
      </c>
    </row>
    <row r="30" spans="1:13" x14ac:dyDescent="0.25">
      <c r="A30" s="38"/>
      <c r="B30" s="38">
        <v>123.9</v>
      </c>
      <c r="C30" s="38">
        <v>0.51868000000000003</v>
      </c>
      <c r="D30" s="38">
        <v>168.6</v>
      </c>
      <c r="E30" s="38">
        <v>169.7</v>
      </c>
      <c r="G30" s="38"/>
      <c r="K30" s="38">
        <f t="shared" si="0"/>
        <v>382.90006376007352</v>
      </c>
      <c r="L30" s="35">
        <f t="shared" si="1"/>
        <v>147.61100852228745</v>
      </c>
      <c r="M30" s="35">
        <f>IF(D30&lt;E30,1,0)</f>
        <v>1</v>
      </c>
    </row>
    <row r="31" spans="1:13" x14ac:dyDescent="0.25">
      <c r="A31" s="38"/>
      <c r="B31" s="38">
        <v>136.30000000000001</v>
      </c>
      <c r="C31" s="38">
        <v>0.66381000000000001</v>
      </c>
      <c r="D31" s="38">
        <v>134.5</v>
      </c>
      <c r="E31" s="38">
        <v>155.5</v>
      </c>
      <c r="G31" s="38"/>
      <c r="K31" s="38">
        <f t="shared" si="0"/>
        <v>490.03796428423465</v>
      </c>
      <c r="L31" s="35">
        <f t="shared" si="1"/>
        <v>151.26757946869515</v>
      </c>
      <c r="M31" s="35">
        <f t="shared" si="2"/>
        <v>1</v>
      </c>
    </row>
    <row r="32" spans="1:13" x14ac:dyDescent="0.25">
      <c r="A32" s="38"/>
      <c r="B32" s="38">
        <v>146.1</v>
      </c>
      <c r="C32" s="38">
        <v>0.83838000000000001</v>
      </c>
      <c r="D32" s="38">
        <v>101.4</v>
      </c>
      <c r="E32" s="38">
        <v>142.1</v>
      </c>
      <c r="G32" s="38"/>
      <c r="K32" s="38">
        <f t="shared" si="0"/>
        <v>618.90906808429531</v>
      </c>
      <c r="L32" s="35">
        <f t="shared" si="1"/>
        <v>155.66589539313799</v>
      </c>
      <c r="M32" s="35">
        <f t="shared" si="2"/>
        <v>1</v>
      </c>
    </row>
    <row r="33" spans="1:13" x14ac:dyDescent="0.25">
      <c r="A33" s="38"/>
      <c r="B33" s="38">
        <v>155.30000000000001</v>
      </c>
      <c r="C33" s="38">
        <v>1.046</v>
      </c>
      <c r="D33" s="38">
        <v>75.680000000000007</v>
      </c>
      <c r="E33" s="38">
        <v>128</v>
      </c>
      <c r="G33" s="38"/>
      <c r="K33" s="38">
        <f t="shared" si="0"/>
        <v>772.17835015434514</v>
      </c>
      <c r="L33" s="35">
        <f t="shared" si="1"/>
        <v>160.89691075793621</v>
      </c>
      <c r="M33" s="35">
        <f t="shared" si="2"/>
        <v>1</v>
      </c>
    </row>
    <row r="34" spans="1:13" x14ac:dyDescent="0.25">
      <c r="A34" s="38"/>
      <c r="B34" s="38">
        <v>165.3</v>
      </c>
      <c r="C34" s="38">
        <v>1.3216000000000001</v>
      </c>
      <c r="D34" s="38">
        <v>54.17</v>
      </c>
      <c r="E34" s="38">
        <v>112.9</v>
      </c>
      <c r="G34" s="38"/>
      <c r="K34" s="38">
        <f t="shared" si="0"/>
        <v>975.63184277791584</v>
      </c>
      <c r="L34" s="35">
        <f t="shared" si="1"/>
        <v>167.84069187024906</v>
      </c>
      <c r="M34" s="35">
        <f t="shared" si="2"/>
        <v>1</v>
      </c>
    </row>
    <row r="35" spans="1:13" x14ac:dyDescent="0.25">
      <c r="A35" s="38"/>
      <c r="B35" s="38">
        <v>175.5</v>
      </c>
      <c r="C35" s="38">
        <v>1.6436999999999999</v>
      </c>
      <c r="D35" s="38">
        <v>39.700000000000003</v>
      </c>
      <c r="E35" s="38">
        <v>99.34</v>
      </c>
      <c r="G35" s="38"/>
      <c r="K35" s="38">
        <f t="shared" si="0"/>
        <v>1213.4125756300641</v>
      </c>
      <c r="L35" s="35">
        <f t="shared" si="1"/>
        <v>175.95604708170029</v>
      </c>
      <c r="M35" s="35">
        <f t="shared" si="2"/>
        <v>1</v>
      </c>
    </row>
    <row r="36" spans="1:13" x14ac:dyDescent="0.25">
      <c r="A36" s="38"/>
      <c r="B36" s="38">
        <v>187.1</v>
      </c>
      <c r="C36" s="38">
        <v>2.0539999999999998</v>
      </c>
      <c r="D36" s="38">
        <v>29.08</v>
      </c>
      <c r="E36" s="38">
        <v>86.49</v>
      </c>
      <c r="G36" s="38"/>
      <c r="K36" s="38">
        <f t="shared" si="0"/>
        <v>1516.3043318835148</v>
      </c>
      <c r="L36" s="35">
        <f t="shared" si="1"/>
        <v>186.29361381022699</v>
      </c>
      <c r="M36" s="35">
        <f t="shared" si="2"/>
        <v>1</v>
      </c>
    </row>
    <row r="37" spans="1:13" x14ac:dyDescent="0.25">
      <c r="A37" s="38"/>
      <c r="B37" s="38">
        <v>199.4</v>
      </c>
      <c r="C37" s="38">
        <v>2.5880999999999998</v>
      </c>
      <c r="D37" s="38">
        <v>20.97</v>
      </c>
      <c r="E37" s="38">
        <v>74.27</v>
      </c>
      <c r="G37" s="38"/>
      <c r="K37" s="38">
        <f t="shared" si="0"/>
        <v>1910.5877513691789</v>
      </c>
      <c r="L37" s="35">
        <f t="shared" si="1"/>
        <v>199.75033910807269</v>
      </c>
      <c r="M37" s="35">
        <f t="shared" si="2"/>
        <v>1</v>
      </c>
    </row>
    <row r="38" spans="1:13" x14ac:dyDescent="0.25">
      <c r="A38" s="38"/>
      <c r="B38" s="38">
        <v>212.7</v>
      </c>
      <c r="C38" s="38">
        <v>3.2326999999999999</v>
      </c>
      <c r="D38" s="38">
        <v>15.4</v>
      </c>
      <c r="E38" s="38">
        <v>64.06</v>
      </c>
      <c r="G38" s="38"/>
      <c r="K38" s="38">
        <f t="shared" si="0"/>
        <v>2386.4445051614634</v>
      </c>
      <c r="L38" s="35">
        <f t="shared" si="1"/>
        <v>215.99112758774197</v>
      </c>
      <c r="M38" s="35">
        <f t="shared" si="2"/>
        <v>1</v>
      </c>
    </row>
    <row r="39" spans="1:13" x14ac:dyDescent="0.25">
      <c r="A39" s="38"/>
      <c r="B39" s="38">
        <v>227.5</v>
      </c>
      <c r="C39" s="38">
        <v>4.0495999999999999</v>
      </c>
      <c r="D39" s="38">
        <v>11.29</v>
      </c>
      <c r="E39" s="38">
        <v>55.13</v>
      </c>
      <c r="G39" s="38"/>
      <c r="K39" s="38">
        <f t="shared" si="0"/>
        <v>2989.4966028544782</v>
      </c>
      <c r="L39" s="35">
        <f t="shared" si="1"/>
        <v>236.57303901970261</v>
      </c>
      <c r="M39" s="35">
        <f t="shared" si="2"/>
        <v>1</v>
      </c>
    </row>
    <row r="40" spans="1:13" x14ac:dyDescent="0.25">
      <c r="A40" s="38"/>
      <c r="B40" s="38">
        <v>242.8</v>
      </c>
      <c r="C40" s="38">
        <v>5.0956999999999999</v>
      </c>
      <c r="D40" s="38">
        <v>8.0719999999999992</v>
      </c>
      <c r="E40" s="38">
        <v>47.04</v>
      </c>
      <c r="G40" s="38"/>
      <c r="K40" s="38">
        <f t="shared" si="0"/>
        <v>3761.7487749644824</v>
      </c>
      <c r="L40" s="35">
        <f t="shared" si="1"/>
        <v>262.92967697902941</v>
      </c>
      <c r="M40" s="35">
        <f t="shared" si="2"/>
        <v>1</v>
      </c>
    </row>
    <row r="41" spans="1:13" x14ac:dyDescent="0.25">
      <c r="B41">
        <v>3.9E-2</v>
      </c>
      <c r="C41">
        <v>0.95779999999999998</v>
      </c>
      <c r="D41">
        <v>0.76939999999999997</v>
      </c>
      <c r="E41">
        <v>15.59</v>
      </c>
      <c r="F41"/>
      <c r="G41" s="38"/>
    </row>
    <row r="42" spans="1:13" x14ac:dyDescent="0.25">
      <c r="B42">
        <v>0.04</v>
      </c>
      <c r="C42">
        <v>0.94199999999999995</v>
      </c>
      <c r="D42">
        <v>0.76939999999999997</v>
      </c>
      <c r="E42">
        <v>16.079999999999998</v>
      </c>
      <c r="F42"/>
      <c r="G42" s="38"/>
    </row>
    <row r="43" spans="1:13" x14ac:dyDescent="0.25">
      <c r="B43">
        <v>4.1500000000000002E-2</v>
      </c>
      <c r="C43">
        <v>0.92510000000000003</v>
      </c>
      <c r="D43">
        <v>0.76939999999999997</v>
      </c>
      <c r="E43">
        <v>17.100000000000001</v>
      </c>
      <c r="F43"/>
      <c r="G43" s="38"/>
    </row>
    <row r="44" spans="1:13" x14ac:dyDescent="0.25">
      <c r="B44">
        <v>4.3499999999999997E-2</v>
      </c>
      <c r="C44">
        <v>0.93389999999999995</v>
      </c>
      <c r="D44">
        <v>0.76939999999999997</v>
      </c>
      <c r="E44">
        <v>18.21</v>
      </c>
      <c r="F44"/>
      <c r="G44" s="38"/>
    </row>
    <row r="45" spans="1:13" x14ac:dyDescent="0.25">
      <c r="B45">
        <v>4.5499999999999999E-2</v>
      </c>
      <c r="C45">
        <v>0.96409999999999996</v>
      </c>
      <c r="D45">
        <v>0.76939999999999997</v>
      </c>
      <c r="E45">
        <v>18.350000000000001</v>
      </c>
      <c r="F45"/>
      <c r="G45" s="38"/>
    </row>
    <row r="46" spans="1:13" x14ac:dyDescent="0.25">
      <c r="B46">
        <v>4.7500000000000001E-2</v>
      </c>
      <c r="C46">
        <v>0.96630000000000005</v>
      </c>
      <c r="D46">
        <v>0.76939999999999997</v>
      </c>
      <c r="E46">
        <v>18.489999999999998</v>
      </c>
      <c r="F46"/>
      <c r="G46" s="38"/>
    </row>
    <row r="47" spans="1:13" x14ac:dyDescent="0.25">
      <c r="B47">
        <v>4.9500000000000002E-2</v>
      </c>
      <c r="C47">
        <v>0.94059999999999999</v>
      </c>
      <c r="D47">
        <v>0.76939999999999997</v>
      </c>
      <c r="E47">
        <v>19.3</v>
      </c>
      <c r="F47"/>
      <c r="G47" s="38"/>
    </row>
    <row r="48" spans="1:13" x14ac:dyDescent="0.25">
      <c r="B48">
        <v>5.1499999999999997E-2</v>
      </c>
      <c r="C48">
        <v>0.92520000000000002</v>
      </c>
      <c r="D48">
        <v>0.76939999999999997</v>
      </c>
      <c r="E48">
        <v>20.64</v>
      </c>
      <c r="F48"/>
      <c r="G48" s="38"/>
    </row>
    <row r="49" spans="2:7" x14ac:dyDescent="0.25">
      <c r="B49">
        <v>5.3499999999999999E-2</v>
      </c>
      <c r="C49">
        <v>0.94020000000000004</v>
      </c>
      <c r="D49">
        <v>0.76939999999999997</v>
      </c>
      <c r="E49">
        <v>21.42</v>
      </c>
      <c r="F49"/>
      <c r="G49" s="38"/>
    </row>
    <row r="50" spans="2:7" x14ac:dyDescent="0.25">
      <c r="B50">
        <v>5.5500000000000001E-2</v>
      </c>
      <c r="C50">
        <v>0.96589999999999998</v>
      </c>
      <c r="D50">
        <v>0.76939999999999997</v>
      </c>
      <c r="E50">
        <v>21.58</v>
      </c>
      <c r="F50"/>
      <c r="G50" s="38"/>
    </row>
    <row r="51" spans="2:7" x14ac:dyDescent="0.25">
      <c r="B51">
        <v>5.7500000000000002E-2</v>
      </c>
      <c r="C51">
        <v>0.96740000000000004</v>
      </c>
      <c r="D51">
        <v>0.76939999999999997</v>
      </c>
      <c r="E51">
        <v>21.77</v>
      </c>
      <c r="F51"/>
      <c r="G51" s="38"/>
    </row>
    <row r="52" spans="2:7" x14ac:dyDescent="0.25">
      <c r="B52">
        <v>5.9499999999999997E-2</v>
      </c>
      <c r="C52">
        <v>0.95220000000000005</v>
      </c>
      <c r="D52">
        <v>0.76939999999999997</v>
      </c>
      <c r="E52">
        <v>22.42</v>
      </c>
      <c r="F52"/>
      <c r="G52" s="38"/>
    </row>
    <row r="53" spans="2:7" x14ac:dyDescent="0.25">
      <c r="B53">
        <v>6.1499999999999999E-2</v>
      </c>
      <c r="C53">
        <v>0.93530000000000002</v>
      </c>
      <c r="D53">
        <v>0.76939999999999997</v>
      </c>
      <c r="E53">
        <v>23.46</v>
      </c>
      <c r="F53"/>
      <c r="G53" s="38"/>
    </row>
    <row r="54" spans="2:7" x14ac:dyDescent="0.25">
      <c r="B54">
        <v>6.3500000000000001E-2</v>
      </c>
      <c r="C54">
        <v>0.93310000000000004</v>
      </c>
      <c r="D54">
        <v>0.76939999999999997</v>
      </c>
      <c r="E54">
        <v>24.42</v>
      </c>
      <c r="F54"/>
      <c r="G54" s="38"/>
    </row>
    <row r="55" spans="2:7" x14ac:dyDescent="0.25">
      <c r="B55">
        <v>6.5500000000000003E-2</v>
      </c>
      <c r="C55">
        <v>0.95189999999999997</v>
      </c>
      <c r="D55">
        <v>0.76939999999999997</v>
      </c>
      <c r="E55">
        <v>25.02</v>
      </c>
      <c r="F55"/>
      <c r="G55" s="38"/>
    </row>
    <row r="56" spans="2:7" x14ac:dyDescent="0.25">
      <c r="B56">
        <v>6.7500000000000004E-2</v>
      </c>
      <c r="C56">
        <v>0.96279999999999999</v>
      </c>
      <c r="D56">
        <v>0.76939999999999997</v>
      </c>
      <c r="E56">
        <v>25.22</v>
      </c>
      <c r="F56"/>
      <c r="G56" s="38"/>
    </row>
    <row r="57" spans="2:7" x14ac:dyDescent="0.25">
      <c r="B57">
        <v>6.9500000000000006E-2</v>
      </c>
      <c r="C57">
        <v>0.96089999999999998</v>
      </c>
      <c r="D57">
        <v>0.76939999999999997</v>
      </c>
      <c r="E57">
        <v>25.62</v>
      </c>
      <c r="F57"/>
      <c r="G57" s="38"/>
    </row>
    <row r="58" spans="2:7" x14ac:dyDescent="0.25">
      <c r="B58">
        <v>7.1499999999999994E-2</v>
      </c>
      <c r="C58">
        <v>0.94199999999999995</v>
      </c>
      <c r="D58">
        <v>0.77869999999999995</v>
      </c>
      <c r="E58">
        <v>26.47</v>
      </c>
      <c r="F58"/>
      <c r="G58" s="38"/>
    </row>
    <row r="59" spans="2:7" x14ac:dyDescent="0.25">
      <c r="B59">
        <v>7.3499999999999996E-2</v>
      </c>
      <c r="C59">
        <v>0.93969999999999998</v>
      </c>
      <c r="D59">
        <v>0.77869999999999995</v>
      </c>
      <c r="E59">
        <v>27.44</v>
      </c>
      <c r="F59"/>
      <c r="G59" s="38"/>
    </row>
    <row r="60" spans="2:7" x14ac:dyDescent="0.25">
      <c r="B60">
        <v>7.5499999999999998E-2</v>
      </c>
      <c r="C60">
        <v>0.97150000000000003</v>
      </c>
      <c r="D60">
        <v>0.77869999999999995</v>
      </c>
      <c r="E60">
        <v>27.8</v>
      </c>
      <c r="F60"/>
      <c r="G60" s="38"/>
    </row>
    <row r="61" spans="2:7" x14ac:dyDescent="0.25">
      <c r="B61">
        <v>7.7499999999999999E-2</v>
      </c>
      <c r="C61">
        <v>0.97450000000000003</v>
      </c>
      <c r="D61">
        <v>0.77869999999999995</v>
      </c>
      <c r="E61">
        <v>27.57</v>
      </c>
      <c r="F61"/>
      <c r="G61" s="38"/>
    </row>
    <row r="62" spans="2:7" x14ac:dyDescent="0.25">
      <c r="B62">
        <v>7.9500000000000001E-2</v>
      </c>
      <c r="C62">
        <v>0.95899999999999996</v>
      </c>
      <c r="D62">
        <v>0.77869999999999995</v>
      </c>
      <c r="E62">
        <v>28.24</v>
      </c>
      <c r="F62"/>
      <c r="G62" s="38"/>
    </row>
    <row r="63" spans="2:7" x14ac:dyDescent="0.25">
      <c r="B63">
        <v>8.1500000000000003E-2</v>
      </c>
      <c r="C63">
        <v>0.93279999999999996</v>
      </c>
      <c r="D63">
        <v>0.77869999999999995</v>
      </c>
      <c r="E63">
        <v>29.3</v>
      </c>
      <c r="F63"/>
      <c r="G63" s="38"/>
    </row>
    <row r="64" spans="2:7" x14ac:dyDescent="0.25">
      <c r="B64">
        <v>8.3500000000000005E-2</v>
      </c>
      <c r="C64">
        <v>0.93769999999999998</v>
      </c>
      <c r="D64">
        <v>0.77869999999999995</v>
      </c>
      <c r="E64">
        <v>30.35</v>
      </c>
      <c r="F64"/>
      <c r="G64" s="38"/>
    </row>
    <row r="65" spans="2:6" x14ac:dyDescent="0.25">
      <c r="B65">
        <v>8.5500000000000007E-2</v>
      </c>
      <c r="C65">
        <v>0.9677</v>
      </c>
      <c r="D65">
        <v>0.77869999999999995</v>
      </c>
      <c r="E65">
        <v>30.64</v>
      </c>
      <c r="F65"/>
    </row>
    <row r="66" spans="2:6" x14ac:dyDescent="0.25">
      <c r="B66">
        <v>8.7499999999999994E-2</v>
      </c>
      <c r="C66">
        <v>0.99160000000000004</v>
      </c>
      <c r="D66">
        <v>0.77869999999999995</v>
      </c>
      <c r="E66">
        <v>30.3</v>
      </c>
      <c r="F66"/>
    </row>
    <row r="67" spans="2:6" x14ac:dyDescent="0.25">
      <c r="B67">
        <v>8.9499999999999996E-2</v>
      </c>
      <c r="C67">
        <v>0.97499999999999998</v>
      </c>
      <c r="D67">
        <v>0.77869999999999995</v>
      </c>
      <c r="E67">
        <v>30.48</v>
      </c>
      <c r="F67"/>
    </row>
    <row r="68" spans="2:6" x14ac:dyDescent="0.25">
      <c r="B68">
        <v>9.1499999999999998E-2</v>
      </c>
      <c r="C68">
        <v>0.94810000000000005</v>
      </c>
      <c r="D68">
        <v>0.77869999999999995</v>
      </c>
      <c r="E68">
        <v>31.4</v>
      </c>
      <c r="F68"/>
    </row>
    <row r="69" spans="2:6" x14ac:dyDescent="0.25">
      <c r="B69">
        <v>9.35E-2</v>
      </c>
      <c r="C69">
        <v>0.94699999999999995</v>
      </c>
      <c r="D69">
        <v>0.77869999999999995</v>
      </c>
      <c r="E69">
        <v>32.380000000000003</v>
      </c>
      <c r="F69"/>
    </row>
    <row r="70" spans="2:6" x14ac:dyDescent="0.25">
      <c r="B70">
        <v>9.5500000000000002E-2</v>
      </c>
      <c r="C70">
        <v>0.96740000000000004</v>
      </c>
      <c r="D70">
        <v>0.77869999999999995</v>
      </c>
      <c r="E70">
        <v>32.65</v>
      </c>
      <c r="F70"/>
    </row>
    <row r="71" spans="2:6" x14ac:dyDescent="0.25">
      <c r="B71">
        <v>9.7500000000000003E-2</v>
      </c>
      <c r="C71">
        <v>0.9718</v>
      </c>
      <c r="D71">
        <v>0.77869999999999995</v>
      </c>
      <c r="E71">
        <v>32.729999999999997</v>
      </c>
      <c r="F71"/>
    </row>
    <row r="72" spans="2:6" x14ac:dyDescent="0.25">
      <c r="B72">
        <v>9.9500000000000005E-2</v>
      </c>
      <c r="C72">
        <v>0.96140000000000003</v>
      </c>
      <c r="D72">
        <v>0.77869999999999995</v>
      </c>
      <c r="E72">
        <v>33.31</v>
      </c>
      <c r="F72"/>
    </row>
    <row r="73" spans="2:6" x14ac:dyDescent="0.25">
      <c r="B73">
        <v>0.10150000000000001</v>
      </c>
      <c r="C73">
        <v>0.95109999999999995</v>
      </c>
      <c r="D73">
        <v>0.77869999999999995</v>
      </c>
      <c r="E73">
        <v>33.99</v>
      </c>
      <c r="F73"/>
    </row>
    <row r="74" spans="2:6" x14ac:dyDescent="0.25">
      <c r="B74">
        <v>0.10349999999999999</v>
      </c>
      <c r="C74">
        <v>0.95</v>
      </c>
      <c r="D74">
        <v>0.77869999999999995</v>
      </c>
      <c r="E74">
        <v>34.76</v>
      </c>
      <c r="F74"/>
    </row>
    <row r="75" spans="2:6" x14ac:dyDescent="0.25">
      <c r="B75">
        <v>0.1055</v>
      </c>
      <c r="C75">
        <v>0.95569999999999999</v>
      </c>
      <c r="D75">
        <v>0.77869999999999995</v>
      </c>
      <c r="E75">
        <v>35.28</v>
      </c>
      <c r="F75"/>
    </row>
    <row r="76" spans="2:6" x14ac:dyDescent="0.25">
      <c r="B76">
        <v>0.1075</v>
      </c>
      <c r="C76">
        <v>0.97550000000000003</v>
      </c>
      <c r="D76">
        <v>0.77869999999999995</v>
      </c>
      <c r="E76">
        <v>35.520000000000003</v>
      </c>
      <c r="F76"/>
    </row>
    <row r="77" spans="2:6" x14ac:dyDescent="0.25">
      <c r="B77">
        <v>0.1095</v>
      </c>
      <c r="C77">
        <v>0.98260000000000003</v>
      </c>
      <c r="D77">
        <v>0.77869999999999995</v>
      </c>
      <c r="E77">
        <v>35.44</v>
      </c>
      <c r="F77"/>
    </row>
    <row r="78" spans="2:6" x14ac:dyDescent="0.25">
      <c r="B78">
        <v>0.1115</v>
      </c>
      <c r="C78">
        <v>0.96030000000000004</v>
      </c>
      <c r="D78">
        <v>0.77869999999999995</v>
      </c>
      <c r="E78">
        <v>35.99</v>
      </c>
      <c r="F78"/>
    </row>
    <row r="79" spans="2:6" x14ac:dyDescent="0.25">
      <c r="B79">
        <v>0.1135</v>
      </c>
      <c r="C79">
        <v>0.94550000000000001</v>
      </c>
      <c r="D79">
        <v>0.77869999999999995</v>
      </c>
      <c r="E79">
        <v>36.99</v>
      </c>
      <c r="F79"/>
    </row>
    <row r="80" spans="2:6" x14ac:dyDescent="0.25">
      <c r="B80">
        <v>0.11550000000000001</v>
      </c>
      <c r="C80">
        <v>0.96589999999999998</v>
      </c>
      <c r="D80">
        <v>0.77869999999999995</v>
      </c>
      <c r="E80">
        <v>37.5</v>
      </c>
      <c r="F80"/>
    </row>
    <row r="81" spans="2:6" x14ac:dyDescent="0.25">
      <c r="B81">
        <v>0.11749999999999999</v>
      </c>
      <c r="C81">
        <v>0.98950000000000005</v>
      </c>
      <c r="D81">
        <v>0.77869999999999995</v>
      </c>
      <c r="E81">
        <v>37.29</v>
      </c>
      <c r="F81"/>
    </row>
    <row r="82" spans="2:6" x14ac:dyDescent="0.25">
      <c r="B82">
        <v>0.1195</v>
      </c>
      <c r="C82">
        <v>0.98480000000000001</v>
      </c>
      <c r="D82">
        <v>0.77869999999999995</v>
      </c>
      <c r="E82">
        <v>37.26</v>
      </c>
      <c r="F82"/>
    </row>
    <row r="83" spans="2:6" x14ac:dyDescent="0.25">
      <c r="B83">
        <v>0.1225</v>
      </c>
      <c r="C83">
        <v>0.95309999999999995</v>
      </c>
      <c r="D83">
        <v>0.77869999999999995</v>
      </c>
      <c r="E83">
        <v>38.46</v>
      </c>
      <c r="F83"/>
    </row>
    <row r="84" spans="2:6" x14ac:dyDescent="0.25">
      <c r="B84">
        <v>0.1265</v>
      </c>
      <c r="C84">
        <v>0.98340000000000005</v>
      </c>
      <c r="D84">
        <v>0.77869999999999995</v>
      </c>
      <c r="E84">
        <v>39.17</v>
      </c>
      <c r="F84"/>
    </row>
    <row r="85" spans="2:6" x14ac:dyDescent="0.25">
      <c r="B85">
        <v>0.1305</v>
      </c>
      <c r="C85">
        <v>0.96950000000000003</v>
      </c>
      <c r="D85">
        <v>0.77869999999999995</v>
      </c>
      <c r="E85">
        <v>39.380000000000003</v>
      </c>
      <c r="F85"/>
    </row>
    <row r="86" spans="2:6" x14ac:dyDescent="0.25">
      <c r="B86">
        <v>0.13450000000000001</v>
      </c>
      <c r="C86">
        <v>0.95640000000000003</v>
      </c>
      <c r="D86">
        <v>0.77869999999999995</v>
      </c>
      <c r="E86">
        <v>41.05</v>
      </c>
      <c r="F86"/>
    </row>
    <row r="87" spans="2:6" x14ac:dyDescent="0.25">
      <c r="B87">
        <v>0.13850000000000001</v>
      </c>
      <c r="C87">
        <v>0.98880000000000001</v>
      </c>
      <c r="D87">
        <v>0.77869999999999995</v>
      </c>
      <c r="E87">
        <v>41.09</v>
      </c>
      <c r="F87"/>
    </row>
    <row r="88" spans="2:6" x14ac:dyDescent="0.25">
      <c r="B88">
        <v>0.14249999999999999</v>
      </c>
      <c r="C88">
        <v>0.96179999999999999</v>
      </c>
      <c r="D88">
        <v>0.77869999999999995</v>
      </c>
      <c r="E88">
        <v>41.93</v>
      </c>
      <c r="F88"/>
    </row>
    <row r="89" spans="2:6" x14ac:dyDescent="0.25">
      <c r="B89">
        <v>0.14649999999999999</v>
      </c>
      <c r="C89">
        <v>0.97419999999999995</v>
      </c>
      <c r="D89">
        <v>0.77869999999999995</v>
      </c>
      <c r="E89">
        <v>42.87</v>
      </c>
      <c r="F89"/>
    </row>
    <row r="90" spans="2:6" x14ac:dyDescent="0.25">
      <c r="B90">
        <v>0.15049999999999999</v>
      </c>
      <c r="C90">
        <v>0.97660000000000002</v>
      </c>
      <c r="D90">
        <v>0.77869999999999995</v>
      </c>
      <c r="E90">
        <v>43.08</v>
      </c>
      <c r="F90"/>
    </row>
    <row r="91" spans="2:6" x14ac:dyDescent="0.25">
      <c r="B91">
        <v>0.1545</v>
      </c>
      <c r="C91">
        <v>0.95660000000000001</v>
      </c>
      <c r="D91">
        <v>0.77869999999999995</v>
      </c>
      <c r="E91">
        <v>44.58</v>
      </c>
      <c r="F91"/>
    </row>
    <row r="92" spans="2:6" x14ac:dyDescent="0.25">
      <c r="B92">
        <v>0.1585</v>
      </c>
      <c r="C92">
        <v>0.99550000000000005</v>
      </c>
      <c r="D92">
        <v>0.77869999999999995</v>
      </c>
      <c r="E92">
        <v>44.47</v>
      </c>
      <c r="F92"/>
    </row>
    <row r="93" spans="2:6" x14ac:dyDescent="0.25">
      <c r="B93">
        <v>0.16250000000000001</v>
      </c>
      <c r="C93">
        <v>0.96799999999999997</v>
      </c>
      <c r="D93">
        <v>0.77869999999999995</v>
      </c>
      <c r="E93">
        <v>45.1</v>
      </c>
      <c r="F93"/>
    </row>
    <row r="94" spans="2:6" x14ac:dyDescent="0.25">
      <c r="B94">
        <v>0.16650000000000001</v>
      </c>
      <c r="C94">
        <v>0.97840000000000005</v>
      </c>
      <c r="D94">
        <v>0.77869999999999995</v>
      </c>
      <c r="E94">
        <v>46.02</v>
      </c>
      <c r="F94"/>
    </row>
    <row r="95" spans="2:6" x14ac:dyDescent="0.25">
      <c r="B95">
        <v>0.17050000000000001</v>
      </c>
      <c r="C95">
        <v>0.98180000000000001</v>
      </c>
      <c r="D95">
        <v>0.77869999999999995</v>
      </c>
      <c r="E95">
        <v>46.07</v>
      </c>
      <c r="F95"/>
    </row>
    <row r="96" spans="2:6" x14ac:dyDescent="0.25">
      <c r="B96">
        <v>0.17449999999999999</v>
      </c>
      <c r="C96">
        <v>0.96619999999999995</v>
      </c>
      <c r="D96">
        <v>0.77869999999999995</v>
      </c>
      <c r="E96">
        <v>47.28</v>
      </c>
      <c r="F96"/>
    </row>
    <row r="97" spans="2:6" x14ac:dyDescent="0.25">
      <c r="B97">
        <v>0.17849999999999999</v>
      </c>
      <c r="C97">
        <v>0.99119999999999997</v>
      </c>
      <c r="D97">
        <v>0.77869999999999995</v>
      </c>
      <c r="E97">
        <v>47.3</v>
      </c>
      <c r="F97"/>
    </row>
    <row r="98" spans="2:6" x14ac:dyDescent="0.25">
      <c r="B98">
        <v>0.1825</v>
      </c>
      <c r="C98">
        <v>0.95730000000000004</v>
      </c>
      <c r="D98">
        <v>0.77869999999999995</v>
      </c>
      <c r="E98">
        <v>48.26</v>
      </c>
      <c r="F98"/>
    </row>
    <row r="99" spans="2:6" x14ac:dyDescent="0.25">
      <c r="B99">
        <v>0.1865</v>
      </c>
      <c r="C99">
        <v>0.98160000000000003</v>
      </c>
      <c r="D99">
        <v>0.77869999999999995</v>
      </c>
      <c r="E99">
        <v>49.23</v>
      </c>
      <c r="F99"/>
    </row>
    <row r="100" spans="2:6" x14ac:dyDescent="0.25">
      <c r="B100">
        <v>0.1905</v>
      </c>
      <c r="C100">
        <v>0.99480000000000002</v>
      </c>
      <c r="D100">
        <v>0.77869999999999995</v>
      </c>
      <c r="E100">
        <v>48.73</v>
      </c>
      <c r="F100"/>
    </row>
    <row r="101" spans="2:6" x14ac:dyDescent="0.25">
      <c r="B101">
        <v>0.19450000000000001</v>
      </c>
      <c r="C101">
        <v>0.97050000000000003</v>
      </c>
      <c r="D101">
        <v>0.77869999999999995</v>
      </c>
      <c r="E101">
        <v>49.81</v>
      </c>
      <c r="F101"/>
    </row>
    <row r="102" spans="2:6" x14ac:dyDescent="0.25">
      <c r="B102">
        <v>0.19850000000000001</v>
      </c>
      <c r="C102">
        <v>0.98860000000000003</v>
      </c>
      <c r="D102">
        <v>0.77869999999999995</v>
      </c>
      <c r="E102">
        <v>50.03</v>
      </c>
      <c r="F102"/>
    </row>
    <row r="103" spans="2:6" x14ac:dyDescent="0.25">
      <c r="B103">
        <v>0.20250000000000001</v>
      </c>
      <c r="C103">
        <v>0.96899999999999997</v>
      </c>
      <c r="D103">
        <v>0.77869999999999995</v>
      </c>
      <c r="E103">
        <v>50.74</v>
      </c>
      <c r="F103"/>
    </row>
    <row r="104" spans="2:6" x14ac:dyDescent="0.25">
      <c r="B104">
        <v>0.20649999999999999</v>
      </c>
      <c r="C104">
        <v>0.98550000000000004</v>
      </c>
      <c r="D104">
        <v>0.77869999999999995</v>
      </c>
      <c r="E104">
        <v>51.36</v>
      </c>
      <c r="F104"/>
    </row>
    <row r="105" spans="2:6" x14ac:dyDescent="0.25">
      <c r="B105">
        <v>0.21049999999999999</v>
      </c>
      <c r="C105">
        <v>0.99850000000000005</v>
      </c>
      <c r="D105">
        <v>0.77869999999999995</v>
      </c>
      <c r="E105">
        <v>51.01</v>
      </c>
      <c r="F105"/>
    </row>
    <row r="106" spans="2:6" x14ac:dyDescent="0.25">
      <c r="B106">
        <v>0.2145</v>
      </c>
      <c r="C106">
        <v>0.95589999999999997</v>
      </c>
      <c r="D106">
        <v>0.77869999999999995</v>
      </c>
      <c r="E106">
        <v>52.29</v>
      </c>
      <c r="F106"/>
    </row>
    <row r="107" spans="2:6" x14ac:dyDescent="0.25">
      <c r="B107">
        <v>0.2185</v>
      </c>
      <c r="C107">
        <v>0.9909</v>
      </c>
      <c r="D107">
        <v>0.77869999999999995</v>
      </c>
      <c r="E107">
        <v>52.76</v>
      </c>
      <c r="F107"/>
    </row>
    <row r="108" spans="2:6" x14ac:dyDescent="0.25">
      <c r="B108">
        <v>0.2225</v>
      </c>
      <c r="C108">
        <v>0.97560000000000002</v>
      </c>
      <c r="D108">
        <v>0.77869999999999995</v>
      </c>
      <c r="E108">
        <v>52.89</v>
      </c>
      <c r="F108"/>
    </row>
    <row r="109" spans="2:6" x14ac:dyDescent="0.25">
      <c r="B109">
        <v>0.22650000000000001</v>
      </c>
      <c r="C109">
        <v>0.98450000000000004</v>
      </c>
      <c r="D109">
        <v>0.77869999999999995</v>
      </c>
      <c r="E109">
        <v>53.68</v>
      </c>
      <c r="F109"/>
    </row>
    <row r="110" spans="2:6" x14ac:dyDescent="0.25">
      <c r="B110">
        <v>0.23050000000000001</v>
      </c>
      <c r="C110">
        <v>0.98480000000000001</v>
      </c>
      <c r="D110">
        <v>0.77869999999999995</v>
      </c>
      <c r="E110">
        <v>53.66</v>
      </c>
      <c r="F110"/>
    </row>
    <row r="111" spans="2:6" x14ac:dyDescent="0.25">
      <c r="B111">
        <v>0.23449999999999999</v>
      </c>
      <c r="C111">
        <v>0.96460000000000001</v>
      </c>
      <c r="D111">
        <v>0.77869999999999995</v>
      </c>
      <c r="E111">
        <v>54.74</v>
      </c>
      <c r="F111"/>
    </row>
    <row r="112" spans="2:6" x14ac:dyDescent="0.25">
      <c r="B112">
        <v>0.23849999999999999</v>
      </c>
      <c r="C112">
        <v>0.99890000000000001</v>
      </c>
      <c r="D112">
        <v>0.77869999999999995</v>
      </c>
      <c r="E112">
        <v>54.61</v>
      </c>
      <c r="F112"/>
    </row>
    <row r="113" spans="2:6" x14ac:dyDescent="0.25">
      <c r="B113">
        <v>0.24249999999999999</v>
      </c>
      <c r="C113">
        <v>0.97750000000000004</v>
      </c>
      <c r="D113">
        <v>0.77869999999999995</v>
      </c>
      <c r="E113">
        <v>54.71</v>
      </c>
      <c r="F113"/>
    </row>
    <row r="114" spans="2:6" x14ac:dyDescent="0.25">
      <c r="B114">
        <v>0.2465</v>
      </c>
      <c r="C114">
        <v>0.96819999999999995</v>
      </c>
      <c r="D114">
        <v>0.77869999999999995</v>
      </c>
      <c r="E114">
        <v>55.85</v>
      </c>
      <c r="F114"/>
    </row>
    <row r="115" spans="2:6" x14ac:dyDescent="0.25">
      <c r="B115">
        <v>0.2505</v>
      </c>
      <c r="C115">
        <v>0.98650000000000004</v>
      </c>
      <c r="D115">
        <v>0.77869999999999995</v>
      </c>
      <c r="E115">
        <v>55.74</v>
      </c>
      <c r="F115"/>
    </row>
    <row r="116" spans="2:6" x14ac:dyDescent="0.25">
      <c r="B116">
        <v>0.2545</v>
      </c>
      <c r="C116">
        <v>0.95899999999999996</v>
      </c>
      <c r="D116">
        <v>0.77869999999999995</v>
      </c>
      <c r="E116">
        <v>56.76</v>
      </c>
      <c r="F116"/>
    </row>
    <row r="117" spans="2:6" x14ac:dyDescent="0.25">
      <c r="B117">
        <v>0.25850000000000001</v>
      </c>
      <c r="C117">
        <v>0.99570000000000003</v>
      </c>
      <c r="D117">
        <v>0.77869999999999995</v>
      </c>
      <c r="E117">
        <v>56.94</v>
      </c>
      <c r="F117"/>
    </row>
    <row r="118" spans="2:6" x14ac:dyDescent="0.25">
      <c r="B118">
        <v>0.26250000000000001</v>
      </c>
      <c r="C118">
        <v>0.98839999999999995</v>
      </c>
      <c r="D118">
        <v>0.77869999999999995</v>
      </c>
      <c r="E118">
        <v>56.53</v>
      </c>
      <c r="F118"/>
    </row>
    <row r="119" spans="2:6" x14ac:dyDescent="0.25">
      <c r="B119">
        <v>0.26650000000000001</v>
      </c>
      <c r="C119">
        <v>0.9637</v>
      </c>
      <c r="D119">
        <v>0.77869999999999995</v>
      </c>
      <c r="E119">
        <v>57.86</v>
      </c>
      <c r="F119"/>
    </row>
    <row r="120" spans="2:6" x14ac:dyDescent="0.25">
      <c r="B120">
        <v>0.27050000000000002</v>
      </c>
      <c r="C120">
        <v>0.99609999999999999</v>
      </c>
      <c r="D120">
        <v>0.77869999999999995</v>
      </c>
      <c r="E120">
        <v>57.54</v>
      </c>
      <c r="F120"/>
    </row>
    <row r="121" spans="2:6" x14ac:dyDescent="0.25">
      <c r="B121">
        <v>0.27450000000000002</v>
      </c>
      <c r="C121">
        <v>0.96970000000000001</v>
      </c>
      <c r="D121">
        <v>0.77869999999999995</v>
      </c>
      <c r="E121">
        <v>58.18</v>
      </c>
      <c r="F121"/>
    </row>
    <row r="122" spans="2:6" x14ac:dyDescent="0.25">
      <c r="B122">
        <v>0.27850000000000003</v>
      </c>
      <c r="C122">
        <v>0.99219999999999997</v>
      </c>
      <c r="D122">
        <v>0.77869999999999995</v>
      </c>
      <c r="E122">
        <v>58.38</v>
      </c>
      <c r="F122"/>
    </row>
    <row r="123" spans="2:6" x14ac:dyDescent="0.25">
      <c r="B123">
        <v>0.28449999999999998</v>
      </c>
      <c r="C123">
        <v>0.97309999999999997</v>
      </c>
      <c r="D123">
        <v>0.77869999999999995</v>
      </c>
      <c r="E123">
        <v>58.98</v>
      </c>
      <c r="F123"/>
    </row>
    <row r="124" spans="2:6" x14ac:dyDescent="0.25">
      <c r="B124">
        <v>0.29249999999999998</v>
      </c>
      <c r="C124">
        <v>0.98399999999999999</v>
      </c>
      <c r="D124">
        <v>0.77869999999999995</v>
      </c>
      <c r="E124">
        <v>59.35</v>
      </c>
      <c r="F124"/>
    </row>
    <row r="125" spans="2:6" x14ac:dyDescent="0.25">
      <c r="B125">
        <v>0.30049999999999999</v>
      </c>
      <c r="C125">
        <v>0.98180000000000001</v>
      </c>
      <c r="D125">
        <v>0.77869999999999995</v>
      </c>
      <c r="E125">
        <v>60.27</v>
      </c>
      <c r="F125"/>
    </row>
    <row r="126" spans="2:6" x14ac:dyDescent="0.25">
      <c r="B126">
        <v>0.3085</v>
      </c>
      <c r="C126">
        <v>0.9929</v>
      </c>
      <c r="D126">
        <v>0.77869999999999995</v>
      </c>
      <c r="E126">
        <v>60.74</v>
      </c>
      <c r="F126"/>
    </row>
    <row r="127" spans="2:6" x14ac:dyDescent="0.25">
      <c r="B127">
        <v>0.3165</v>
      </c>
      <c r="C127">
        <v>0.97140000000000004</v>
      </c>
      <c r="D127">
        <v>0.77869999999999995</v>
      </c>
      <c r="E127">
        <v>61.46</v>
      </c>
      <c r="F127"/>
    </row>
    <row r="128" spans="2:6" x14ac:dyDescent="0.25">
      <c r="B128">
        <v>0.32450000000000001</v>
      </c>
      <c r="C128">
        <v>0.97770000000000001</v>
      </c>
      <c r="D128">
        <v>0.77949999999999997</v>
      </c>
      <c r="E128">
        <v>62</v>
      </c>
      <c r="F128"/>
    </row>
    <row r="129" spans="2:6" x14ac:dyDescent="0.25">
      <c r="B129">
        <v>0.33250000000000002</v>
      </c>
      <c r="C129">
        <v>0.98839999999999995</v>
      </c>
      <c r="D129">
        <v>0.77949999999999997</v>
      </c>
      <c r="E129">
        <v>62.43</v>
      </c>
      <c r="F129"/>
    </row>
    <row r="130" spans="2:6" x14ac:dyDescent="0.25">
      <c r="B130">
        <v>0.34050000000000002</v>
      </c>
      <c r="C130">
        <v>0.99709999999999999</v>
      </c>
      <c r="D130">
        <v>0.77949999999999997</v>
      </c>
      <c r="E130">
        <v>63</v>
      </c>
      <c r="F130"/>
    </row>
    <row r="131" spans="2:6" x14ac:dyDescent="0.25">
      <c r="B131">
        <v>0.34849999999999998</v>
      </c>
      <c r="C131">
        <v>0.98780000000000001</v>
      </c>
      <c r="D131">
        <v>0.77949999999999997</v>
      </c>
      <c r="E131">
        <v>63.66</v>
      </c>
      <c r="F131"/>
    </row>
    <row r="132" spans="2:6" x14ac:dyDescent="0.25">
      <c r="B132">
        <v>0.35649999999999998</v>
      </c>
      <c r="C132">
        <v>0.98799999999999999</v>
      </c>
      <c r="D132">
        <v>0.77949999999999997</v>
      </c>
      <c r="E132">
        <v>64.06</v>
      </c>
      <c r="F132"/>
    </row>
    <row r="133" spans="2:6" x14ac:dyDescent="0.25">
      <c r="B133">
        <v>0.36449999999999999</v>
      </c>
      <c r="C133">
        <v>0.97929999999999995</v>
      </c>
      <c r="D133">
        <v>0.77949999999999997</v>
      </c>
      <c r="E133">
        <v>64.52</v>
      </c>
      <c r="F133"/>
    </row>
    <row r="134" spans="2:6" x14ac:dyDescent="0.25">
      <c r="B134">
        <v>0.3725</v>
      </c>
      <c r="C134">
        <v>0.999</v>
      </c>
      <c r="D134">
        <v>0.77949999999999997</v>
      </c>
      <c r="E134">
        <v>65.02</v>
      </c>
      <c r="F134"/>
    </row>
    <row r="135" spans="2:6" x14ac:dyDescent="0.25">
      <c r="B135">
        <v>0.3805</v>
      </c>
      <c r="C135">
        <v>0.99539999999999995</v>
      </c>
      <c r="D135">
        <v>0.77949999999999997</v>
      </c>
      <c r="E135">
        <v>65.42</v>
      </c>
      <c r="F135"/>
    </row>
    <row r="136" spans="2:6" x14ac:dyDescent="0.25">
      <c r="B136">
        <v>0.38850000000000001</v>
      </c>
      <c r="C136">
        <v>0.9899</v>
      </c>
      <c r="D136">
        <v>0.77949999999999997</v>
      </c>
      <c r="E136">
        <v>66</v>
      </c>
      <c r="F136"/>
    </row>
    <row r="137" spans="2:6" x14ac:dyDescent="0.25">
      <c r="B137">
        <v>0.39650000000000002</v>
      </c>
      <c r="C137">
        <v>0.97909999999999997</v>
      </c>
      <c r="D137">
        <v>0.77949999999999997</v>
      </c>
      <c r="E137">
        <v>66.48</v>
      </c>
      <c r="F137"/>
    </row>
    <row r="138" spans="2:6" x14ac:dyDescent="0.25">
      <c r="B138">
        <v>0.40450000000000003</v>
      </c>
      <c r="C138">
        <v>0.99299999999999999</v>
      </c>
      <c r="D138">
        <v>0.77949999999999997</v>
      </c>
      <c r="E138">
        <v>66.83</v>
      </c>
      <c r="F138"/>
    </row>
    <row r="139" spans="2:6" x14ac:dyDescent="0.25">
      <c r="B139">
        <v>0.41249999999999998</v>
      </c>
      <c r="C139">
        <v>0.99429999999999996</v>
      </c>
      <c r="D139">
        <v>0.77949999999999997</v>
      </c>
      <c r="E139">
        <v>67.19</v>
      </c>
      <c r="F139"/>
    </row>
    <row r="140" spans="2:6" x14ac:dyDescent="0.25">
      <c r="B140">
        <v>0.42049999999999998</v>
      </c>
      <c r="C140">
        <v>0.99819999999999998</v>
      </c>
      <c r="D140">
        <v>0.77949999999999997</v>
      </c>
      <c r="E140">
        <v>67.78</v>
      </c>
      <c r="F140"/>
    </row>
    <row r="141" spans="2:6" x14ac:dyDescent="0.25">
      <c r="B141">
        <v>0.42849999999999999</v>
      </c>
      <c r="C141">
        <v>0.98929999999999996</v>
      </c>
      <c r="D141">
        <v>0.77949999999999997</v>
      </c>
      <c r="E141">
        <v>68.03</v>
      </c>
      <c r="F141"/>
    </row>
    <row r="142" spans="2:6" x14ac:dyDescent="0.25">
      <c r="B142">
        <v>0.4365</v>
      </c>
      <c r="C142">
        <v>0.98170000000000002</v>
      </c>
      <c r="D142">
        <v>0.77949999999999997</v>
      </c>
      <c r="E142">
        <v>68.55</v>
      </c>
      <c r="F142"/>
    </row>
    <row r="143" spans="2:6" x14ac:dyDescent="0.25">
      <c r="B143">
        <v>0.44450000000000001</v>
      </c>
      <c r="C143">
        <v>1.0029999999999999</v>
      </c>
      <c r="D143">
        <v>0.77949999999999997</v>
      </c>
      <c r="E143">
        <v>68.72</v>
      </c>
      <c r="F143"/>
    </row>
    <row r="144" spans="2:6" x14ac:dyDescent="0.25">
      <c r="B144">
        <v>0.45250000000000001</v>
      </c>
      <c r="C144">
        <v>1.002</v>
      </c>
      <c r="D144">
        <v>0.77949999999999997</v>
      </c>
      <c r="E144">
        <v>69.260000000000005</v>
      </c>
      <c r="F144"/>
    </row>
    <row r="145" spans="2:6" x14ac:dyDescent="0.25">
      <c r="B145">
        <v>0.46050000000000002</v>
      </c>
      <c r="C145">
        <v>1.0049999999999999</v>
      </c>
      <c r="D145">
        <v>0.77949999999999997</v>
      </c>
      <c r="E145">
        <v>69.45</v>
      </c>
      <c r="F145"/>
    </row>
    <row r="146" spans="2:6" x14ac:dyDescent="0.25">
      <c r="B146">
        <v>0.46850000000000003</v>
      </c>
      <c r="C146">
        <v>0.98909999999999998</v>
      </c>
      <c r="D146">
        <v>0.77949999999999997</v>
      </c>
      <c r="E146">
        <v>70.08</v>
      </c>
      <c r="F146"/>
    </row>
    <row r="147" spans="2:6" x14ac:dyDescent="0.25">
      <c r="B147">
        <v>0.47649999999999998</v>
      </c>
      <c r="C147">
        <v>0.99819999999999998</v>
      </c>
      <c r="D147">
        <v>0.77949999999999997</v>
      </c>
      <c r="E147">
        <v>70.3</v>
      </c>
      <c r="F147"/>
    </row>
    <row r="148" spans="2:6" x14ac:dyDescent="0.25">
      <c r="B148">
        <v>0.48449999999999999</v>
      </c>
      <c r="C148">
        <v>1.0009999999999999</v>
      </c>
      <c r="D148">
        <v>0.77949999999999997</v>
      </c>
      <c r="E148">
        <v>70.45</v>
      </c>
      <c r="F148"/>
    </row>
    <row r="149" spans="2:6" x14ac:dyDescent="0.25">
      <c r="B149">
        <v>0.49249999999999999</v>
      </c>
      <c r="C149">
        <v>1.0109999999999999</v>
      </c>
      <c r="D149">
        <v>0.77949999999999997</v>
      </c>
      <c r="E149">
        <v>70.709999999999994</v>
      </c>
      <c r="F149"/>
    </row>
    <row r="150" spans="2:6" x14ac:dyDescent="0.25">
      <c r="B150">
        <v>0.50049999999999994</v>
      </c>
      <c r="C150">
        <v>0.99690000000000001</v>
      </c>
      <c r="D150">
        <v>0.77949999999999997</v>
      </c>
      <c r="E150">
        <v>71.25</v>
      </c>
      <c r="F150"/>
    </row>
    <row r="151" spans="2:6" x14ac:dyDescent="0.25">
      <c r="B151">
        <v>0.50849999999999995</v>
      </c>
      <c r="C151">
        <v>0.99580000000000002</v>
      </c>
      <c r="D151">
        <v>0.77949999999999997</v>
      </c>
      <c r="E151">
        <v>71.52</v>
      </c>
      <c r="F151"/>
    </row>
    <row r="152" spans="2:6" x14ac:dyDescent="0.25">
      <c r="B152">
        <v>0.51649999999999996</v>
      </c>
      <c r="C152">
        <v>0.99560000000000004</v>
      </c>
      <c r="D152">
        <v>0.77949999999999997</v>
      </c>
      <c r="E152">
        <v>71.84</v>
      </c>
      <c r="F152"/>
    </row>
    <row r="153" spans="2:6" x14ac:dyDescent="0.25">
      <c r="B153">
        <v>0.52449999999999997</v>
      </c>
      <c r="C153">
        <v>1.0069999999999999</v>
      </c>
      <c r="D153">
        <v>0.77949999999999997</v>
      </c>
      <c r="E153">
        <v>71.92</v>
      </c>
      <c r="F153"/>
    </row>
    <row r="154" spans="2:6" x14ac:dyDescent="0.25">
      <c r="B154">
        <v>0.53249999999999997</v>
      </c>
      <c r="C154">
        <v>1.006</v>
      </c>
      <c r="D154">
        <v>0.77949999999999997</v>
      </c>
      <c r="E154">
        <v>72.22</v>
      </c>
      <c r="F154"/>
    </row>
    <row r="155" spans="2:6" x14ac:dyDescent="0.25">
      <c r="B155">
        <v>0.54049999999999998</v>
      </c>
      <c r="C155">
        <v>0.99809999999999999</v>
      </c>
      <c r="D155">
        <v>0.77949999999999997</v>
      </c>
      <c r="E155">
        <v>72.64</v>
      </c>
      <c r="F155"/>
    </row>
    <row r="156" spans="2:6" x14ac:dyDescent="0.25">
      <c r="B156">
        <v>0.54849999999999999</v>
      </c>
      <c r="C156">
        <v>0.98499999999999999</v>
      </c>
      <c r="D156">
        <v>0.77949999999999997</v>
      </c>
      <c r="E156">
        <v>73.010000000000005</v>
      </c>
      <c r="F156"/>
    </row>
    <row r="157" spans="2:6" x14ac:dyDescent="0.25">
      <c r="B157">
        <v>0.55649999999999999</v>
      </c>
      <c r="C157">
        <v>0.99870000000000003</v>
      </c>
      <c r="D157">
        <v>0.76270000000000004</v>
      </c>
      <c r="E157">
        <v>72.900000000000006</v>
      </c>
      <c r="F157"/>
    </row>
    <row r="158" spans="2:6" x14ac:dyDescent="0.25">
      <c r="B158">
        <v>0.5645</v>
      </c>
      <c r="C158">
        <v>0.99880000000000002</v>
      </c>
      <c r="D158">
        <v>0.76270000000000004</v>
      </c>
      <c r="E158">
        <v>73.12</v>
      </c>
      <c r="F158"/>
    </row>
    <row r="159" spans="2:6" x14ac:dyDescent="0.25">
      <c r="B159">
        <v>0.57250000000000001</v>
      </c>
      <c r="C159">
        <v>1.0029999999999999</v>
      </c>
      <c r="D159">
        <v>0.76270000000000004</v>
      </c>
      <c r="E159">
        <v>73.459999999999994</v>
      </c>
      <c r="F159"/>
    </row>
    <row r="160" spans="2:6" x14ac:dyDescent="0.25">
      <c r="B160">
        <v>0.58050000000000002</v>
      </c>
      <c r="C160">
        <v>0.98939999999999995</v>
      </c>
      <c r="D160">
        <v>0.76270000000000004</v>
      </c>
      <c r="E160">
        <v>73.790000000000006</v>
      </c>
      <c r="F160"/>
    </row>
    <row r="161" spans="2:6" x14ac:dyDescent="0.25">
      <c r="B161">
        <v>0.58850000000000002</v>
      </c>
      <c r="C161">
        <v>0.99129999999999996</v>
      </c>
      <c r="D161">
        <v>0.76270000000000004</v>
      </c>
      <c r="E161">
        <v>74.08</v>
      </c>
      <c r="F161"/>
    </row>
    <row r="162" spans="2:6" x14ac:dyDescent="0.25">
      <c r="B162">
        <v>0.59650000000000003</v>
      </c>
      <c r="C162">
        <v>0.99360000000000004</v>
      </c>
      <c r="D162">
        <v>0.76270000000000004</v>
      </c>
      <c r="E162">
        <v>73.94</v>
      </c>
      <c r="F162"/>
    </row>
    <row r="163" spans="2:6" x14ac:dyDescent="0.25">
      <c r="B163">
        <v>0.60850000000000004</v>
      </c>
      <c r="C163">
        <v>1.0009999999999999</v>
      </c>
      <c r="D163">
        <v>0.76270000000000004</v>
      </c>
      <c r="E163">
        <v>74.349999999999994</v>
      </c>
      <c r="F163"/>
    </row>
    <row r="164" spans="2:6" x14ac:dyDescent="0.25">
      <c r="B164">
        <v>0.62450000000000006</v>
      </c>
      <c r="C164">
        <v>0.99080000000000001</v>
      </c>
      <c r="D164">
        <v>0.76270000000000004</v>
      </c>
      <c r="E164">
        <v>74.91</v>
      </c>
      <c r="F164"/>
    </row>
    <row r="165" spans="2:6" x14ac:dyDescent="0.25">
      <c r="B165">
        <v>0.64049999999999996</v>
      </c>
      <c r="C165">
        <v>1.002</v>
      </c>
      <c r="D165">
        <v>0.76270000000000004</v>
      </c>
      <c r="E165">
        <v>74.989999999999995</v>
      </c>
      <c r="F165"/>
    </row>
    <row r="166" spans="2:6" x14ac:dyDescent="0.25">
      <c r="B166">
        <v>0.65649999999999997</v>
      </c>
      <c r="C166">
        <v>0.99180000000000001</v>
      </c>
      <c r="D166">
        <v>0.76270000000000004</v>
      </c>
      <c r="E166">
        <v>75.650000000000006</v>
      </c>
      <c r="F166"/>
    </row>
    <row r="167" spans="2:6" x14ac:dyDescent="0.25">
      <c r="B167">
        <v>0.67249999999999999</v>
      </c>
      <c r="C167">
        <v>1</v>
      </c>
      <c r="D167">
        <v>0.76270000000000004</v>
      </c>
      <c r="E167">
        <v>75.66</v>
      </c>
      <c r="F167"/>
    </row>
    <row r="168" spans="2:6" x14ac:dyDescent="0.25">
      <c r="B168">
        <v>0.6885</v>
      </c>
      <c r="C168">
        <v>0.99629999999999996</v>
      </c>
      <c r="D168">
        <v>0.76270000000000004</v>
      </c>
      <c r="E168">
        <v>76.31</v>
      </c>
      <c r="F168"/>
    </row>
    <row r="169" spans="2:6" x14ac:dyDescent="0.25">
      <c r="B169">
        <v>0.70450000000000002</v>
      </c>
      <c r="C169">
        <v>0.99590000000000001</v>
      </c>
      <c r="D169">
        <v>0.76270000000000004</v>
      </c>
      <c r="E169">
        <v>76.459999999999994</v>
      </c>
      <c r="F169"/>
    </row>
    <row r="170" spans="2:6" x14ac:dyDescent="0.25">
      <c r="B170">
        <v>0.72050000000000003</v>
      </c>
      <c r="C170">
        <v>1.0029999999999999</v>
      </c>
      <c r="D170">
        <v>0.76270000000000004</v>
      </c>
      <c r="E170">
        <v>76.599999999999994</v>
      </c>
      <c r="F170"/>
    </row>
    <row r="171" spans="2:6" x14ac:dyDescent="0.25">
      <c r="B171">
        <v>0.73650000000000004</v>
      </c>
      <c r="C171">
        <v>0.99039999999999995</v>
      </c>
      <c r="D171">
        <v>0.76270000000000004</v>
      </c>
      <c r="E171">
        <v>77.19</v>
      </c>
      <c r="F171"/>
    </row>
    <row r="172" spans="2:6" x14ac:dyDescent="0.25">
      <c r="B172">
        <v>0.75249999999999995</v>
      </c>
      <c r="C172">
        <v>1.002</v>
      </c>
      <c r="D172">
        <v>0.76270000000000004</v>
      </c>
      <c r="E172">
        <v>77.09</v>
      </c>
      <c r="F172"/>
    </row>
    <row r="173" spans="2:6" x14ac:dyDescent="0.25">
      <c r="B173">
        <v>0.76849999999999996</v>
      </c>
      <c r="C173">
        <v>0.99399999999999999</v>
      </c>
      <c r="D173">
        <v>0.76270000000000004</v>
      </c>
      <c r="E173">
        <v>77.72</v>
      </c>
      <c r="F173"/>
    </row>
    <row r="174" spans="2:6" x14ac:dyDescent="0.25">
      <c r="B174">
        <v>0.78449999999999998</v>
      </c>
      <c r="C174">
        <v>0.99780000000000002</v>
      </c>
      <c r="D174">
        <v>0.76270000000000004</v>
      </c>
      <c r="E174">
        <v>77.63</v>
      </c>
      <c r="F174"/>
    </row>
    <row r="175" spans="2:6" x14ac:dyDescent="0.25">
      <c r="B175">
        <v>0.80049999999999999</v>
      </c>
      <c r="C175">
        <v>0.99909999999999999</v>
      </c>
      <c r="D175">
        <v>0.76270000000000004</v>
      </c>
      <c r="E175">
        <v>78.040000000000006</v>
      </c>
      <c r="F175"/>
    </row>
    <row r="176" spans="2:6" x14ac:dyDescent="0.25">
      <c r="B176">
        <v>0.8165</v>
      </c>
      <c r="C176">
        <v>0.99529999999999996</v>
      </c>
      <c r="D176">
        <v>0.7409</v>
      </c>
      <c r="E176">
        <v>78.180000000000007</v>
      </c>
      <c r="F176"/>
    </row>
    <row r="177" spans="2:6" x14ac:dyDescent="0.25">
      <c r="B177">
        <v>0.83250000000000002</v>
      </c>
      <c r="C177">
        <v>1.002</v>
      </c>
      <c r="D177">
        <v>0.7409</v>
      </c>
      <c r="E177">
        <v>78.23</v>
      </c>
      <c r="F177"/>
    </row>
    <row r="178" spans="2:6" x14ac:dyDescent="0.25">
      <c r="B178">
        <v>0.84850000000000003</v>
      </c>
      <c r="C178">
        <v>0.99429999999999996</v>
      </c>
      <c r="D178">
        <v>0.7409</v>
      </c>
      <c r="E178">
        <v>78.72</v>
      </c>
      <c r="F178"/>
    </row>
    <row r="179" spans="2:6" x14ac:dyDescent="0.25">
      <c r="B179">
        <v>0.86450000000000005</v>
      </c>
      <c r="C179">
        <v>1.0009999999999999</v>
      </c>
      <c r="D179">
        <v>0.7409</v>
      </c>
      <c r="E179">
        <v>78.55</v>
      </c>
      <c r="F179"/>
    </row>
    <row r="180" spans="2:6" x14ac:dyDescent="0.25">
      <c r="B180">
        <v>0.88049999999999995</v>
      </c>
      <c r="C180">
        <v>0.99750000000000005</v>
      </c>
      <c r="D180">
        <v>0.7409</v>
      </c>
      <c r="E180">
        <v>79</v>
      </c>
      <c r="F180"/>
    </row>
    <row r="181" spans="2:6" x14ac:dyDescent="0.25">
      <c r="B181">
        <v>0.89649999999999996</v>
      </c>
      <c r="C181">
        <v>0.99819999999999998</v>
      </c>
      <c r="D181">
        <v>0.7409</v>
      </c>
      <c r="E181">
        <v>78.900000000000006</v>
      </c>
      <c r="F181"/>
    </row>
    <row r="182" spans="2:6" x14ac:dyDescent="0.25">
      <c r="B182">
        <v>0.91249999999999998</v>
      </c>
      <c r="C182">
        <v>0.99970000000000003</v>
      </c>
      <c r="D182">
        <v>0.7409</v>
      </c>
      <c r="E182">
        <v>79.33</v>
      </c>
      <c r="F182"/>
    </row>
    <row r="183" spans="2:6" x14ac:dyDescent="0.25">
      <c r="B183">
        <v>0.92849999999999999</v>
      </c>
      <c r="C183">
        <v>0.995</v>
      </c>
      <c r="D183">
        <v>0.7409</v>
      </c>
      <c r="E183">
        <v>79.319999999999993</v>
      </c>
      <c r="F183"/>
    </row>
    <row r="184" spans="2:6" x14ac:dyDescent="0.25">
      <c r="B184">
        <v>0.94450000000000001</v>
      </c>
      <c r="C184">
        <v>1.0029999999999999</v>
      </c>
      <c r="D184">
        <v>0.7409</v>
      </c>
      <c r="E184">
        <v>79.36</v>
      </c>
      <c r="F184"/>
    </row>
    <row r="185" spans="2:6" x14ac:dyDescent="0.25">
      <c r="B185">
        <v>0.96050000000000002</v>
      </c>
      <c r="C185">
        <v>0.99619999999999997</v>
      </c>
      <c r="D185">
        <v>0.7409</v>
      </c>
      <c r="E185">
        <v>79.75</v>
      </c>
      <c r="F185"/>
    </row>
    <row r="186" spans="2:6" x14ac:dyDescent="0.25">
      <c r="B186">
        <v>0.97650000000000003</v>
      </c>
      <c r="C186">
        <v>0.99809999999999999</v>
      </c>
      <c r="D186">
        <v>0.7409</v>
      </c>
      <c r="E186">
        <v>79.55</v>
      </c>
      <c r="F186"/>
    </row>
    <row r="187" spans="2:6" x14ac:dyDescent="0.25">
      <c r="B187">
        <v>0.99250000000000005</v>
      </c>
      <c r="C187">
        <v>1.002</v>
      </c>
      <c r="D187">
        <v>0.7409</v>
      </c>
      <c r="E187">
        <v>79.959999999999994</v>
      </c>
      <c r="F187"/>
    </row>
    <row r="188" spans="2:6" x14ac:dyDescent="0.25">
      <c r="B188">
        <v>1.0085</v>
      </c>
      <c r="C188">
        <v>0.99619999999999997</v>
      </c>
      <c r="D188">
        <v>0.7409</v>
      </c>
      <c r="E188">
        <v>79.81</v>
      </c>
      <c r="F188"/>
    </row>
    <row r="189" spans="2:6" x14ac:dyDescent="0.25">
      <c r="B189">
        <v>1.0245</v>
      </c>
      <c r="C189">
        <v>1.0029999999999999</v>
      </c>
      <c r="D189">
        <v>0.7409</v>
      </c>
      <c r="E189">
        <v>79.94</v>
      </c>
      <c r="F189"/>
    </row>
    <row r="190" spans="2:6" x14ac:dyDescent="0.25">
      <c r="B190">
        <v>1.0405</v>
      </c>
      <c r="C190">
        <v>0.99650000000000005</v>
      </c>
      <c r="D190">
        <v>0.72140000000000004</v>
      </c>
      <c r="E190">
        <v>80.12</v>
      </c>
      <c r="F190"/>
    </row>
    <row r="191" spans="2:6" x14ac:dyDescent="0.25">
      <c r="B191">
        <v>1.0565</v>
      </c>
      <c r="C191">
        <v>1.0009999999999999</v>
      </c>
      <c r="D191">
        <v>0.72140000000000004</v>
      </c>
      <c r="E191">
        <v>80.180000000000007</v>
      </c>
      <c r="F191"/>
    </row>
    <row r="192" spans="2:6" x14ac:dyDescent="0.25">
      <c r="B192">
        <v>1.0725</v>
      </c>
      <c r="C192">
        <v>0.99870000000000003</v>
      </c>
      <c r="D192">
        <v>0.72140000000000004</v>
      </c>
      <c r="E192">
        <v>80.36</v>
      </c>
      <c r="F192"/>
    </row>
    <row r="193" spans="2:6" x14ac:dyDescent="0.25">
      <c r="B193">
        <v>1.0885</v>
      </c>
      <c r="C193">
        <v>0.99880000000000002</v>
      </c>
      <c r="D193">
        <v>0.72140000000000004</v>
      </c>
      <c r="E193">
        <v>80.19</v>
      </c>
      <c r="F193"/>
    </row>
    <row r="194" spans="2:6" x14ac:dyDescent="0.25">
      <c r="B194">
        <v>1.1045</v>
      </c>
      <c r="C194">
        <v>1.0029999999999999</v>
      </c>
      <c r="D194">
        <v>0.72140000000000004</v>
      </c>
      <c r="E194">
        <v>80.540000000000006</v>
      </c>
      <c r="F194"/>
    </row>
    <row r="195" spans="2:6" x14ac:dyDescent="0.25">
      <c r="B195">
        <v>1.1205000000000001</v>
      </c>
      <c r="C195">
        <v>0.99350000000000005</v>
      </c>
      <c r="D195">
        <v>0.72140000000000004</v>
      </c>
      <c r="E195">
        <v>80.41</v>
      </c>
      <c r="F195"/>
    </row>
    <row r="196" spans="2:6" x14ac:dyDescent="0.25">
      <c r="B196">
        <v>1.1365000000000001</v>
      </c>
      <c r="C196">
        <v>1.006</v>
      </c>
      <c r="D196">
        <v>0.72140000000000004</v>
      </c>
      <c r="E196">
        <v>80.55</v>
      </c>
      <c r="F196"/>
    </row>
    <row r="197" spans="2:6" x14ac:dyDescent="0.25">
      <c r="B197">
        <v>1.1525000000000001</v>
      </c>
      <c r="C197">
        <v>0.99439999999999995</v>
      </c>
      <c r="D197">
        <v>0.72140000000000004</v>
      </c>
      <c r="E197">
        <v>80.650000000000006</v>
      </c>
      <c r="F197"/>
    </row>
    <row r="198" spans="2:6" x14ac:dyDescent="0.25">
      <c r="B198">
        <v>1.1685000000000001</v>
      </c>
      <c r="C198">
        <v>1.0009999999999999</v>
      </c>
      <c r="D198">
        <v>0.72140000000000004</v>
      </c>
      <c r="E198">
        <v>80.55</v>
      </c>
      <c r="F198"/>
    </row>
    <row r="199" spans="2:6" x14ac:dyDescent="0.25">
      <c r="B199">
        <v>1.1845000000000001</v>
      </c>
      <c r="C199">
        <v>1</v>
      </c>
      <c r="D199">
        <v>0.72140000000000004</v>
      </c>
      <c r="E199">
        <v>80.75</v>
      </c>
      <c r="F199"/>
    </row>
    <row r="200" spans="2:6" x14ac:dyDescent="0.25">
      <c r="B200">
        <v>1.2004999999999999</v>
      </c>
      <c r="C200">
        <v>0.99439999999999995</v>
      </c>
      <c r="D200">
        <v>0.72140000000000004</v>
      </c>
      <c r="E200">
        <v>80.760000000000005</v>
      </c>
      <c r="F200"/>
    </row>
    <row r="201" spans="2:6" x14ac:dyDescent="0.25">
      <c r="B201">
        <v>1.2164999999999999</v>
      </c>
      <c r="C201">
        <v>1.006</v>
      </c>
      <c r="D201">
        <v>0.72140000000000004</v>
      </c>
      <c r="E201">
        <v>80.819999999999993</v>
      </c>
      <c r="F201"/>
    </row>
    <row r="202" spans="2:6" x14ac:dyDescent="0.25">
      <c r="B202">
        <v>1.2324999999999999</v>
      </c>
      <c r="C202">
        <v>0.99360000000000004</v>
      </c>
      <c r="D202">
        <v>0.72140000000000004</v>
      </c>
      <c r="E202">
        <v>80.81</v>
      </c>
      <c r="F202"/>
    </row>
    <row r="203" spans="2:6" x14ac:dyDescent="0.25">
      <c r="B203">
        <v>1.2565</v>
      </c>
      <c r="C203">
        <v>1</v>
      </c>
      <c r="D203">
        <v>0.72140000000000004</v>
      </c>
      <c r="E203">
        <v>80.92</v>
      </c>
      <c r="F203"/>
    </row>
    <row r="204" spans="2:6" x14ac:dyDescent="0.25">
      <c r="B204">
        <v>1.2885</v>
      </c>
      <c r="C204">
        <v>1.002</v>
      </c>
      <c r="D204">
        <v>0.72140000000000004</v>
      </c>
      <c r="E204">
        <v>80.98</v>
      </c>
      <c r="F204"/>
    </row>
    <row r="205" spans="2:6" x14ac:dyDescent="0.25">
      <c r="B205">
        <v>1.3205</v>
      </c>
      <c r="C205">
        <v>1</v>
      </c>
      <c r="D205">
        <v>0.71030000000000004</v>
      </c>
      <c r="E205">
        <v>80.98</v>
      </c>
      <c r="F205"/>
    </row>
    <row r="206" spans="2:6" x14ac:dyDescent="0.25">
      <c r="B206">
        <v>1.3525</v>
      </c>
      <c r="C206">
        <v>0.99850000000000005</v>
      </c>
      <c r="D206">
        <v>0.71030000000000004</v>
      </c>
      <c r="E206">
        <v>81.11</v>
      </c>
      <c r="F206"/>
    </row>
    <row r="207" spans="2:6" x14ac:dyDescent="0.25">
      <c r="B207">
        <v>1.3845000000000001</v>
      </c>
      <c r="C207">
        <v>0.99860000000000004</v>
      </c>
      <c r="D207">
        <v>0.71030000000000004</v>
      </c>
      <c r="E207">
        <v>81.14</v>
      </c>
      <c r="F207"/>
    </row>
    <row r="208" spans="2:6" x14ac:dyDescent="0.25">
      <c r="B208">
        <v>1.4165000000000001</v>
      </c>
      <c r="C208">
        <v>0.99829999999999997</v>
      </c>
      <c r="D208">
        <v>0.71030000000000004</v>
      </c>
      <c r="E208">
        <v>81.209999999999994</v>
      </c>
      <c r="F208"/>
    </row>
    <row r="209" spans="2:6" x14ac:dyDescent="0.25">
      <c r="B209">
        <v>1.4484999999999999</v>
      </c>
      <c r="C209">
        <v>1.0009999999999999</v>
      </c>
      <c r="D209">
        <v>0.71030000000000004</v>
      </c>
      <c r="E209">
        <v>81.209999999999994</v>
      </c>
      <c r="F209"/>
    </row>
    <row r="210" spans="2:6" x14ac:dyDescent="0.25">
      <c r="B210">
        <v>1.4804999999999999</v>
      </c>
      <c r="C210">
        <v>1.0009999999999999</v>
      </c>
      <c r="D210">
        <v>0.71030000000000004</v>
      </c>
      <c r="E210">
        <v>81.22</v>
      </c>
      <c r="F210"/>
    </row>
    <row r="211" spans="2:6" x14ac:dyDescent="0.25">
      <c r="B211">
        <v>1.5125</v>
      </c>
      <c r="C211">
        <v>1.002</v>
      </c>
      <c r="D211">
        <v>0.71030000000000004</v>
      </c>
      <c r="E211">
        <v>81.2</v>
      </c>
      <c r="F211"/>
    </row>
    <row r="212" spans="2:6" x14ac:dyDescent="0.25">
      <c r="B212">
        <v>1.5445</v>
      </c>
      <c r="C212">
        <v>1</v>
      </c>
      <c r="D212">
        <v>0.69140000000000001</v>
      </c>
      <c r="E212">
        <v>81.22</v>
      </c>
      <c r="F212"/>
    </row>
    <row r="213" spans="2:6" x14ac:dyDescent="0.25">
      <c r="B213">
        <v>1.5765</v>
      </c>
      <c r="C213">
        <v>0.99870000000000003</v>
      </c>
      <c r="D213">
        <v>0.69140000000000001</v>
      </c>
      <c r="E213">
        <v>81.260000000000005</v>
      </c>
      <c r="F213"/>
    </row>
    <row r="214" spans="2:6" x14ac:dyDescent="0.25">
      <c r="B214">
        <v>1.6085</v>
      </c>
      <c r="C214">
        <v>0.99850000000000005</v>
      </c>
      <c r="D214">
        <v>0.69140000000000001</v>
      </c>
      <c r="E214">
        <v>81.28</v>
      </c>
      <c r="F214"/>
    </row>
    <row r="215" spans="2:6" x14ac:dyDescent="0.25">
      <c r="B215">
        <v>1.6405000000000001</v>
      </c>
      <c r="C215">
        <v>0.99980000000000002</v>
      </c>
      <c r="D215">
        <v>0.69140000000000001</v>
      </c>
      <c r="E215">
        <v>81.28</v>
      </c>
      <c r="F215"/>
    </row>
    <row r="216" spans="2:6" x14ac:dyDescent="0.25">
      <c r="B216">
        <v>1.6725000000000001</v>
      </c>
      <c r="C216">
        <v>0.99970000000000003</v>
      </c>
      <c r="D216">
        <v>0.69140000000000001</v>
      </c>
      <c r="E216">
        <v>81.23</v>
      </c>
      <c r="F216"/>
    </row>
    <row r="217" spans="2:6" x14ac:dyDescent="0.25">
      <c r="B217">
        <v>1.7044999999999999</v>
      </c>
      <c r="C217">
        <v>1.0009999999999999</v>
      </c>
      <c r="D217">
        <v>0.69140000000000001</v>
      </c>
      <c r="E217">
        <v>81.22</v>
      </c>
      <c r="F217"/>
    </row>
    <row r="218" spans="2:6" x14ac:dyDescent="0.25">
      <c r="B218">
        <v>1.7364999999999999</v>
      </c>
      <c r="C218">
        <v>1.002</v>
      </c>
      <c r="D218">
        <v>0.69140000000000001</v>
      </c>
      <c r="E218">
        <v>81.11</v>
      </c>
      <c r="F218"/>
    </row>
    <row r="219" spans="2:6" x14ac:dyDescent="0.25">
      <c r="B219">
        <v>1.7685</v>
      </c>
      <c r="C219">
        <v>1</v>
      </c>
      <c r="D219">
        <v>0.69140000000000001</v>
      </c>
      <c r="E219">
        <v>81.099999999999994</v>
      </c>
      <c r="F219"/>
    </row>
    <row r="220" spans="2:6" x14ac:dyDescent="0.25">
      <c r="B220">
        <v>1.8005</v>
      </c>
      <c r="C220">
        <v>0.999</v>
      </c>
      <c r="D220">
        <v>0.67679999999999996</v>
      </c>
      <c r="E220">
        <v>81.14</v>
      </c>
      <c r="F220"/>
    </row>
    <row r="221" spans="2:6" x14ac:dyDescent="0.25">
      <c r="B221">
        <v>1.8325</v>
      </c>
      <c r="C221">
        <v>0.99990000000000001</v>
      </c>
      <c r="D221">
        <v>0.67679999999999996</v>
      </c>
      <c r="E221">
        <v>81.14</v>
      </c>
      <c r="F221"/>
    </row>
    <row r="222" spans="2:6" x14ac:dyDescent="0.25">
      <c r="B222">
        <v>1.8645</v>
      </c>
      <c r="C222">
        <v>1</v>
      </c>
      <c r="D222">
        <v>0.67679999999999996</v>
      </c>
      <c r="E222">
        <v>81.17</v>
      </c>
      <c r="F222"/>
    </row>
    <row r="223" spans="2:6" x14ac:dyDescent="0.25">
      <c r="B223">
        <v>1.8965000000000001</v>
      </c>
      <c r="C223">
        <v>1.0009999999999999</v>
      </c>
      <c r="D223">
        <v>0.67679999999999996</v>
      </c>
      <c r="E223">
        <v>81.069999999999993</v>
      </c>
      <c r="F223"/>
    </row>
    <row r="224" spans="2:6" x14ac:dyDescent="0.25">
      <c r="B224">
        <v>1.9285000000000001</v>
      </c>
      <c r="C224">
        <v>1.0009999999999999</v>
      </c>
      <c r="D224">
        <v>0.67679999999999996</v>
      </c>
      <c r="E224">
        <v>81.02</v>
      </c>
      <c r="F224"/>
    </row>
    <row r="225" spans="2:6" x14ac:dyDescent="0.25">
      <c r="B225">
        <v>1.9604999999999999</v>
      </c>
      <c r="C225">
        <v>1.0009999999999999</v>
      </c>
      <c r="D225">
        <v>0.67679999999999996</v>
      </c>
      <c r="E225">
        <v>80.959999999999994</v>
      </c>
      <c r="F225"/>
    </row>
    <row r="226" spans="2:6" x14ac:dyDescent="0.25">
      <c r="B226">
        <v>1.9924999999999999</v>
      </c>
      <c r="C226">
        <v>0.99770000000000003</v>
      </c>
      <c r="D226">
        <v>0.67679999999999996</v>
      </c>
      <c r="E226">
        <v>80.989999999999995</v>
      </c>
      <c r="F226"/>
    </row>
    <row r="227" spans="2:6" x14ac:dyDescent="0.25">
      <c r="B227">
        <v>2.0245000000000002</v>
      </c>
      <c r="C227">
        <v>0.99919999999999998</v>
      </c>
      <c r="D227">
        <v>0.67679999999999996</v>
      </c>
      <c r="E227">
        <v>80.989999999999995</v>
      </c>
      <c r="F227"/>
    </row>
    <row r="228" spans="2:6" x14ac:dyDescent="0.25">
      <c r="B228">
        <v>2.0565000000000002</v>
      </c>
      <c r="C228">
        <v>1</v>
      </c>
      <c r="D228">
        <v>0.66830000000000001</v>
      </c>
      <c r="E228">
        <v>80.930000000000007</v>
      </c>
      <c r="F228"/>
    </row>
    <row r="229" spans="2:6" x14ac:dyDescent="0.25">
      <c r="B229">
        <v>2.0884999999999998</v>
      </c>
      <c r="C229">
        <v>1.0009999999999999</v>
      </c>
      <c r="D229">
        <v>0.66830000000000001</v>
      </c>
      <c r="E229">
        <v>80.94</v>
      </c>
      <c r="F229"/>
    </row>
    <row r="230" spans="2:6" x14ac:dyDescent="0.25">
      <c r="B230">
        <v>2.1204999999999998</v>
      </c>
      <c r="C230">
        <v>1.0009999999999999</v>
      </c>
      <c r="D230">
        <v>0.66830000000000001</v>
      </c>
      <c r="E230">
        <v>80.84</v>
      </c>
      <c r="F230"/>
    </row>
    <row r="231" spans="2:6" x14ac:dyDescent="0.25">
      <c r="B231">
        <v>2.1524999999999999</v>
      </c>
      <c r="C231">
        <v>1</v>
      </c>
      <c r="D231">
        <v>0.66830000000000001</v>
      </c>
      <c r="E231">
        <v>80.86</v>
      </c>
      <c r="F231"/>
    </row>
    <row r="232" spans="2:6" x14ac:dyDescent="0.25">
      <c r="B232">
        <v>2.1844999999999999</v>
      </c>
      <c r="C232">
        <v>0.99990000000000001</v>
      </c>
      <c r="D232">
        <v>0.66830000000000001</v>
      </c>
      <c r="E232">
        <v>80.77</v>
      </c>
      <c r="F232"/>
    </row>
    <row r="233" spans="2:6" x14ac:dyDescent="0.25">
      <c r="B233">
        <v>2.2164999999999999</v>
      </c>
      <c r="C233">
        <v>0.99829999999999997</v>
      </c>
      <c r="D233">
        <v>0.66830000000000001</v>
      </c>
      <c r="E233">
        <v>80.8</v>
      </c>
      <c r="F233"/>
    </row>
    <row r="234" spans="2:6" x14ac:dyDescent="0.25">
      <c r="B234">
        <v>2.2484999999999999</v>
      </c>
      <c r="C234">
        <v>0.99980000000000002</v>
      </c>
      <c r="D234">
        <v>0.66830000000000001</v>
      </c>
      <c r="E234">
        <v>80.739999999999995</v>
      </c>
      <c r="F234"/>
    </row>
    <row r="235" spans="2:6" x14ac:dyDescent="0.25">
      <c r="B235">
        <v>2.2805</v>
      </c>
      <c r="C235">
        <v>1.0009999999999999</v>
      </c>
      <c r="D235">
        <v>0.66830000000000001</v>
      </c>
      <c r="E235">
        <v>80.67</v>
      </c>
      <c r="F235"/>
    </row>
    <row r="236" spans="2:6" x14ac:dyDescent="0.25">
      <c r="B236">
        <v>2.3125</v>
      </c>
      <c r="C236">
        <v>1.002</v>
      </c>
      <c r="D236">
        <v>0.65310000000000001</v>
      </c>
      <c r="E236">
        <v>80.67</v>
      </c>
      <c r="F236"/>
    </row>
    <row r="237" spans="2:6" x14ac:dyDescent="0.25">
      <c r="B237">
        <v>2.3445</v>
      </c>
      <c r="C237">
        <v>1</v>
      </c>
      <c r="D237">
        <v>0.65310000000000001</v>
      </c>
      <c r="E237">
        <v>80.64</v>
      </c>
      <c r="F237"/>
    </row>
    <row r="238" spans="2:6" x14ac:dyDescent="0.25">
      <c r="B238">
        <v>2.3765000000000001</v>
      </c>
      <c r="C238">
        <v>1</v>
      </c>
      <c r="D238">
        <v>0.65310000000000001</v>
      </c>
      <c r="E238">
        <v>80.58</v>
      </c>
      <c r="F238"/>
    </row>
    <row r="239" spans="2:6" x14ac:dyDescent="0.25">
      <c r="B239">
        <v>2.4085000000000001</v>
      </c>
      <c r="C239">
        <v>0.99770000000000003</v>
      </c>
      <c r="D239">
        <v>0.65310000000000001</v>
      </c>
      <c r="E239">
        <v>80.56</v>
      </c>
      <c r="F239"/>
    </row>
    <row r="240" spans="2:6" x14ac:dyDescent="0.25">
      <c r="B240">
        <v>2.4405000000000001</v>
      </c>
      <c r="C240">
        <v>0.99870000000000003</v>
      </c>
      <c r="D240">
        <v>0.65310000000000001</v>
      </c>
      <c r="E240">
        <v>80.62</v>
      </c>
      <c r="F240"/>
    </row>
    <row r="241" spans="2:6" x14ac:dyDescent="0.25">
      <c r="B241">
        <v>2.4725000000000001</v>
      </c>
      <c r="C241">
        <v>1.0009999999999999</v>
      </c>
      <c r="D241">
        <v>0.65310000000000001</v>
      </c>
      <c r="E241">
        <v>80.489999999999995</v>
      </c>
      <c r="F241"/>
    </row>
    <row r="242" spans="2:6" x14ac:dyDescent="0.25">
      <c r="B242">
        <v>2.5045000000000002</v>
      </c>
      <c r="C242">
        <v>1</v>
      </c>
      <c r="D242">
        <v>0.65310000000000001</v>
      </c>
      <c r="E242">
        <v>80.510000000000005</v>
      </c>
      <c r="F242"/>
    </row>
    <row r="243" spans="2:6" x14ac:dyDescent="0.25">
      <c r="B243">
        <v>2.5525000000000002</v>
      </c>
      <c r="C243">
        <v>1.0009999999999999</v>
      </c>
      <c r="D243">
        <v>0.64180000000000004</v>
      </c>
      <c r="E243">
        <v>80.430000000000007</v>
      </c>
      <c r="F243"/>
    </row>
    <row r="244" spans="2:6" x14ac:dyDescent="0.25">
      <c r="B244">
        <v>2.6164999999999998</v>
      </c>
      <c r="C244">
        <v>0.99960000000000004</v>
      </c>
      <c r="D244">
        <v>0.64180000000000004</v>
      </c>
      <c r="E244">
        <v>80.41</v>
      </c>
      <c r="F244"/>
    </row>
    <row r="245" spans="2:6" x14ac:dyDescent="0.25">
      <c r="B245">
        <v>2.6804999999999999</v>
      </c>
      <c r="C245">
        <v>1.0009999999999999</v>
      </c>
      <c r="D245">
        <v>0.64180000000000004</v>
      </c>
      <c r="E245">
        <v>80.349999999999994</v>
      </c>
      <c r="F245"/>
    </row>
    <row r="246" spans="2:6" x14ac:dyDescent="0.25">
      <c r="B246">
        <v>2.7444999999999999</v>
      </c>
      <c r="C246">
        <v>1</v>
      </c>
      <c r="D246">
        <v>0.64180000000000004</v>
      </c>
      <c r="E246">
        <v>80.260000000000005</v>
      </c>
      <c r="F246"/>
    </row>
    <row r="247" spans="2:6" x14ac:dyDescent="0.25">
      <c r="B247">
        <v>2.8085</v>
      </c>
      <c r="C247">
        <v>0.99890000000000001</v>
      </c>
      <c r="D247">
        <v>0.63570000000000004</v>
      </c>
      <c r="E247">
        <v>80.209999999999994</v>
      </c>
      <c r="F247"/>
    </row>
    <row r="248" spans="2:6" x14ac:dyDescent="0.25">
      <c r="B248">
        <v>2.8725000000000001</v>
      </c>
      <c r="C248">
        <v>1</v>
      </c>
      <c r="D248">
        <v>0.63570000000000004</v>
      </c>
      <c r="E248">
        <v>80.19</v>
      </c>
      <c r="F248"/>
    </row>
    <row r="249" spans="2:6" x14ac:dyDescent="0.25">
      <c r="B249">
        <v>2.9365000000000001</v>
      </c>
      <c r="C249">
        <v>1.0009999999999999</v>
      </c>
      <c r="D249">
        <v>0.63570000000000004</v>
      </c>
      <c r="E249">
        <v>80.099999999999994</v>
      </c>
      <c r="F249"/>
    </row>
    <row r="250" spans="2:6" x14ac:dyDescent="0.25">
      <c r="B250">
        <v>3.0005000000000002</v>
      </c>
      <c r="C250">
        <v>0.99929999999999997</v>
      </c>
      <c r="D250">
        <v>0.63570000000000004</v>
      </c>
      <c r="E250">
        <v>80.069999999999993</v>
      </c>
      <c r="F250"/>
    </row>
    <row r="251" spans="2:6" x14ac:dyDescent="0.25">
      <c r="B251">
        <v>3.0644999999999998</v>
      </c>
      <c r="C251">
        <v>0.99980000000000002</v>
      </c>
      <c r="D251">
        <v>0.62739999999999996</v>
      </c>
      <c r="E251">
        <v>80.069999999999993</v>
      </c>
      <c r="F251"/>
    </row>
    <row r="252" spans="2:6" x14ac:dyDescent="0.25">
      <c r="B252">
        <v>3.1284999999999998</v>
      </c>
      <c r="C252">
        <v>1.0009999999999999</v>
      </c>
      <c r="D252">
        <v>0.62739999999999996</v>
      </c>
      <c r="E252">
        <v>79.959999999999994</v>
      </c>
      <c r="F252"/>
    </row>
    <row r="253" spans="2:6" x14ac:dyDescent="0.25">
      <c r="B253">
        <v>3.1924999999999999</v>
      </c>
      <c r="C253">
        <v>1</v>
      </c>
      <c r="D253">
        <v>0.62739999999999996</v>
      </c>
      <c r="E253">
        <v>79.91</v>
      </c>
      <c r="F253"/>
    </row>
    <row r="254" spans="2:6" x14ac:dyDescent="0.25">
      <c r="B254">
        <v>3.2565</v>
      </c>
      <c r="C254">
        <v>0.99919999999999998</v>
      </c>
      <c r="D254">
        <v>0.61960000000000004</v>
      </c>
      <c r="E254">
        <v>79.87</v>
      </c>
      <c r="F254"/>
    </row>
    <row r="255" spans="2:6" x14ac:dyDescent="0.25">
      <c r="B255">
        <v>3.3205</v>
      </c>
      <c r="C255">
        <v>1.0009999999999999</v>
      </c>
      <c r="D255">
        <v>0.61960000000000004</v>
      </c>
      <c r="E255">
        <v>79.72</v>
      </c>
      <c r="F255"/>
    </row>
    <row r="256" spans="2:6" x14ac:dyDescent="0.25">
      <c r="B256">
        <v>3.3845000000000001</v>
      </c>
      <c r="C256">
        <v>1</v>
      </c>
      <c r="D256">
        <v>0.61960000000000004</v>
      </c>
      <c r="E256">
        <v>79.69</v>
      </c>
      <c r="F256"/>
    </row>
    <row r="257" spans="2:6" x14ac:dyDescent="0.25">
      <c r="B257">
        <v>3.4485000000000001</v>
      </c>
      <c r="C257">
        <v>0.99990000000000001</v>
      </c>
      <c r="D257">
        <v>0.61960000000000004</v>
      </c>
      <c r="E257">
        <v>79.680000000000007</v>
      </c>
      <c r="F257"/>
    </row>
    <row r="258" spans="2:6" x14ac:dyDescent="0.25">
      <c r="B258">
        <v>3.5125000000000002</v>
      </c>
      <c r="C258">
        <v>1.0009999999999999</v>
      </c>
      <c r="D258">
        <v>0.61909999999999998</v>
      </c>
      <c r="E258">
        <v>79.59</v>
      </c>
      <c r="F258"/>
    </row>
    <row r="259" spans="2:6" x14ac:dyDescent="0.25">
      <c r="B259">
        <v>3.5764999999999998</v>
      </c>
      <c r="C259">
        <v>0.99970000000000003</v>
      </c>
      <c r="D259">
        <v>0.61909999999999998</v>
      </c>
      <c r="E259">
        <v>79.5</v>
      </c>
      <c r="F259"/>
    </row>
    <row r="260" spans="2:6" x14ac:dyDescent="0.25">
      <c r="B260">
        <v>3.6404999999999998</v>
      </c>
      <c r="C260">
        <v>0.99919999999999998</v>
      </c>
      <c r="D260">
        <v>0.61909999999999998</v>
      </c>
      <c r="E260">
        <v>79.48</v>
      </c>
      <c r="F260"/>
    </row>
    <row r="261" spans="2:6" x14ac:dyDescent="0.25">
      <c r="B261">
        <v>3.7044999999999999</v>
      </c>
      <c r="C261">
        <v>1.002</v>
      </c>
      <c r="D261">
        <v>0.61909999999999998</v>
      </c>
      <c r="E261">
        <v>79.430000000000007</v>
      </c>
      <c r="F261"/>
    </row>
    <row r="262" spans="2:6" x14ac:dyDescent="0.25">
      <c r="B262">
        <v>3.7685</v>
      </c>
      <c r="C262">
        <v>0.99980000000000002</v>
      </c>
      <c r="D262">
        <v>0.61470000000000002</v>
      </c>
      <c r="E262">
        <v>79.349999999999994</v>
      </c>
      <c r="F262"/>
    </row>
    <row r="263" spans="2:6" x14ac:dyDescent="0.25">
      <c r="B263">
        <v>3.8325</v>
      </c>
      <c r="C263">
        <v>0.99929999999999997</v>
      </c>
      <c r="D263">
        <v>0.61470000000000002</v>
      </c>
      <c r="E263">
        <v>79.349999999999994</v>
      </c>
      <c r="F263"/>
    </row>
    <row r="264" spans="2:6" x14ac:dyDescent="0.25">
      <c r="B264">
        <v>3.8965000000000001</v>
      </c>
      <c r="C264">
        <v>1.0009999999999999</v>
      </c>
      <c r="D264">
        <v>0.61470000000000002</v>
      </c>
      <c r="E264">
        <v>79.34</v>
      </c>
      <c r="F264"/>
    </row>
    <row r="265" spans="2:6" x14ac:dyDescent="0.25">
      <c r="B265">
        <v>3.9605000000000001</v>
      </c>
      <c r="C265">
        <v>1</v>
      </c>
      <c r="D265">
        <v>0.61470000000000002</v>
      </c>
      <c r="E265">
        <v>79.27</v>
      </c>
      <c r="F265"/>
    </row>
    <row r="266" spans="2:6" x14ac:dyDescent="0.25">
      <c r="B266">
        <v>4.0244999999999997</v>
      </c>
      <c r="C266">
        <v>0.999</v>
      </c>
      <c r="D266">
        <v>0.61</v>
      </c>
      <c r="E266">
        <v>79.239999999999995</v>
      </c>
      <c r="F266"/>
    </row>
    <row r="267" spans="2:6" x14ac:dyDescent="0.25">
      <c r="B267">
        <v>4.0884999999999998</v>
      </c>
      <c r="C267">
        <v>0.99970000000000003</v>
      </c>
      <c r="D267">
        <v>0.61</v>
      </c>
      <c r="E267">
        <v>79.19</v>
      </c>
      <c r="F267"/>
    </row>
    <row r="268" spans="2:6" x14ac:dyDescent="0.25">
      <c r="B268">
        <v>4.1524999999999999</v>
      </c>
      <c r="C268">
        <v>1.0009999999999999</v>
      </c>
      <c r="D268">
        <v>0.61</v>
      </c>
      <c r="E268">
        <v>79.09</v>
      </c>
      <c r="F268"/>
    </row>
    <row r="269" spans="2:6" x14ac:dyDescent="0.25">
      <c r="B269">
        <v>4.2164999999999999</v>
      </c>
      <c r="C269">
        <v>1</v>
      </c>
      <c r="D269">
        <v>0.61</v>
      </c>
      <c r="E269">
        <v>79.069999999999993</v>
      </c>
      <c r="F269"/>
    </row>
    <row r="270" spans="2:6" x14ac:dyDescent="0.25">
      <c r="B270">
        <v>4.2805</v>
      </c>
      <c r="C270">
        <v>0.99939999999999996</v>
      </c>
      <c r="D270">
        <v>0.60299999999999998</v>
      </c>
      <c r="E270">
        <v>79.14</v>
      </c>
      <c r="F270"/>
    </row>
    <row r="271" spans="2:6" x14ac:dyDescent="0.25">
      <c r="B271">
        <v>4.3445</v>
      </c>
      <c r="C271">
        <v>1.0009999999999999</v>
      </c>
      <c r="D271">
        <v>0.60299999999999998</v>
      </c>
      <c r="E271">
        <v>79.02</v>
      </c>
      <c r="F271"/>
    </row>
    <row r="272" spans="2:6" x14ac:dyDescent="0.25">
      <c r="B272">
        <v>4.4085000000000001</v>
      </c>
      <c r="C272">
        <v>0.99990000000000001</v>
      </c>
      <c r="D272">
        <v>0.60299999999999998</v>
      </c>
      <c r="E272">
        <v>78.94</v>
      </c>
      <c r="F272"/>
    </row>
    <row r="273" spans="2:6" x14ac:dyDescent="0.25">
      <c r="B273">
        <v>4.4725000000000001</v>
      </c>
      <c r="C273">
        <v>0.99970000000000003</v>
      </c>
      <c r="D273">
        <v>0.60299999999999998</v>
      </c>
      <c r="E273">
        <v>78.930000000000007</v>
      </c>
      <c r="F273"/>
    </row>
    <row r="274" spans="2:6" x14ac:dyDescent="0.25">
      <c r="B274">
        <v>4.5365000000000002</v>
      </c>
      <c r="C274">
        <v>1.0009999999999999</v>
      </c>
      <c r="D274">
        <v>0.59519999999999995</v>
      </c>
      <c r="E274">
        <v>78.849999999999994</v>
      </c>
      <c r="F274"/>
    </row>
    <row r="275" spans="2:6" x14ac:dyDescent="0.25">
      <c r="B275">
        <v>4.6005000000000003</v>
      </c>
      <c r="C275">
        <v>0.99960000000000004</v>
      </c>
      <c r="D275">
        <v>0.59519999999999995</v>
      </c>
      <c r="E275">
        <v>78.83</v>
      </c>
      <c r="F275"/>
    </row>
    <row r="276" spans="2:6" x14ac:dyDescent="0.25">
      <c r="B276">
        <v>4.6645000000000003</v>
      </c>
      <c r="C276">
        <v>0.999</v>
      </c>
      <c r="D276">
        <v>0.59519999999999995</v>
      </c>
      <c r="E276">
        <v>78.819999999999993</v>
      </c>
      <c r="F276"/>
    </row>
    <row r="277" spans="2:6" x14ac:dyDescent="0.25">
      <c r="B277">
        <v>4.7285000000000004</v>
      </c>
      <c r="C277">
        <v>1.0009999999999999</v>
      </c>
      <c r="D277">
        <v>0.5948</v>
      </c>
      <c r="E277">
        <v>78.760000000000005</v>
      </c>
      <c r="F277"/>
    </row>
    <row r="278" spans="2:6" x14ac:dyDescent="0.25">
      <c r="B278">
        <v>4.7925000000000004</v>
      </c>
      <c r="C278">
        <v>1</v>
      </c>
      <c r="D278">
        <v>0.5948</v>
      </c>
      <c r="E278">
        <v>78.75</v>
      </c>
      <c r="F278"/>
    </row>
    <row r="279" spans="2:6" x14ac:dyDescent="0.25">
      <c r="B279">
        <v>4.8564999999999996</v>
      </c>
      <c r="C279">
        <v>0.99839999999999995</v>
      </c>
      <c r="D279">
        <v>0.5948</v>
      </c>
      <c r="E279">
        <v>78.78</v>
      </c>
      <c r="F279"/>
    </row>
    <row r="280" spans="2:6" x14ac:dyDescent="0.25">
      <c r="B280">
        <v>4.9204999999999997</v>
      </c>
      <c r="C280">
        <v>1</v>
      </c>
      <c r="D280">
        <v>0.5948</v>
      </c>
      <c r="E280">
        <v>78.75</v>
      </c>
      <c r="F280"/>
    </row>
    <row r="281" spans="2:6" x14ac:dyDescent="0.25">
      <c r="B281">
        <v>4.9844999999999997</v>
      </c>
      <c r="C281">
        <v>1.0009999999999999</v>
      </c>
      <c r="D281">
        <v>0.58699999999999997</v>
      </c>
      <c r="E281">
        <v>78.709999999999994</v>
      </c>
      <c r="F281"/>
    </row>
    <row r="282" spans="2:6" x14ac:dyDescent="0.25">
      <c r="B282">
        <v>5.0484999999999998</v>
      </c>
      <c r="C282">
        <v>0.99909999999999999</v>
      </c>
      <c r="D282">
        <v>0.58699999999999997</v>
      </c>
      <c r="E282">
        <v>78.73</v>
      </c>
      <c r="F282"/>
    </row>
    <row r="283" spans="2:6" x14ac:dyDescent="0.25">
      <c r="B283">
        <v>5.1444999999999999</v>
      </c>
      <c r="C283">
        <v>1</v>
      </c>
      <c r="D283">
        <v>0.58699999999999997</v>
      </c>
      <c r="E283">
        <v>78.67</v>
      </c>
      <c r="F283"/>
    </row>
    <row r="284" spans="2:6" x14ac:dyDescent="0.25">
      <c r="B284">
        <v>5.2725</v>
      </c>
      <c r="C284">
        <v>0.99960000000000004</v>
      </c>
      <c r="D284">
        <v>0.5857</v>
      </c>
      <c r="E284">
        <v>78.569999999999993</v>
      </c>
      <c r="F284"/>
    </row>
    <row r="285" spans="2:6" x14ac:dyDescent="0.25">
      <c r="B285">
        <v>5.4005000000000001</v>
      </c>
      <c r="C285">
        <v>1</v>
      </c>
      <c r="D285">
        <v>0.5857</v>
      </c>
      <c r="E285">
        <v>78.5</v>
      </c>
      <c r="F285"/>
    </row>
    <row r="286" spans="2:6" x14ac:dyDescent="0.25">
      <c r="B286">
        <v>5.5285000000000002</v>
      </c>
      <c r="C286">
        <v>1</v>
      </c>
      <c r="D286">
        <v>0.58209999999999995</v>
      </c>
      <c r="E286">
        <v>78.47</v>
      </c>
      <c r="F286"/>
    </row>
    <row r="287" spans="2:6" x14ac:dyDescent="0.25">
      <c r="B287">
        <v>5.6565000000000003</v>
      </c>
      <c r="C287">
        <v>0.99939999999999996</v>
      </c>
      <c r="D287">
        <v>0.58209999999999995</v>
      </c>
      <c r="E287">
        <v>78.44</v>
      </c>
      <c r="F287"/>
    </row>
    <row r="288" spans="2:6" x14ac:dyDescent="0.25">
      <c r="B288">
        <v>5.7845000000000004</v>
      </c>
      <c r="C288">
        <v>1.0009999999999999</v>
      </c>
      <c r="D288">
        <v>0.57869999999999999</v>
      </c>
      <c r="E288">
        <v>78.36</v>
      </c>
      <c r="F288"/>
    </row>
    <row r="289" spans="2:6" x14ac:dyDescent="0.25">
      <c r="B289">
        <v>5.9124999999999996</v>
      </c>
      <c r="C289">
        <v>0.99950000000000006</v>
      </c>
      <c r="D289">
        <v>0.57679999999999998</v>
      </c>
      <c r="E289">
        <v>78.36</v>
      </c>
      <c r="F289"/>
    </row>
    <row r="290" spans="2:6" x14ac:dyDescent="0.25">
      <c r="B290">
        <v>6.0404999999999998</v>
      </c>
      <c r="C290">
        <v>1</v>
      </c>
      <c r="D290">
        <v>0.57679999999999998</v>
      </c>
      <c r="E290">
        <v>78.290000000000006</v>
      </c>
      <c r="F290"/>
    </row>
    <row r="291" spans="2:6" x14ac:dyDescent="0.25">
      <c r="B291">
        <v>6.1684999999999999</v>
      </c>
      <c r="C291">
        <v>1</v>
      </c>
      <c r="D291">
        <v>0.57410000000000005</v>
      </c>
      <c r="E291">
        <v>78.260000000000005</v>
      </c>
      <c r="F291"/>
    </row>
    <row r="292" spans="2:6" x14ac:dyDescent="0.25">
      <c r="B292">
        <v>6.2965</v>
      </c>
      <c r="C292">
        <v>0.99950000000000006</v>
      </c>
      <c r="D292">
        <v>0.57410000000000005</v>
      </c>
      <c r="E292">
        <v>78.22</v>
      </c>
      <c r="F292"/>
    </row>
    <row r="293" spans="2:6" x14ac:dyDescent="0.25">
      <c r="B293">
        <v>6.4245000000000001</v>
      </c>
      <c r="C293">
        <v>1</v>
      </c>
      <c r="D293">
        <v>0.57150000000000001</v>
      </c>
      <c r="E293">
        <v>78.16</v>
      </c>
      <c r="F293"/>
    </row>
    <row r="294" spans="2:6" x14ac:dyDescent="0.25">
      <c r="B294">
        <v>6.5525000000000002</v>
      </c>
      <c r="C294">
        <v>1</v>
      </c>
      <c r="D294">
        <v>0.57150000000000001</v>
      </c>
      <c r="E294">
        <v>78.14</v>
      </c>
      <c r="F294"/>
    </row>
    <row r="295" spans="2:6" x14ac:dyDescent="0.25">
      <c r="B295">
        <v>6.6805000000000003</v>
      </c>
      <c r="C295">
        <v>0.99960000000000004</v>
      </c>
      <c r="D295">
        <v>0.56940000000000002</v>
      </c>
      <c r="E295">
        <v>78.12</v>
      </c>
      <c r="F295"/>
    </row>
    <row r="296" spans="2:6" x14ac:dyDescent="0.25">
      <c r="B296">
        <v>6.8085000000000004</v>
      </c>
      <c r="C296">
        <v>1</v>
      </c>
      <c r="D296">
        <v>0.56940000000000002</v>
      </c>
      <c r="E296">
        <v>78.03</v>
      </c>
      <c r="F296"/>
    </row>
    <row r="297" spans="2:6" x14ac:dyDescent="0.25">
      <c r="B297">
        <v>6.9364999999999997</v>
      </c>
      <c r="C297">
        <v>1</v>
      </c>
      <c r="D297">
        <v>0.56730000000000003</v>
      </c>
      <c r="E297">
        <v>77.98</v>
      </c>
      <c r="F297"/>
    </row>
    <row r="298" spans="2:6" x14ac:dyDescent="0.25">
      <c r="B298">
        <v>7.0644999999999998</v>
      </c>
      <c r="C298">
        <v>0.99970000000000003</v>
      </c>
      <c r="D298">
        <v>0.56730000000000003</v>
      </c>
      <c r="E298">
        <v>77.930000000000007</v>
      </c>
      <c r="F298"/>
    </row>
    <row r="299" spans="2:6" x14ac:dyDescent="0.25">
      <c r="B299">
        <v>7.1924999999999999</v>
      </c>
      <c r="C299">
        <v>1</v>
      </c>
      <c r="D299">
        <v>0.56499999999999995</v>
      </c>
      <c r="E299">
        <v>77.88</v>
      </c>
      <c r="F299"/>
    </row>
    <row r="300" spans="2:6" x14ac:dyDescent="0.25">
      <c r="B300">
        <v>7.3205</v>
      </c>
      <c r="C300">
        <v>0.99939999999999996</v>
      </c>
      <c r="D300">
        <v>0.56499999999999995</v>
      </c>
      <c r="E300">
        <v>77.84</v>
      </c>
      <c r="F300"/>
    </row>
    <row r="301" spans="2:6" x14ac:dyDescent="0.25">
      <c r="B301">
        <v>7.4485000000000001</v>
      </c>
      <c r="C301">
        <v>1</v>
      </c>
      <c r="D301">
        <v>0.56389999999999996</v>
      </c>
      <c r="E301">
        <v>77.78</v>
      </c>
      <c r="F301"/>
    </row>
    <row r="302" spans="2:6" x14ac:dyDescent="0.25">
      <c r="B302">
        <v>7.5765000000000002</v>
      </c>
      <c r="C302">
        <v>1</v>
      </c>
      <c r="D302">
        <v>0.56389999999999996</v>
      </c>
      <c r="E302">
        <v>77.8</v>
      </c>
      <c r="F302"/>
    </row>
    <row r="303" spans="2:6" x14ac:dyDescent="0.25">
      <c r="B303">
        <v>7.7045000000000003</v>
      </c>
      <c r="C303">
        <v>0.99960000000000004</v>
      </c>
      <c r="D303">
        <v>0.56140000000000001</v>
      </c>
      <c r="E303">
        <v>77.760000000000005</v>
      </c>
      <c r="F303"/>
    </row>
    <row r="304" spans="2:6" x14ac:dyDescent="0.25">
      <c r="B304">
        <v>7.8324999999999996</v>
      </c>
      <c r="C304">
        <v>1.0009999999999999</v>
      </c>
      <c r="D304">
        <v>0.56140000000000001</v>
      </c>
      <c r="E304">
        <v>77.7</v>
      </c>
      <c r="F304"/>
    </row>
    <row r="305" spans="2:6" x14ac:dyDescent="0.25">
      <c r="B305">
        <v>7.9604999999999997</v>
      </c>
      <c r="C305">
        <v>0.99980000000000002</v>
      </c>
      <c r="D305">
        <v>0.56089999999999995</v>
      </c>
      <c r="E305">
        <v>77.7</v>
      </c>
      <c r="F305"/>
    </row>
    <row r="306" spans="2:6" x14ac:dyDescent="0.25">
      <c r="B306">
        <v>8.0884999999999998</v>
      </c>
      <c r="C306">
        <v>0.99939999999999996</v>
      </c>
      <c r="D306">
        <v>0.56089999999999995</v>
      </c>
      <c r="E306">
        <v>77.64</v>
      </c>
      <c r="F306"/>
    </row>
    <row r="307" spans="2:6" x14ac:dyDescent="0.25">
      <c r="B307">
        <v>8.2164999999999999</v>
      </c>
      <c r="C307">
        <v>1.0009999999999999</v>
      </c>
      <c r="D307">
        <v>0.55600000000000005</v>
      </c>
      <c r="E307">
        <v>77.599999999999994</v>
      </c>
      <c r="F307"/>
    </row>
    <row r="308" spans="2:6" x14ac:dyDescent="0.25">
      <c r="B308">
        <v>8.3445</v>
      </c>
      <c r="C308">
        <v>0.99919999999999998</v>
      </c>
      <c r="D308">
        <v>0.55600000000000005</v>
      </c>
      <c r="E308">
        <v>77.59</v>
      </c>
      <c r="F308"/>
    </row>
    <row r="309" spans="2:6" x14ac:dyDescent="0.25">
      <c r="B309">
        <v>8.4725000000000001</v>
      </c>
      <c r="C309">
        <v>1</v>
      </c>
      <c r="D309">
        <v>0.55959999999999999</v>
      </c>
      <c r="E309">
        <v>77.5</v>
      </c>
      <c r="F309"/>
    </row>
    <row r="310" spans="2:6" x14ac:dyDescent="0.25">
      <c r="B310">
        <v>8.6005000000000003</v>
      </c>
      <c r="C310">
        <v>1</v>
      </c>
      <c r="D310">
        <v>0.5605</v>
      </c>
      <c r="E310">
        <v>77.5</v>
      </c>
      <c r="F310"/>
    </row>
    <row r="311" spans="2:6" x14ac:dyDescent="0.25">
      <c r="B311">
        <v>8.7285000000000004</v>
      </c>
      <c r="C311">
        <v>0.99929999999999997</v>
      </c>
      <c r="D311">
        <v>0.5605</v>
      </c>
      <c r="E311">
        <v>77.48</v>
      </c>
      <c r="F311"/>
    </row>
    <row r="312" spans="2:6" x14ac:dyDescent="0.25">
      <c r="B312">
        <v>8.8565000000000005</v>
      </c>
      <c r="C312">
        <v>1</v>
      </c>
      <c r="D312">
        <v>0.55649999999999999</v>
      </c>
      <c r="E312">
        <v>77.430000000000007</v>
      </c>
      <c r="F312"/>
    </row>
    <row r="313" spans="2:6" x14ac:dyDescent="0.25">
      <c r="B313">
        <v>8.9845000000000006</v>
      </c>
      <c r="C313">
        <v>1</v>
      </c>
      <c r="D313">
        <v>0.55649999999999999</v>
      </c>
      <c r="E313">
        <v>77.38</v>
      </c>
      <c r="F313"/>
    </row>
    <row r="314" spans="2:6" x14ac:dyDescent="0.25">
      <c r="B314">
        <v>9.1125000000000007</v>
      </c>
      <c r="C314">
        <v>0.99929999999999997</v>
      </c>
      <c r="D314">
        <v>0.55559999999999998</v>
      </c>
      <c r="E314">
        <v>77.38</v>
      </c>
      <c r="F314"/>
    </row>
    <row r="315" spans="2:6" x14ac:dyDescent="0.25">
      <c r="B315">
        <v>9.2405000000000008</v>
      </c>
      <c r="C315">
        <v>1</v>
      </c>
      <c r="D315">
        <v>0.55559999999999998</v>
      </c>
      <c r="E315">
        <v>77.31</v>
      </c>
      <c r="F315"/>
    </row>
    <row r="316" spans="2:6" x14ac:dyDescent="0.25">
      <c r="B316">
        <v>9.3684999999999992</v>
      </c>
      <c r="C316">
        <v>0.99990000000000001</v>
      </c>
      <c r="D316">
        <v>0.55649999999999999</v>
      </c>
      <c r="E316">
        <v>77.36</v>
      </c>
      <c r="F316"/>
    </row>
    <row r="317" spans="2:6" x14ac:dyDescent="0.25">
      <c r="B317">
        <v>9.4964999999999993</v>
      </c>
      <c r="C317">
        <v>1</v>
      </c>
      <c r="D317">
        <v>0.55649999999999999</v>
      </c>
      <c r="E317">
        <v>77.290000000000006</v>
      </c>
      <c r="F317"/>
    </row>
    <row r="318" spans="2:6" x14ac:dyDescent="0.25">
      <c r="B318">
        <v>9.6244999999999994</v>
      </c>
      <c r="C318">
        <v>1</v>
      </c>
      <c r="D318">
        <v>0.55559999999999998</v>
      </c>
      <c r="E318">
        <v>77.239999999999995</v>
      </c>
      <c r="F318"/>
    </row>
    <row r="319" spans="2:6" x14ac:dyDescent="0.25">
      <c r="B319">
        <v>9.7524999999999995</v>
      </c>
      <c r="C319">
        <v>0.99950000000000006</v>
      </c>
      <c r="D319">
        <v>0.55559999999999998</v>
      </c>
      <c r="E319">
        <v>77.19</v>
      </c>
      <c r="F319"/>
    </row>
    <row r="320" spans="2:6" x14ac:dyDescent="0.25">
      <c r="B320">
        <v>9.8804999999999996</v>
      </c>
      <c r="C320">
        <v>1</v>
      </c>
      <c r="D320">
        <v>0.55520000000000003</v>
      </c>
      <c r="E320">
        <v>77.14</v>
      </c>
      <c r="F320"/>
    </row>
    <row r="321" spans="2:6" x14ac:dyDescent="0.25">
      <c r="B321">
        <v>10.009</v>
      </c>
      <c r="C321">
        <v>1</v>
      </c>
      <c r="D321">
        <v>0.55520000000000003</v>
      </c>
      <c r="E321">
        <v>77.150000000000006</v>
      </c>
      <c r="F321"/>
    </row>
    <row r="322" spans="2:6" x14ac:dyDescent="0.25">
      <c r="B322">
        <v>10.137</v>
      </c>
      <c r="C322">
        <v>0.99950000000000006</v>
      </c>
      <c r="D322">
        <v>0.55369999999999997</v>
      </c>
      <c r="E322">
        <v>77.12</v>
      </c>
      <c r="F322"/>
    </row>
    <row r="323" spans="2:6" x14ac:dyDescent="0.25">
      <c r="B323">
        <v>10.327999999999999</v>
      </c>
      <c r="C323">
        <v>1</v>
      </c>
      <c r="D323">
        <v>0.55169999999999997</v>
      </c>
      <c r="E323">
        <v>77.08</v>
      </c>
      <c r="F323"/>
    </row>
    <row r="324" spans="2:6" x14ac:dyDescent="0.25">
      <c r="B324">
        <v>10.585000000000001</v>
      </c>
      <c r="C324">
        <v>1</v>
      </c>
      <c r="D324">
        <v>0.55159999999999998</v>
      </c>
      <c r="E324">
        <v>77</v>
      </c>
      <c r="F324"/>
    </row>
    <row r="325" spans="2:6" x14ac:dyDescent="0.25">
      <c r="B325">
        <v>10.84</v>
      </c>
      <c r="C325">
        <v>0.99960000000000004</v>
      </c>
      <c r="D325">
        <v>0.55400000000000005</v>
      </c>
      <c r="E325">
        <v>76.97</v>
      </c>
      <c r="F325"/>
    </row>
    <row r="326" spans="2:6" x14ac:dyDescent="0.25">
      <c r="B326">
        <v>11.097</v>
      </c>
      <c r="C326">
        <v>0.99980000000000002</v>
      </c>
      <c r="D326">
        <v>0.55230000000000001</v>
      </c>
      <c r="E326">
        <v>76.900000000000006</v>
      </c>
      <c r="F326"/>
    </row>
    <row r="327" spans="2:6" x14ac:dyDescent="0.25">
      <c r="B327">
        <v>11.352</v>
      </c>
      <c r="C327">
        <v>1</v>
      </c>
      <c r="D327">
        <v>0.5514</v>
      </c>
      <c r="E327">
        <v>76.86</v>
      </c>
      <c r="F327"/>
    </row>
    <row r="328" spans="2:6" x14ac:dyDescent="0.25">
      <c r="B328">
        <v>11.608000000000001</v>
      </c>
      <c r="C328">
        <v>1</v>
      </c>
      <c r="D328">
        <v>0.55179999999999996</v>
      </c>
      <c r="E328">
        <v>76.78</v>
      </c>
      <c r="F328"/>
    </row>
    <row r="329" spans="2:6" x14ac:dyDescent="0.25">
      <c r="B329">
        <v>11.865</v>
      </c>
      <c r="C329">
        <v>0.99980000000000002</v>
      </c>
      <c r="D329">
        <v>0.55079999999999996</v>
      </c>
      <c r="E329">
        <v>76.7</v>
      </c>
      <c r="F329"/>
    </row>
    <row r="330" spans="2:6" x14ac:dyDescent="0.25">
      <c r="B330">
        <v>12.12</v>
      </c>
      <c r="C330">
        <v>1</v>
      </c>
      <c r="D330">
        <v>0.55159999999999998</v>
      </c>
      <c r="E330">
        <v>76.63</v>
      </c>
      <c r="F330"/>
    </row>
    <row r="331" spans="2:6" x14ac:dyDescent="0.25">
      <c r="B331">
        <v>12.377000000000001</v>
      </c>
      <c r="C331">
        <v>1</v>
      </c>
      <c r="D331">
        <v>0.5524</v>
      </c>
      <c r="E331">
        <v>76.59</v>
      </c>
      <c r="F331"/>
    </row>
    <row r="332" spans="2:6" x14ac:dyDescent="0.25">
      <c r="B332">
        <v>12.632</v>
      </c>
      <c r="C332">
        <v>1</v>
      </c>
      <c r="D332">
        <v>0.54969999999999997</v>
      </c>
      <c r="E332">
        <v>76.48</v>
      </c>
      <c r="F332"/>
    </row>
    <row r="333" spans="2:6" x14ac:dyDescent="0.25">
      <c r="B333">
        <v>12.888999999999999</v>
      </c>
      <c r="C333">
        <v>0.99980000000000002</v>
      </c>
      <c r="D333">
        <v>0.55020000000000002</v>
      </c>
      <c r="E333">
        <v>76.38</v>
      </c>
      <c r="F333"/>
    </row>
    <row r="334" spans="2:6" x14ac:dyDescent="0.25">
      <c r="B334">
        <v>13.144</v>
      </c>
      <c r="C334">
        <v>0.99980000000000002</v>
      </c>
      <c r="D334">
        <v>0.55059999999999998</v>
      </c>
      <c r="E334">
        <v>76.33</v>
      </c>
      <c r="F334"/>
    </row>
    <row r="335" spans="2:6" x14ac:dyDescent="0.25">
      <c r="B335">
        <v>13.401</v>
      </c>
      <c r="C335">
        <v>1</v>
      </c>
      <c r="D335">
        <v>0.55120000000000002</v>
      </c>
      <c r="E335">
        <v>76.290000000000006</v>
      </c>
      <c r="F335"/>
    </row>
    <row r="336" spans="2:6" x14ac:dyDescent="0.25">
      <c r="B336">
        <v>13.656000000000001</v>
      </c>
      <c r="C336">
        <v>1</v>
      </c>
      <c r="D336">
        <v>0.55010000000000003</v>
      </c>
      <c r="E336">
        <v>76.290000000000006</v>
      </c>
      <c r="F336"/>
    </row>
    <row r="337" spans="2:6" x14ac:dyDescent="0.25">
      <c r="B337">
        <v>13.913</v>
      </c>
      <c r="C337">
        <v>0.99970000000000003</v>
      </c>
      <c r="D337">
        <v>0.55330000000000001</v>
      </c>
      <c r="E337">
        <v>76.27</v>
      </c>
      <c r="F337"/>
    </row>
    <row r="338" spans="2:6" x14ac:dyDescent="0.25">
      <c r="B338">
        <v>14.167999999999999</v>
      </c>
      <c r="C338">
        <v>1</v>
      </c>
      <c r="D338">
        <v>0.55059999999999998</v>
      </c>
      <c r="E338">
        <v>76.2</v>
      </c>
      <c r="F338"/>
    </row>
    <row r="339" spans="2:6" x14ac:dyDescent="0.25">
      <c r="B339">
        <v>14.425000000000001</v>
      </c>
      <c r="C339">
        <v>1</v>
      </c>
      <c r="D339">
        <v>0.55120000000000002</v>
      </c>
      <c r="E339">
        <v>76.099999999999994</v>
      </c>
      <c r="F339"/>
    </row>
    <row r="340" spans="2:6" x14ac:dyDescent="0.25">
      <c r="B340">
        <v>14.680999999999999</v>
      </c>
      <c r="C340">
        <v>0.99990000000000001</v>
      </c>
      <c r="D340">
        <v>0.54930000000000001</v>
      </c>
      <c r="E340">
        <v>76</v>
      </c>
      <c r="F340"/>
    </row>
    <row r="341" spans="2:6" x14ac:dyDescent="0.25">
      <c r="B341">
        <v>14.936</v>
      </c>
      <c r="C341">
        <v>1</v>
      </c>
      <c r="D341">
        <v>0.55230000000000001</v>
      </c>
      <c r="E341">
        <v>75.92</v>
      </c>
      <c r="F341"/>
    </row>
    <row r="342" spans="2:6" x14ac:dyDescent="0.25">
      <c r="B342">
        <v>15.193</v>
      </c>
      <c r="C342">
        <v>1</v>
      </c>
      <c r="D342">
        <v>0.54949999999999999</v>
      </c>
      <c r="E342">
        <v>75.849999999999994</v>
      </c>
      <c r="F342"/>
    </row>
    <row r="343" spans="2:6" x14ac:dyDescent="0.25">
      <c r="B343">
        <v>15.448</v>
      </c>
      <c r="C343">
        <v>1</v>
      </c>
      <c r="D343">
        <v>0.55030000000000001</v>
      </c>
      <c r="E343">
        <v>75.81</v>
      </c>
      <c r="F343"/>
    </row>
    <row r="344" spans="2:6" x14ac:dyDescent="0.25">
      <c r="B344">
        <v>15.705</v>
      </c>
      <c r="C344">
        <v>1</v>
      </c>
      <c r="D344">
        <v>0.55159999999999998</v>
      </c>
      <c r="E344">
        <v>75.73</v>
      </c>
      <c r="F344"/>
    </row>
    <row r="345" spans="2:6" x14ac:dyDescent="0.25">
      <c r="B345">
        <v>15.96</v>
      </c>
      <c r="C345">
        <v>0.99970000000000003</v>
      </c>
      <c r="D345">
        <v>0.55079999999999996</v>
      </c>
      <c r="E345">
        <v>75.64</v>
      </c>
      <c r="F345"/>
    </row>
    <row r="346" spans="2:6" x14ac:dyDescent="0.25">
      <c r="B346">
        <v>16.216000000000001</v>
      </c>
      <c r="C346">
        <v>1</v>
      </c>
      <c r="D346">
        <v>0.55479999999999996</v>
      </c>
      <c r="E346">
        <v>75.61</v>
      </c>
      <c r="F346"/>
    </row>
    <row r="347" spans="2:6" x14ac:dyDescent="0.25">
      <c r="B347">
        <v>16.472000000000001</v>
      </c>
      <c r="C347">
        <v>1</v>
      </c>
      <c r="D347">
        <v>0.55469999999999997</v>
      </c>
      <c r="E347">
        <v>75.45</v>
      </c>
      <c r="F347"/>
    </row>
    <row r="348" spans="2:6" x14ac:dyDescent="0.25">
      <c r="B348">
        <v>16.728999999999999</v>
      </c>
      <c r="C348">
        <v>0.99990000000000001</v>
      </c>
      <c r="D348">
        <v>0.55269999999999997</v>
      </c>
      <c r="E348">
        <v>75.37</v>
      </c>
      <c r="F348"/>
    </row>
    <row r="349" spans="2:6" x14ac:dyDescent="0.25">
      <c r="B349">
        <v>16.984999999999999</v>
      </c>
      <c r="C349">
        <v>0.99990000000000001</v>
      </c>
      <c r="D349">
        <v>0.55200000000000005</v>
      </c>
      <c r="E349">
        <v>75.28</v>
      </c>
      <c r="F349"/>
    </row>
    <row r="350" spans="2:6" x14ac:dyDescent="0.25">
      <c r="B350">
        <v>17.239999999999998</v>
      </c>
      <c r="C350">
        <v>1</v>
      </c>
      <c r="D350">
        <v>0.55310000000000004</v>
      </c>
      <c r="E350">
        <v>75.28</v>
      </c>
      <c r="F350"/>
    </row>
    <row r="351" spans="2:6" x14ac:dyDescent="0.25">
      <c r="B351">
        <v>17.497</v>
      </c>
      <c r="C351">
        <v>1</v>
      </c>
      <c r="D351">
        <v>0.55600000000000005</v>
      </c>
      <c r="E351">
        <v>75.150000000000006</v>
      </c>
      <c r="F351"/>
    </row>
    <row r="352" spans="2:6" x14ac:dyDescent="0.25">
      <c r="B352">
        <v>17.753</v>
      </c>
      <c r="C352">
        <v>1</v>
      </c>
      <c r="D352">
        <v>0.55459999999999998</v>
      </c>
      <c r="E352">
        <v>75.040000000000006</v>
      </c>
      <c r="F352"/>
    </row>
    <row r="353" spans="2:6" x14ac:dyDescent="0.25">
      <c r="B353">
        <v>18.007999999999999</v>
      </c>
      <c r="C353">
        <v>0.99970000000000003</v>
      </c>
      <c r="D353">
        <v>0.55400000000000005</v>
      </c>
      <c r="E353">
        <v>74.989999999999995</v>
      </c>
      <c r="F353"/>
    </row>
    <row r="354" spans="2:6" x14ac:dyDescent="0.25">
      <c r="B354">
        <v>18.263999999999999</v>
      </c>
      <c r="C354">
        <v>1</v>
      </c>
      <c r="D354">
        <v>0.55489999999999995</v>
      </c>
      <c r="E354">
        <v>74.94</v>
      </c>
      <c r="F354"/>
    </row>
    <row r="355" spans="2:6" x14ac:dyDescent="0.25">
      <c r="B355">
        <v>18.521000000000001</v>
      </c>
      <c r="C355">
        <v>1</v>
      </c>
      <c r="D355">
        <v>0.55520000000000003</v>
      </c>
      <c r="E355">
        <v>74.91</v>
      </c>
      <c r="F355"/>
    </row>
    <row r="356" spans="2:6" x14ac:dyDescent="0.25">
      <c r="B356">
        <v>18.777000000000001</v>
      </c>
      <c r="C356">
        <v>0.99980000000000002</v>
      </c>
      <c r="D356">
        <v>0.55369999999999997</v>
      </c>
      <c r="E356">
        <v>74.849999999999994</v>
      </c>
      <c r="F356"/>
    </row>
    <row r="357" spans="2:6" x14ac:dyDescent="0.25">
      <c r="B357">
        <v>19.032</v>
      </c>
      <c r="C357">
        <v>0.99980000000000002</v>
      </c>
      <c r="D357">
        <v>0.55420000000000003</v>
      </c>
      <c r="E357">
        <v>74.790000000000006</v>
      </c>
      <c r="F357"/>
    </row>
    <row r="358" spans="2:6" x14ac:dyDescent="0.25">
      <c r="B358">
        <v>19.288</v>
      </c>
      <c r="C358">
        <v>1</v>
      </c>
      <c r="D358">
        <v>0.55610000000000004</v>
      </c>
      <c r="E358">
        <v>74.680000000000007</v>
      </c>
      <c r="F358"/>
    </row>
    <row r="359" spans="2:6" x14ac:dyDescent="0.25">
      <c r="B359">
        <v>19.545000000000002</v>
      </c>
      <c r="C359">
        <v>1</v>
      </c>
      <c r="D359">
        <v>0.55600000000000005</v>
      </c>
      <c r="E359">
        <v>74.63</v>
      </c>
      <c r="F359"/>
    </row>
    <row r="360" spans="2:6" x14ac:dyDescent="0.25">
      <c r="B360">
        <v>19.800999999999998</v>
      </c>
      <c r="C360">
        <v>0.99990000000000001</v>
      </c>
      <c r="D360">
        <v>0.55710000000000004</v>
      </c>
      <c r="E360">
        <v>74.55</v>
      </c>
      <c r="F360"/>
    </row>
    <row r="361" spans="2:6" x14ac:dyDescent="0.25">
      <c r="B361">
        <v>20.056000000000001</v>
      </c>
      <c r="C361">
        <v>0.99990000000000001</v>
      </c>
      <c r="D361">
        <v>0.55420000000000003</v>
      </c>
      <c r="E361">
        <v>74.459999999999994</v>
      </c>
      <c r="F361"/>
    </row>
    <row r="362" spans="2:6" x14ac:dyDescent="0.25">
      <c r="B362">
        <v>20.312999999999999</v>
      </c>
      <c r="C362">
        <v>1</v>
      </c>
      <c r="D362">
        <v>0.55759999999999998</v>
      </c>
      <c r="E362">
        <v>74.34</v>
      </c>
      <c r="F362"/>
    </row>
    <row r="363" spans="2:6" x14ac:dyDescent="0.25">
      <c r="B363">
        <v>20.696999999999999</v>
      </c>
      <c r="C363">
        <v>1</v>
      </c>
      <c r="D363">
        <v>0.55730000000000002</v>
      </c>
      <c r="E363">
        <v>74.22</v>
      </c>
      <c r="F363"/>
    </row>
    <row r="364" spans="2:6" x14ac:dyDescent="0.25">
      <c r="B364">
        <v>21.207999999999998</v>
      </c>
      <c r="C364">
        <v>1</v>
      </c>
      <c r="D364">
        <v>0.55669999999999997</v>
      </c>
      <c r="E364">
        <v>74.099999999999994</v>
      </c>
      <c r="F364"/>
    </row>
    <row r="365" spans="2:6" x14ac:dyDescent="0.25">
      <c r="B365">
        <v>21.721</v>
      </c>
      <c r="C365">
        <v>1</v>
      </c>
      <c r="D365">
        <v>0.55800000000000005</v>
      </c>
      <c r="E365">
        <v>73.94</v>
      </c>
      <c r="F365"/>
    </row>
    <row r="366" spans="2:6" x14ac:dyDescent="0.25">
      <c r="B366">
        <v>22.233000000000001</v>
      </c>
      <c r="C366">
        <v>1</v>
      </c>
      <c r="D366">
        <v>0.55730000000000002</v>
      </c>
      <c r="E366">
        <v>73.760000000000005</v>
      </c>
      <c r="F366"/>
    </row>
    <row r="367" spans="2:6" x14ac:dyDescent="0.25">
      <c r="B367">
        <v>22.744</v>
      </c>
      <c r="C367">
        <v>1</v>
      </c>
      <c r="D367">
        <v>0.55630000000000002</v>
      </c>
      <c r="E367">
        <v>73.540000000000006</v>
      </c>
      <c r="F367"/>
    </row>
    <row r="368" spans="2:6" x14ac:dyDescent="0.25">
      <c r="B368">
        <v>23.257000000000001</v>
      </c>
      <c r="C368">
        <v>1</v>
      </c>
      <c r="D368">
        <v>0.55989999999999995</v>
      </c>
      <c r="E368">
        <v>73.430000000000007</v>
      </c>
      <c r="F368"/>
    </row>
    <row r="369" spans="2:6" x14ac:dyDescent="0.25">
      <c r="B369">
        <v>23.768000000000001</v>
      </c>
      <c r="C369">
        <v>0.99980000000000002</v>
      </c>
      <c r="D369">
        <v>0.55669999999999997</v>
      </c>
      <c r="E369">
        <v>73.25</v>
      </c>
      <c r="F369"/>
    </row>
    <row r="370" spans="2:6" x14ac:dyDescent="0.25">
      <c r="B370">
        <v>24.280999999999999</v>
      </c>
      <c r="C370">
        <v>1</v>
      </c>
      <c r="D370">
        <v>0.55679999999999996</v>
      </c>
      <c r="E370">
        <v>73</v>
      </c>
      <c r="F370"/>
    </row>
    <row r="371" spans="2:6" x14ac:dyDescent="0.25">
      <c r="B371">
        <v>24.792000000000002</v>
      </c>
      <c r="C371">
        <v>0.99980000000000002</v>
      </c>
      <c r="D371">
        <v>0.55589999999999995</v>
      </c>
      <c r="E371">
        <v>72.83</v>
      </c>
      <c r="F371"/>
    </row>
    <row r="372" spans="2:6" x14ac:dyDescent="0.25">
      <c r="B372">
        <v>25.305</v>
      </c>
      <c r="C372">
        <v>1</v>
      </c>
      <c r="D372">
        <v>0.55689999999999995</v>
      </c>
      <c r="E372">
        <v>72.77</v>
      </c>
      <c r="F372"/>
    </row>
    <row r="373" spans="2:6" x14ac:dyDescent="0.25">
      <c r="B373">
        <v>25.815999999999999</v>
      </c>
      <c r="C373">
        <v>0.99990000000000001</v>
      </c>
      <c r="D373">
        <v>0.55589999999999995</v>
      </c>
      <c r="E373">
        <v>72.540000000000006</v>
      </c>
      <c r="F373"/>
    </row>
    <row r="374" spans="2:6" x14ac:dyDescent="0.25">
      <c r="B374">
        <v>26.329000000000001</v>
      </c>
      <c r="C374">
        <v>1</v>
      </c>
      <c r="D374">
        <v>0.55789999999999995</v>
      </c>
      <c r="E374">
        <v>72.33</v>
      </c>
      <c r="F374"/>
    </row>
    <row r="375" spans="2:6" x14ac:dyDescent="0.25">
      <c r="B375">
        <v>26.84</v>
      </c>
      <c r="C375">
        <v>0.99980000000000002</v>
      </c>
      <c r="D375">
        <v>0.55900000000000005</v>
      </c>
      <c r="E375">
        <v>72.19</v>
      </c>
      <c r="F375"/>
    </row>
    <row r="376" spans="2:6" x14ac:dyDescent="0.25">
      <c r="B376">
        <v>27.353000000000002</v>
      </c>
      <c r="C376">
        <v>1</v>
      </c>
      <c r="D376">
        <v>0.55759999999999998</v>
      </c>
      <c r="E376">
        <v>71.97</v>
      </c>
      <c r="F376"/>
    </row>
    <row r="377" spans="2:6" x14ac:dyDescent="0.25">
      <c r="B377">
        <v>27.864999999999998</v>
      </c>
      <c r="C377">
        <v>0.99990000000000001</v>
      </c>
      <c r="D377">
        <v>0.55600000000000005</v>
      </c>
      <c r="E377">
        <v>71.88</v>
      </c>
      <c r="F377"/>
    </row>
    <row r="378" spans="2:6" x14ac:dyDescent="0.25">
      <c r="B378">
        <v>28.376000000000001</v>
      </c>
      <c r="C378">
        <v>1</v>
      </c>
      <c r="D378">
        <v>0.5575</v>
      </c>
      <c r="E378">
        <v>71.66</v>
      </c>
      <c r="F378"/>
    </row>
    <row r="379" spans="2:6" x14ac:dyDescent="0.25">
      <c r="B379">
        <v>28.888999999999999</v>
      </c>
      <c r="C379">
        <v>0.99990000000000001</v>
      </c>
      <c r="D379">
        <v>0.55579999999999996</v>
      </c>
      <c r="E379">
        <v>71.52</v>
      </c>
      <c r="F379"/>
    </row>
    <row r="380" spans="2:6" x14ac:dyDescent="0.25">
      <c r="B380">
        <v>29.4</v>
      </c>
      <c r="C380">
        <v>1</v>
      </c>
      <c r="D380">
        <v>0.55620000000000003</v>
      </c>
      <c r="E380">
        <v>71.36</v>
      </c>
      <c r="F380"/>
    </row>
    <row r="381" spans="2:6" x14ac:dyDescent="0.25">
      <c r="B381">
        <v>29.913</v>
      </c>
      <c r="C381">
        <v>0.99980000000000002</v>
      </c>
      <c r="D381">
        <v>0.55589999999999995</v>
      </c>
      <c r="E381">
        <v>71.13</v>
      </c>
      <c r="F381"/>
    </row>
    <row r="382" spans="2:6" x14ac:dyDescent="0.25">
      <c r="B382">
        <v>30.423999999999999</v>
      </c>
      <c r="C382">
        <v>1</v>
      </c>
      <c r="D382">
        <v>0.55810000000000004</v>
      </c>
      <c r="E382">
        <v>70.97</v>
      </c>
      <c r="F382"/>
    </row>
    <row r="383" spans="2:6" x14ac:dyDescent="0.25">
      <c r="B383">
        <v>30.937000000000001</v>
      </c>
      <c r="C383">
        <v>0.99980000000000002</v>
      </c>
      <c r="D383">
        <v>0.55689999999999995</v>
      </c>
      <c r="E383">
        <v>70.87</v>
      </c>
      <c r="F383"/>
    </row>
    <row r="384" spans="2:6" x14ac:dyDescent="0.25">
      <c r="B384">
        <v>31.448</v>
      </c>
      <c r="C384">
        <v>1</v>
      </c>
      <c r="D384">
        <v>0.55969999999999998</v>
      </c>
      <c r="E384">
        <v>70.62</v>
      </c>
      <c r="F384"/>
    </row>
    <row r="385" spans="2:6" x14ac:dyDescent="0.25">
      <c r="B385">
        <v>31.960999999999999</v>
      </c>
      <c r="C385">
        <v>0.99990000000000001</v>
      </c>
      <c r="D385">
        <v>0.55610000000000004</v>
      </c>
      <c r="E385">
        <v>70.430000000000007</v>
      </c>
      <c r="F385"/>
    </row>
    <row r="386" spans="2:6" x14ac:dyDescent="0.25">
      <c r="B386">
        <v>32.472000000000001</v>
      </c>
      <c r="C386">
        <v>1</v>
      </c>
      <c r="D386">
        <v>0.55689999999999995</v>
      </c>
      <c r="E386">
        <v>70.14</v>
      </c>
      <c r="F386"/>
    </row>
    <row r="387" spans="2:6" x14ac:dyDescent="0.25">
      <c r="B387">
        <v>32.984999999999999</v>
      </c>
      <c r="C387">
        <v>0.99990000000000001</v>
      </c>
      <c r="D387">
        <v>0.55669999999999997</v>
      </c>
      <c r="E387">
        <v>69.959999999999994</v>
      </c>
      <c r="F387"/>
    </row>
    <row r="388" spans="2:6" x14ac:dyDescent="0.25">
      <c r="B388">
        <v>33.496000000000002</v>
      </c>
      <c r="C388">
        <v>1</v>
      </c>
      <c r="D388">
        <v>0.55610000000000004</v>
      </c>
      <c r="E388">
        <v>69.83</v>
      </c>
      <c r="F388"/>
    </row>
    <row r="389" spans="2:6" x14ac:dyDescent="0.25">
      <c r="B389">
        <v>34.008000000000003</v>
      </c>
      <c r="C389">
        <v>0.99990000000000001</v>
      </c>
      <c r="D389">
        <v>0.55649999999999999</v>
      </c>
      <c r="E389">
        <v>69.59</v>
      </c>
      <c r="F389"/>
    </row>
    <row r="390" spans="2:6" x14ac:dyDescent="0.25">
      <c r="B390">
        <v>34.521000000000001</v>
      </c>
      <c r="C390">
        <v>1</v>
      </c>
      <c r="D390">
        <v>0.55710000000000004</v>
      </c>
      <c r="E390">
        <v>69.400000000000006</v>
      </c>
      <c r="F390"/>
    </row>
    <row r="391" spans="2:6" x14ac:dyDescent="0.25">
      <c r="B391">
        <v>35.033000000000001</v>
      </c>
      <c r="C391">
        <v>1</v>
      </c>
      <c r="D391">
        <v>0.55379999999999996</v>
      </c>
      <c r="E391">
        <v>69.25</v>
      </c>
      <c r="F391"/>
    </row>
    <row r="392" spans="2:6" x14ac:dyDescent="0.25">
      <c r="B392">
        <v>35.543999999999997</v>
      </c>
      <c r="C392">
        <v>1</v>
      </c>
      <c r="D392">
        <v>0.55689999999999995</v>
      </c>
      <c r="E392">
        <v>69.069999999999993</v>
      </c>
      <c r="F392"/>
    </row>
    <row r="393" spans="2:6" x14ac:dyDescent="0.25">
      <c r="B393">
        <v>36.055999999999997</v>
      </c>
      <c r="C393">
        <v>0.99990000000000001</v>
      </c>
      <c r="D393">
        <v>0.55689999999999995</v>
      </c>
      <c r="E393">
        <v>68.86</v>
      </c>
      <c r="F393"/>
    </row>
    <row r="394" spans="2:6" x14ac:dyDescent="0.25">
      <c r="B394">
        <v>36.569000000000003</v>
      </c>
      <c r="C394">
        <v>1</v>
      </c>
      <c r="D394">
        <v>0.55769999999999997</v>
      </c>
      <c r="E394">
        <v>68.66</v>
      </c>
      <c r="F394"/>
    </row>
    <row r="395" spans="2:6" x14ac:dyDescent="0.25">
      <c r="B395">
        <v>37.081000000000003</v>
      </c>
      <c r="C395">
        <v>1</v>
      </c>
      <c r="D395">
        <v>0.55459999999999998</v>
      </c>
      <c r="E395">
        <v>68.430000000000007</v>
      </c>
      <c r="F395"/>
    </row>
    <row r="396" spans="2:6" x14ac:dyDescent="0.25">
      <c r="B396">
        <v>37.591999999999999</v>
      </c>
      <c r="C396">
        <v>1</v>
      </c>
      <c r="D396">
        <v>0.55769999999999997</v>
      </c>
      <c r="E396">
        <v>68.23</v>
      </c>
      <c r="F396"/>
    </row>
    <row r="397" spans="2:6" x14ac:dyDescent="0.25">
      <c r="B397">
        <v>38.103999999999999</v>
      </c>
      <c r="C397">
        <v>1</v>
      </c>
      <c r="D397">
        <v>0.55479999999999996</v>
      </c>
      <c r="E397">
        <v>68.040000000000006</v>
      </c>
      <c r="F397"/>
    </row>
    <row r="398" spans="2:6" x14ac:dyDescent="0.25">
      <c r="B398">
        <v>38.616999999999997</v>
      </c>
      <c r="C398">
        <v>1</v>
      </c>
      <c r="D398">
        <v>0.55330000000000001</v>
      </c>
      <c r="E398">
        <v>67.73</v>
      </c>
      <c r="F398"/>
    </row>
    <row r="399" spans="2:6" x14ac:dyDescent="0.25">
      <c r="B399">
        <v>39.128999999999998</v>
      </c>
      <c r="C399">
        <v>1</v>
      </c>
      <c r="D399">
        <v>0.55459999999999998</v>
      </c>
      <c r="E399">
        <v>67.61</v>
      </c>
      <c r="F399"/>
    </row>
    <row r="400" spans="2:6" x14ac:dyDescent="0.25">
      <c r="B400">
        <v>39.64</v>
      </c>
      <c r="C400">
        <v>1</v>
      </c>
      <c r="D400">
        <v>0.55469999999999997</v>
      </c>
      <c r="E400">
        <v>67.31</v>
      </c>
      <c r="F400"/>
    </row>
    <row r="401" spans="2:6" x14ac:dyDescent="0.25">
      <c r="B401">
        <v>40.152999999999999</v>
      </c>
      <c r="C401">
        <v>1</v>
      </c>
      <c r="D401">
        <v>0.55389999999999995</v>
      </c>
      <c r="E401">
        <v>67.099999999999994</v>
      </c>
      <c r="F401"/>
    </row>
    <row r="402" spans="2:6" x14ac:dyDescent="0.25">
      <c r="B402">
        <v>40.664999999999999</v>
      </c>
      <c r="C402">
        <v>1</v>
      </c>
      <c r="D402">
        <v>0.55330000000000001</v>
      </c>
      <c r="E402">
        <v>66.88</v>
      </c>
      <c r="F402"/>
    </row>
    <row r="403" spans="2:6" x14ac:dyDescent="0.25">
      <c r="B403">
        <v>41.432000000000002</v>
      </c>
      <c r="C403">
        <v>0.99990000000000001</v>
      </c>
      <c r="D403">
        <v>0.55520000000000003</v>
      </c>
      <c r="E403">
        <v>66.55</v>
      </c>
      <c r="F403"/>
    </row>
    <row r="404" spans="2:6" x14ac:dyDescent="0.25">
      <c r="B404">
        <v>42.457000000000001</v>
      </c>
      <c r="C404">
        <v>1</v>
      </c>
      <c r="D404">
        <v>0.55330000000000001</v>
      </c>
      <c r="E404">
        <v>66.17</v>
      </c>
      <c r="F404"/>
    </row>
    <row r="405" spans="2:6" x14ac:dyDescent="0.25">
      <c r="B405">
        <v>43.48</v>
      </c>
      <c r="C405">
        <v>1</v>
      </c>
      <c r="D405">
        <v>0.55520000000000003</v>
      </c>
      <c r="E405">
        <v>65.7</v>
      </c>
      <c r="F405"/>
    </row>
    <row r="406" spans="2:6" x14ac:dyDescent="0.25">
      <c r="B406">
        <v>44.505000000000003</v>
      </c>
      <c r="C406">
        <v>1</v>
      </c>
      <c r="D406">
        <v>0.55479999999999996</v>
      </c>
      <c r="E406">
        <v>65.209999999999994</v>
      </c>
      <c r="F406"/>
    </row>
    <row r="407" spans="2:6" x14ac:dyDescent="0.25">
      <c r="B407">
        <v>45.527999999999999</v>
      </c>
      <c r="C407">
        <v>1</v>
      </c>
      <c r="D407">
        <v>0.5554</v>
      </c>
      <c r="E407">
        <v>64.77</v>
      </c>
      <c r="F407"/>
    </row>
    <row r="408" spans="2:6" x14ac:dyDescent="0.25">
      <c r="B408">
        <v>46.552999999999997</v>
      </c>
      <c r="C408">
        <v>1</v>
      </c>
      <c r="D408">
        <v>0.55349999999999999</v>
      </c>
      <c r="E408">
        <v>64.349999999999994</v>
      </c>
      <c r="F408"/>
    </row>
    <row r="409" spans="2:6" x14ac:dyDescent="0.25">
      <c r="B409">
        <v>47.576000000000001</v>
      </c>
      <c r="C409">
        <v>1</v>
      </c>
      <c r="D409">
        <v>0.55249999999999999</v>
      </c>
      <c r="E409">
        <v>63.94</v>
      </c>
      <c r="F409"/>
    </row>
    <row r="410" spans="2:6" x14ac:dyDescent="0.25">
      <c r="B410">
        <v>48.6</v>
      </c>
      <c r="C410">
        <v>1</v>
      </c>
      <c r="D410">
        <v>0.55220000000000002</v>
      </c>
      <c r="E410">
        <v>63.49</v>
      </c>
      <c r="F410"/>
    </row>
    <row r="411" spans="2:6" x14ac:dyDescent="0.25">
      <c r="B411">
        <v>49.625</v>
      </c>
      <c r="C411">
        <v>1</v>
      </c>
      <c r="D411">
        <v>0.55389999999999995</v>
      </c>
      <c r="E411">
        <v>62.96</v>
      </c>
      <c r="F411"/>
    </row>
    <row r="412" spans="2:6" x14ac:dyDescent="0.25">
      <c r="B412">
        <v>50.648000000000003</v>
      </c>
      <c r="C412">
        <v>1</v>
      </c>
      <c r="D412">
        <v>0.54949999999999999</v>
      </c>
      <c r="E412">
        <v>62.53</v>
      </c>
      <c r="F412"/>
    </row>
    <row r="413" spans="2:6" x14ac:dyDescent="0.25">
      <c r="B413">
        <v>51.673000000000002</v>
      </c>
      <c r="C413">
        <v>1</v>
      </c>
      <c r="D413">
        <v>0.54910000000000003</v>
      </c>
      <c r="E413">
        <v>61.96</v>
      </c>
      <c r="F413"/>
    </row>
    <row r="414" spans="2:6" x14ac:dyDescent="0.25">
      <c r="B414">
        <v>52.695999999999998</v>
      </c>
      <c r="C414">
        <v>1</v>
      </c>
      <c r="D414">
        <v>0.54930000000000001</v>
      </c>
      <c r="E414">
        <v>61.45</v>
      </c>
      <c r="F414"/>
    </row>
    <row r="415" spans="2:6" x14ac:dyDescent="0.25">
      <c r="B415">
        <v>53.720999999999997</v>
      </c>
      <c r="C415">
        <v>1</v>
      </c>
      <c r="D415">
        <v>0.54910000000000003</v>
      </c>
      <c r="E415">
        <v>61.03</v>
      </c>
      <c r="F415"/>
    </row>
    <row r="416" spans="2:6" x14ac:dyDescent="0.25">
      <c r="B416">
        <v>54.744</v>
      </c>
      <c r="C416">
        <v>1</v>
      </c>
      <c r="D416">
        <v>0.54990000000000006</v>
      </c>
      <c r="E416">
        <v>60.52</v>
      </c>
      <c r="F416"/>
    </row>
    <row r="417" spans="2:6" x14ac:dyDescent="0.25">
      <c r="B417">
        <v>55.768999999999998</v>
      </c>
      <c r="C417">
        <v>1</v>
      </c>
      <c r="D417">
        <v>0.47470000000000001</v>
      </c>
      <c r="E417">
        <v>60.19</v>
      </c>
      <c r="F417"/>
    </row>
    <row r="418" spans="2:6" x14ac:dyDescent="0.25">
      <c r="B418">
        <v>56.792000000000002</v>
      </c>
      <c r="C418">
        <v>1</v>
      </c>
      <c r="D418">
        <v>0.46200000000000002</v>
      </c>
      <c r="E418">
        <v>60.02</v>
      </c>
      <c r="F418"/>
    </row>
    <row r="419" spans="2:6" x14ac:dyDescent="0.25">
      <c r="B419">
        <v>57.817</v>
      </c>
      <c r="C419">
        <v>1</v>
      </c>
      <c r="D419">
        <v>0.4521</v>
      </c>
      <c r="E419">
        <v>59.82</v>
      </c>
      <c r="F419"/>
    </row>
    <row r="420" spans="2:6" x14ac:dyDescent="0.25">
      <c r="B420">
        <v>58.84</v>
      </c>
      <c r="C420">
        <v>1</v>
      </c>
      <c r="D420">
        <v>0.44319999999999998</v>
      </c>
      <c r="E420">
        <v>59.61</v>
      </c>
      <c r="F420"/>
    </row>
    <row r="421" spans="2:6" x14ac:dyDescent="0.25">
      <c r="B421"/>
      <c r="C421"/>
      <c r="D421"/>
      <c r="E421"/>
      <c r="F421"/>
    </row>
    <row r="422" spans="2:6" x14ac:dyDescent="0.25">
      <c r="B422"/>
      <c r="C422"/>
      <c r="D422"/>
      <c r="E422"/>
      <c r="F422"/>
    </row>
  </sheetData>
  <pageMargins left="0.7" right="0.7" top="0.75" bottom="0.75" header="0.3" footer="0.3"/>
  <ignoredErrors>
    <ignoredError sqref="H25:H26" formulaRange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_xludf.Yield">
                <anchor moveWithCells="1" sizeWithCells="1">
                  <from>
                    <xdr:col>6</xdr:col>
                    <xdr:colOff>238125</xdr:colOff>
                    <xdr:row>27</xdr:row>
                    <xdr:rowOff>47625</xdr:rowOff>
                  </from>
                  <to>
                    <xdr:col>7</xdr:col>
                    <xdr:colOff>619125</xdr:colOff>
                    <xdr:row>29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421"/>
  <sheetViews>
    <sheetView workbookViewId="0">
      <selection activeCell="I3" sqref="I3:I7"/>
    </sheetView>
  </sheetViews>
  <sheetFormatPr defaultRowHeight="15" x14ac:dyDescent="0.25"/>
  <cols>
    <col min="6" max="6" width="9.140625" style="35"/>
    <col min="8" max="8" width="25.5703125" bestFit="1" customWidth="1"/>
  </cols>
  <sheetData>
    <row r="1" spans="1:10" s="35" customFormat="1" x14ac:dyDescent="0.25">
      <c r="I1" s="4" t="s">
        <v>49</v>
      </c>
      <c r="J1" s="35">
        <v>1</v>
      </c>
    </row>
    <row r="2" spans="1:10" x14ac:dyDescent="0.25">
      <c r="A2" s="61" t="s">
        <v>48</v>
      </c>
      <c r="B2" t="s">
        <v>49</v>
      </c>
      <c r="C2" t="s">
        <v>50</v>
      </c>
      <c r="D2" t="s">
        <v>51</v>
      </c>
      <c r="E2" s="35" t="s">
        <v>66</v>
      </c>
      <c r="F2" s="35" t="s">
        <v>65</v>
      </c>
    </row>
    <row r="3" spans="1:10" ht="15.75" thickBot="1" x14ac:dyDescent="0.3">
      <c r="A3" s="37" t="s">
        <v>52</v>
      </c>
      <c r="B3" t="s">
        <v>53</v>
      </c>
      <c r="C3" t="s">
        <v>0</v>
      </c>
      <c r="D3" t="s">
        <v>1</v>
      </c>
      <c r="E3" s="35" t="s">
        <v>53</v>
      </c>
      <c r="F3" s="35" t="s">
        <v>1</v>
      </c>
      <c r="H3" s="27" t="s">
        <v>60</v>
      </c>
      <c r="I3" s="49">
        <f ca="1">IF(AVERAGE(INDIRECT("F"&amp;MATCH(MAX(F1:F322),F1:F322,0)&amp;":"&amp;"F"&amp;MATCH(MAX(F1:F322),F1:F322,0)+100))&lt;INDIRECT("F"&amp;MATCH(MAX(F1:F322),F1:F322,0)),1,0)</f>
        <v>1</v>
      </c>
    </row>
    <row r="4" spans="1:10" ht="15.75" thickBot="1" x14ac:dyDescent="0.3">
      <c r="A4" s="2">
        <v>1E-3</v>
      </c>
      <c r="B4" s="2">
        <v>-1.4069999999999999E-2</v>
      </c>
      <c r="C4" s="2">
        <v>0.35299999999999998</v>
      </c>
      <c r="D4">
        <v>-19.579999999999998</v>
      </c>
      <c r="E4">
        <f>IF(B4=MEDIAN($J$1-0.05,$J$1+0.05,B4),B4,0)</f>
        <v>0</v>
      </c>
      <c r="F4" s="35">
        <f>IF(E4=0,0,D4)</f>
        <v>0</v>
      </c>
      <c r="H4" s="27" t="s">
        <v>61</v>
      </c>
      <c r="I4">
        <f>VLOOKUP(5,A4:D421,4,TRUE)</f>
        <v>105.2</v>
      </c>
    </row>
    <row r="5" spans="1:10" ht="15.75" thickBot="1" x14ac:dyDescent="0.3">
      <c r="A5" s="37">
        <v>2E-3</v>
      </c>
      <c r="B5" s="2">
        <v>-2.2290000000000001E-2</v>
      </c>
      <c r="C5" s="2">
        <v>0.35299999999999998</v>
      </c>
      <c r="D5" s="2">
        <v>-19.600000000000001</v>
      </c>
      <c r="E5" s="35">
        <f t="shared" ref="E5:E68" si="0">IF(B5=MEDIAN($J$1-0.05,$J$1+0.05,B5),B5,0)</f>
        <v>0</v>
      </c>
      <c r="F5" s="35">
        <f t="shared" ref="F5:F68" si="1">IF(E5=0,0,D5)</f>
        <v>0</v>
      </c>
      <c r="H5" s="27" t="s">
        <v>62</v>
      </c>
      <c r="I5">
        <f>VLOOKUP(60,A4:D421,4,TRUE)</f>
        <v>100.5</v>
      </c>
    </row>
    <row r="6" spans="1:10" ht="15.75" thickBot="1" x14ac:dyDescent="0.3">
      <c r="A6" s="2">
        <v>3.0000000000000001E-3</v>
      </c>
      <c r="B6" s="2">
        <v>-2.896E-2</v>
      </c>
      <c r="C6" s="2">
        <v>0.35299999999999998</v>
      </c>
      <c r="D6" s="2">
        <v>-19.600000000000001</v>
      </c>
      <c r="E6" s="35">
        <f t="shared" si="0"/>
        <v>0</v>
      </c>
      <c r="F6" s="35">
        <f t="shared" si="1"/>
        <v>0</v>
      </c>
      <c r="H6" s="27" t="s">
        <v>63</v>
      </c>
      <c r="I6">
        <f>I5-I4</f>
        <v>-4.7000000000000028</v>
      </c>
    </row>
    <row r="7" spans="1:10" ht="15.75" thickBot="1" x14ac:dyDescent="0.3">
      <c r="A7" s="2">
        <v>4.0000000000000001E-3</v>
      </c>
      <c r="B7" s="2">
        <v>-3.4939999999999999E-2</v>
      </c>
      <c r="C7" s="2">
        <v>0.35299999999999998</v>
      </c>
      <c r="D7" s="2">
        <v>-19.59</v>
      </c>
      <c r="E7" s="35">
        <f t="shared" si="0"/>
        <v>0</v>
      </c>
      <c r="F7" s="35">
        <f t="shared" si="1"/>
        <v>0</v>
      </c>
      <c r="H7" s="27" t="s">
        <v>64</v>
      </c>
      <c r="I7">
        <f ca="1">IF(I3=1,MAX(D4:D421),"")</f>
        <v>110.6</v>
      </c>
    </row>
    <row r="8" spans="1:10" x14ac:dyDescent="0.25">
      <c r="A8" s="38">
        <v>5.0000000000000001E-3</v>
      </c>
      <c r="B8" s="2">
        <v>-3.8679999999999999E-2</v>
      </c>
      <c r="C8" s="2">
        <v>0.35299999999999998</v>
      </c>
      <c r="D8" s="2">
        <v>-19.559999999999999</v>
      </c>
      <c r="E8" s="35">
        <f t="shared" si="0"/>
        <v>0</v>
      </c>
      <c r="F8" s="35">
        <f t="shared" si="1"/>
        <v>0</v>
      </c>
    </row>
    <row r="9" spans="1:10" x14ac:dyDescent="0.25">
      <c r="A9" s="38">
        <v>6.0000000000000001E-3</v>
      </c>
      <c r="B9" s="2">
        <v>-4.2029999999999998E-2</v>
      </c>
      <c r="C9" s="2">
        <v>0.35299999999999998</v>
      </c>
      <c r="D9" s="2">
        <v>-19.52</v>
      </c>
      <c r="E9" s="35">
        <f t="shared" si="0"/>
        <v>0</v>
      </c>
      <c r="F9" s="35">
        <f t="shared" si="1"/>
        <v>0</v>
      </c>
    </row>
    <row r="10" spans="1:10" x14ac:dyDescent="0.25">
      <c r="A10" s="2">
        <v>7.0000000000000001E-3</v>
      </c>
      <c r="B10" s="2">
        <v>-4.2549999999999998E-2</v>
      </c>
      <c r="C10" s="2">
        <v>0.35299999999999998</v>
      </c>
      <c r="D10" s="2">
        <v>-19.48</v>
      </c>
      <c r="E10" s="35">
        <f t="shared" si="0"/>
        <v>0</v>
      </c>
      <c r="F10" s="35">
        <f t="shared" si="1"/>
        <v>0</v>
      </c>
    </row>
    <row r="11" spans="1:10" x14ac:dyDescent="0.25">
      <c r="A11" s="2">
        <v>8.0000000000000002E-3</v>
      </c>
      <c r="B11" s="2">
        <v>-4.1739999999999999E-2</v>
      </c>
      <c r="C11" s="2">
        <v>0.35299999999999998</v>
      </c>
      <c r="D11" s="2">
        <v>-19.420000000000002</v>
      </c>
      <c r="E11" s="35">
        <f t="shared" si="0"/>
        <v>0</v>
      </c>
      <c r="F11" s="35">
        <f t="shared" si="1"/>
        <v>0</v>
      </c>
    </row>
    <row r="12" spans="1:10" x14ac:dyDescent="0.25">
      <c r="A12" s="2">
        <v>8.9999999999999993E-3</v>
      </c>
      <c r="B12" s="2">
        <v>-3.9480000000000001E-2</v>
      </c>
      <c r="C12" s="2">
        <v>0.35299999999999998</v>
      </c>
      <c r="D12" s="2">
        <v>-19.37</v>
      </c>
      <c r="E12" s="35">
        <f t="shared" si="0"/>
        <v>0</v>
      </c>
      <c r="F12" s="35">
        <f t="shared" si="1"/>
        <v>0</v>
      </c>
    </row>
    <row r="13" spans="1:10" x14ac:dyDescent="0.25">
      <c r="A13">
        <v>0.01</v>
      </c>
      <c r="B13" s="2">
        <v>-3.585E-2</v>
      </c>
      <c r="C13" s="2">
        <v>0.35299999999999998</v>
      </c>
      <c r="D13" s="2">
        <v>-19.309999999999999</v>
      </c>
      <c r="E13" s="35">
        <f t="shared" si="0"/>
        <v>0</v>
      </c>
      <c r="F13" s="35">
        <f t="shared" si="1"/>
        <v>0</v>
      </c>
    </row>
    <row r="14" spans="1:10" x14ac:dyDescent="0.25">
      <c r="A14">
        <v>1.0999999999999999E-2</v>
      </c>
      <c r="B14" s="2">
        <v>-2.9950000000000001E-2</v>
      </c>
      <c r="C14" s="2">
        <v>0.35299999999999998</v>
      </c>
      <c r="D14" s="2">
        <v>-19.25</v>
      </c>
      <c r="E14" s="35">
        <f t="shared" si="0"/>
        <v>0</v>
      </c>
      <c r="F14" s="35">
        <f t="shared" si="1"/>
        <v>0</v>
      </c>
    </row>
    <row r="15" spans="1:10" x14ac:dyDescent="0.25">
      <c r="A15">
        <v>1.2E-2</v>
      </c>
      <c r="B15" s="2">
        <v>-2.2100000000000002E-2</v>
      </c>
      <c r="C15" s="2">
        <v>0.35299999999999998</v>
      </c>
      <c r="D15" s="2">
        <v>-19.18</v>
      </c>
      <c r="E15" s="35">
        <f t="shared" si="0"/>
        <v>0</v>
      </c>
      <c r="F15" s="35">
        <f t="shared" si="1"/>
        <v>0</v>
      </c>
    </row>
    <row r="16" spans="1:10" x14ac:dyDescent="0.25">
      <c r="A16">
        <v>1.2999999999999999E-2</v>
      </c>
      <c r="B16" s="2">
        <v>-1.2489999999999999E-2</v>
      </c>
      <c r="C16" s="2">
        <v>0.35299999999999998</v>
      </c>
      <c r="D16" s="2">
        <v>-19.12</v>
      </c>
      <c r="E16" s="35">
        <f t="shared" si="0"/>
        <v>0</v>
      </c>
      <c r="F16" s="35">
        <f t="shared" si="1"/>
        <v>0</v>
      </c>
    </row>
    <row r="17" spans="1:6" x14ac:dyDescent="0.25">
      <c r="A17">
        <v>1.4E-2</v>
      </c>
      <c r="B17" s="2">
        <v>-9.3599999999999998E-4</v>
      </c>
      <c r="C17" s="2">
        <v>0.35299999999999998</v>
      </c>
      <c r="D17" s="2">
        <v>-19.059999999999999</v>
      </c>
      <c r="E17" s="35">
        <f t="shared" si="0"/>
        <v>0</v>
      </c>
      <c r="F17" s="35">
        <f t="shared" si="1"/>
        <v>0</v>
      </c>
    </row>
    <row r="18" spans="1:6" x14ac:dyDescent="0.25">
      <c r="A18">
        <v>1.4999999999999999E-2</v>
      </c>
      <c r="B18" s="2">
        <v>1.206E-2</v>
      </c>
      <c r="C18" s="2">
        <v>0.35299999999999998</v>
      </c>
      <c r="D18" s="2">
        <v>-19</v>
      </c>
      <c r="E18" s="35">
        <f t="shared" si="0"/>
        <v>0</v>
      </c>
      <c r="F18" s="35">
        <f t="shared" si="1"/>
        <v>0</v>
      </c>
    </row>
    <row r="19" spans="1:6" x14ac:dyDescent="0.25">
      <c r="A19">
        <v>1.6E-2</v>
      </c>
      <c r="B19" s="2">
        <v>2.5139999999999999E-2</v>
      </c>
      <c r="C19" s="2">
        <v>0.35299999999999998</v>
      </c>
      <c r="D19" s="2">
        <v>-18.95</v>
      </c>
      <c r="E19" s="35">
        <f t="shared" si="0"/>
        <v>0</v>
      </c>
      <c r="F19" s="35">
        <f t="shared" si="1"/>
        <v>0</v>
      </c>
    </row>
    <row r="20" spans="1:6" x14ac:dyDescent="0.25">
      <c r="A20">
        <v>1.7000000000000001E-2</v>
      </c>
      <c r="B20" s="2">
        <v>3.7719999999999997E-2</v>
      </c>
      <c r="C20" s="2">
        <v>0.35299999999999998</v>
      </c>
      <c r="D20" s="2">
        <v>-18.899999999999999</v>
      </c>
      <c r="E20" s="35">
        <f t="shared" si="0"/>
        <v>0</v>
      </c>
      <c r="F20" s="35">
        <f t="shared" si="1"/>
        <v>0</v>
      </c>
    </row>
    <row r="21" spans="1:6" x14ac:dyDescent="0.25">
      <c r="A21">
        <v>1.7999999999999999E-2</v>
      </c>
      <c r="B21" s="2">
        <v>5.1299999999999998E-2</v>
      </c>
      <c r="C21" s="2">
        <v>0.35299999999999998</v>
      </c>
      <c r="D21" s="2">
        <v>-18.84</v>
      </c>
      <c r="E21" s="35">
        <f t="shared" si="0"/>
        <v>0</v>
      </c>
      <c r="F21" s="35">
        <f t="shared" si="1"/>
        <v>0</v>
      </c>
    </row>
    <row r="22" spans="1:6" x14ac:dyDescent="0.25">
      <c r="A22">
        <v>1.9E-2</v>
      </c>
      <c r="B22" s="2">
        <v>6.3439999999999996E-2</v>
      </c>
      <c r="C22" s="2">
        <v>0.35299999999999998</v>
      </c>
      <c r="D22" s="2">
        <v>-18.79</v>
      </c>
      <c r="E22" s="35">
        <f t="shared" si="0"/>
        <v>0</v>
      </c>
      <c r="F22" s="35">
        <f t="shared" si="1"/>
        <v>0</v>
      </c>
    </row>
    <row r="23" spans="1:6" x14ac:dyDescent="0.25">
      <c r="A23">
        <v>0.02</v>
      </c>
      <c r="B23" s="2">
        <v>7.6439999999999994E-2</v>
      </c>
      <c r="C23" s="2">
        <v>0.35299999999999998</v>
      </c>
      <c r="D23" s="2">
        <v>-18.75</v>
      </c>
      <c r="E23" s="35">
        <f t="shared" si="0"/>
        <v>0</v>
      </c>
      <c r="F23" s="35">
        <f t="shared" si="1"/>
        <v>0</v>
      </c>
    </row>
    <row r="24" spans="1:6" x14ac:dyDescent="0.25">
      <c r="A24">
        <v>2.1000000000000001E-2</v>
      </c>
      <c r="B24" s="2">
        <v>8.9609999999999995E-2</v>
      </c>
      <c r="C24" s="2">
        <v>0.35299999999999998</v>
      </c>
      <c r="D24" s="2">
        <v>-18.7</v>
      </c>
      <c r="E24" s="35">
        <f t="shared" si="0"/>
        <v>0</v>
      </c>
      <c r="F24" s="35">
        <f t="shared" si="1"/>
        <v>0</v>
      </c>
    </row>
    <row r="25" spans="1:6" x14ac:dyDescent="0.25">
      <c r="A25">
        <v>2.1999999999999999E-2</v>
      </c>
      <c r="B25" s="2">
        <v>0.1011</v>
      </c>
      <c r="C25" s="2">
        <v>0.35299999999999998</v>
      </c>
      <c r="D25" s="2">
        <v>-18.649999999999999</v>
      </c>
      <c r="E25" s="35">
        <f t="shared" si="0"/>
        <v>0</v>
      </c>
      <c r="F25" s="35">
        <f t="shared" si="1"/>
        <v>0</v>
      </c>
    </row>
    <row r="26" spans="1:6" x14ac:dyDescent="0.25">
      <c r="A26">
        <v>2.3E-2</v>
      </c>
      <c r="B26" s="2">
        <v>0.1111</v>
      </c>
      <c r="C26" s="2">
        <v>0.35299999999999998</v>
      </c>
      <c r="D26" s="2">
        <v>-18.61</v>
      </c>
      <c r="E26" s="35">
        <f t="shared" si="0"/>
        <v>0</v>
      </c>
      <c r="F26" s="35">
        <f t="shared" si="1"/>
        <v>0</v>
      </c>
    </row>
    <row r="27" spans="1:6" x14ac:dyDescent="0.25">
      <c r="A27">
        <v>2.4E-2</v>
      </c>
      <c r="B27" s="2">
        <v>0.1191</v>
      </c>
      <c r="C27" s="2">
        <v>0.35299999999999998</v>
      </c>
      <c r="D27" s="2">
        <v>-18.559999999999999</v>
      </c>
      <c r="E27" s="35">
        <f t="shared" si="0"/>
        <v>0</v>
      </c>
      <c r="F27" s="35">
        <f t="shared" si="1"/>
        <v>0</v>
      </c>
    </row>
    <row r="28" spans="1:6" x14ac:dyDescent="0.25">
      <c r="A28">
        <v>2.5000000000000001E-2</v>
      </c>
      <c r="B28">
        <v>0.12470000000000001</v>
      </c>
      <c r="C28" s="2">
        <v>0.35299999999999998</v>
      </c>
      <c r="D28" s="2">
        <v>-18.52</v>
      </c>
      <c r="E28" s="35">
        <f t="shared" si="0"/>
        <v>0</v>
      </c>
      <c r="F28" s="35">
        <f t="shared" si="1"/>
        <v>0</v>
      </c>
    </row>
    <row r="29" spans="1:6" x14ac:dyDescent="0.25">
      <c r="A29">
        <v>2.5999999999999999E-2</v>
      </c>
      <c r="B29">
        <v>0.12820000000000001</v>
      </c>
      <c r="C29" s="2">
        <v>0.35299999999999998</v>
      </c>
      <c r="D29" s="2">
        <v>-18.47</v>
      </c>
      <c r="E29" s="35">
        <f t="shared" si="0"/>
        <v>0</v>
      </c>
      <c r="F29" s="35">
        <f t="shared" si="1"/>
        <v>0</v>
      </c>
    </row>
    <row r="30" spans="1:6" x14ac:dyDescent="0.25">
      <c r="A30">
        <v>2.7E-2</v>
      </c>
      <c r="B30" s="2">
        <v>0.1293</v>
      </c>
      <c r="C30" s="2">
        <v>0.35299999999999998</v>
      </c>
      <c r="D30" s="2">
        <v>-18.41</v>
      </c>
      <c r="E30" s="35">
        <f t="shared" si="0"/>
        <v>0</v>
      </c>
      <c r="F30" s="35">
        <f t="shared" si="1"/>
        <v>0</v>
      </c>
    </row>
    <row r="31" spans="1:6" x14ac:dyDescent="0.25">
      <c r="A31">
        <v>2.8000000000000001E-2</v>
      </c>
      <c r="B31" s="2">
        <v>0.13020000000000001</v>
      </c>
      <c r="C31" s="2">
        <v>0.35299999999999998</v>
      </c>
      <c r="D31" s="2">
        <v>-18.36</v>
      </c>
      <c r="E31" s="35">
        <f t="shared" si="0"/>
        <v>0</v>
      </c>
      <c r="F31" s="35">
        <f t="shared" si="1"/>
        <v>0</v>
      </c>
    </row>
    <row r="32" spans="1:6" x14ac:dyDescent="0.25">
      <c r="A32">
        <v>2.9000000000000001E-2</v>
      </c>
      <c r="B32" s="2">
        <v>0.13059999999999999</v>
      </c>
      <c r="C32" s="2">
        <v>0.35299999999999998</v>
      </c>
      <c r="D32" s="2">
        <v>-18.3</v>
      </c>
      <c r="E32" s="35">
        <f t="shared" si="0"/>
        <v>0</v>
      </c>
      <c r="F32" s="35">
        <f t="shared" si="1"/>
        <v>0</v>
      </c>
    </row>
    <row r="33" spans="1:6" x14ac:dyDescent="0.25">
      <c r="A33">
        <v>0.03</v>
      </c>
      <c r="B33" s="2">
        <v>0.13059999999999999</v>
      </c>
      <c r="C33" s="2">
        <v>0.35299999999999998</v>
      </c>
      <c r="D33" s="2">
        <v>-18.23</v>
      </c>
      <c r="E33" s="35">
        <f t="shared" si="0"/>
        <v>0</v>
      </c>
      <c r="F33" s="35">
        <f t="shared" si="1"/>
        <v>0</v>
      </c>
    </row>
    <row r="34" spans="1:6" x14ac:dyDescent="0.25">
      <c r="A34">
        <v>3.1E-2</v>
      </c>
      <c r="B34" s="2">
        <v>0.1285</v>
      </c>
      <c r="C34" s="2">
        <v>0.35299999999999998</v>
      </c>
      <c r="D34" s="2">
        <v>-18.170000000000002</v>
      </c>
      <c r="E34" s="35">
        <f t="shared" si="0"/>
        <v>0</v>
      </c>
      <c r="F34" s="35">
        <f t="shared" si="1"/>
        <v>0</v>
      </c>
    </row>
    <row r="35" spans="1:6" x14ac:dyDescent="0.25">
      <c r="A35">
        <v>3.2000000000000001E-2</v>
      </c>
      <c r="B35" s="2">
        <v>0.12720000000000001</v>
      </c>
      <c r="C35" s="2">
        <v>0.35299999999999998</v>
      </c>
      <c r="D35" s="2">
        <v>-18.100000000000001</v>
      </c>
      <c r="E35" s="35">
        <f t="shared" si="0"/>
        <v>0</v>
      </c>
      <c r="F35" s="35">
        <f t="shared" si="1"/>
        <v>0</v>
      </c>
    </row>
    <row r="36" spans="1:6" x14ac:dyDescent="0.25">
      <c r="A36">
        <v>3.3000000000000002E-2</v>
      </c>
      <c r="B36" s="2">
        <v>0.1234</v>
      </c>
      <c r="C36" s="2">
        <v>0.35299999999999998</v>
      </c>
      <c r="D36" s="2">
        <v>-18.03</v>
      </c>
      <c r="E36" s="35">
        <f t="shared" si="0"/>
        <v>0</v>
      </c>
      <c r="F36" s="35">
        <f t="shared" si="1"/>
        <v>0</v>
      </c>
    </row>
    <row r="37" spans="1:6" x14ac:dyDescent="0.25">
      <c r="A37">
        <v>3.4000000000000002E-2</v>
      </c>
      <c r="B37" s="2">
        <v>0.11890000000000001</v>
      </c>
      <c r="C37" s="2">
        <v>0.35299999999999998</v>
      </c>
      <c r="D37" s="2">
        <v>-17.96</v>
      </c>
      <c r="E37" s="35">
        <f t="shared" si="0"/>
        <v>0</v>
      </c>
      <c r="F37" s="35">
        <f t="shared" si="1"/>
        <v>0</v>
      </c>
    </row>
    <row r="38" spans="1:6" x14ac:dyDescent="0.25">
      <c r="A38">
        <v>3.5000000000000003E-2</v>
      </c>
      <c r="B38" s="2">
        <v>0.11310000000000001</v>
      </c>
      <c r="C38" s="2">
        <v>0.35299999999999998</v>
      </c>
      <c r="D38" s="2">
        <v>-17.89</v>
      </c>
      <c r="E38" s="35">
        <f t="shared" si="0"/>
        <v>0</v>
      </c>
      <c r="F38" s="35">
        <f t="shared" si="1"/>
        <v>0</v>
      </c>
    </row>
    <row r="39" spans="1:6" x14ac:dyDescent="0.25">
      <c r="A39">
        <v>3.5999999999999997E-2</v>
      </c>
      <c r="B39" s="2">
        <v>0.10829999999999999</v>
      </c>
      <c r="C39" s="2">
        <v>0.35299999999999998</v>
      </c>
      <c r="D39" s="2">
        <v>-17.809999999999999</v>
      </c>
      <c r="E39" s="35">
        <f t="shared" si="0"/>
        <v>0</v>
      </c>
      <c r="F39" s="35">
        <f t="shared" si="1"/>
        <v>0</v>
      </c>
    </row>
    <row r="40" spans="1:6" x14ac:dyDescent="0.25">
      <c r="A40">
        <v>3.6999999999999998E-2</v>
      </c>
      <c r="B40" s="2">
        <v>0.1019</v>
      </c>
      <c r="C40" s="2">
        <v>0.35299999999999998</v>
      </c>
      <c r="D40" s="2">
        <v>-17.73</v>
      </c>
      <c r="E40" s="35">
        <f t="shared" si="0"/>
        <v>0</v>
      </c>
      <c r="F40" s="35">
        <f t="shared" si="1"/>
        <v>0</v>
      </c>
    </row>
    <row r="41" spans="1:6" x14ac:dyDescent="0.25">
      <c r="A41">
        <v>3.7999999999999999E-2</v>
      </c>
      <c r="B41" s="2">
        <v>9.7519999999999996E-2</v>
      </c>
      <c r="C41" s="2">
        <v>0.35299999999999998</v>
      </c>
      <c r="D41" s="2">
        <v>-17.64</v>
      </c>
      <c r="E41" s="35">
        <f t="shared" si="0"/>
        <v>0</v>
      </c>
      <c r="F41" s="35">
        <f t="shared" si="1"/>
        <v>0</v>
      </c>
    </row>
    <row r="42" spans="1:6" x14ac:dyDescent="0.25">
      <c r="A42">
        <v>3.9E-2</v>
      </c>
      <c r="B42" s="2">
        <v>9.4729999999999995E-2</v>
      </c>
      <c r="C42" s="2">
        <v>0.35299999999999998</v>
      </c>
      <c r="D42" s="2">
        <v>-17.559999999999999</v>
      </c>
      <c r="E42" s="35">
        <f t="shared" si="0"/>
        <v>0</v>
      </c>
      <c r="F42" s="35">
        <f t="shared" si="1"/>
        <v>0</v>
      </c>
    </row>
    <row r="43" spans="1:6" x14ac:dyDescent="0.25">
      <c r="A43">
        <v>0.04</v>
      </c>
      <c r="B43" s="2">
        <v>9.2069999999999999E-2</v>
      </c>
      <c r="C43" s="2">
        <v>0.35299999999999998</v>
      </c>
      <c r="D43" s="2">
        <v>-17.48</v>
      </c>
      <c r="E43" s="35">
        <f t="shared" si="0"/>
        <v>0</v>
      </c>
      <c r="F43" s="35">
        <f t="shared" si="1"/>
        <v>0</v>
      </c>
    </row>
    <row r="44" spans="1:6" x14ac:dyDescent="0.25">
      <c r="A44">
        <v>4.1500000000000002E-2</v>
      </c>
      <c r="B44" s="2">
        <v>8.6499999999999994E-2</v>
      </c>
      <c r="C44" s="2">
        <v>0.35299999999999998</v>
      </c>
      <c r="D44" s="2">
        <v>-17.350000000000001</v>
      </c>
      <c r="E44" s="35">
        <f t="shared" si="0"/>
        <v>0</v>
      </c>
      <c r="F44" s="35">
        <f t="shared" si="1"/>
        <v>0</v>
      </c>
    </row>
    <row r="45" spans="1:6" x14ac:dyDescent="0.25">
      <c r="A45">
        <v>4.3499999999999997E-2</v>
      </c>
      <c r="B45" s="2">
        <v>8.14E-2</v>
      </c>
      <c r="C45" s="2">
        <v>0.35299999999999998</v>
      </c>
      <c r="D45" s="2">
        <v>-17.18</v>
      </c>
      <c r="E45" s="35">
        <f t="shared" si="0"/>
        <v>0</v>
      </c>
      <c r="F45" s="35">
        <f t="shared" si="1"/>
        <v>0</v>
      </c>
    </row>
    <row r="46" spans="1:6" x14ac:dyDescent="0.25">
      <c r="A46">
        <v>4.5499999999999999E-2</v>
      </c>
      <c r="B46" s="2">
        <v>7.8070000000000001E-2</v>
      </c>
      <c r="C46" s="2">
        <v>0.35299999999999998</v>
      </c>
      <c r="D46" s="2">
        <v>-17.010000000000002</v>
      </c>
      <c r="E46" s="35">
        <f t="shared" si="0"/>
        <v>0</v>
      </c>
      <c r="F46" s="35">
        <f t="shared" si="1"/>
        <v>0</v>
      </c>
    </row>
    <row r="47" spans="1:6" x14ac:dyDescent="0.25">
      <c r="A47">
        <v>4.7500000000000001E-2</v>
      </c>
      <c r="B47" s="2">
        <v>7.9439999999999997E-2</v>
      </c>
      <c r="C47" s="2">
        <v>0.35299999999999998</v>
      </c>
      <c r="D47" s="2">
        <v>-16.84</v>
      </c>
      <c r="E47" s="35">
        <f t="shared" si="0"/>
        <v>0</v>
      </c>
      <c r="F47" s="35">
        <f t="shared" si="1"/>
        <v>0</v>
      </c>
    </row>
    <row r="48" spans="1:6" x14ac:dyDescent="0.25">
      <c r="A48">
        <v>4.9500000000000002E-2</v>
      </c>
      <c r="B48" s="2">
        <v>8.1070000000000003E-2</v>
      </c>
      <c r="C48" s="2">
        <v>0.35299999999999998</v>
      </c>
      <c r="D48" s="2">
        <v>-16.68</v>
      </c>
      <c r="E48" s="35">
        <f t="shared" si="0"/>
        <v>0</v>
      </c>
      <c r="F48" s="35">
        <f t="shared" si="1"/>
        <v>0</v>
      </c>
    </row>
    <row r="49" spans="1:6" x14ac:dyDescent="0.25">
      <c r="A49">
        <v>5.1499999999999997E-2</v>
      </c>
      <c r="B49" s="2">
        <v>8.1470000000000001E-2</v>
      </c>
      <c r="C49" s="2">
        <v>0.35299999999999998</v>
      </c>
      <c r="D49" s="2">
        <v>-16.52</v>
      </c>
      <c r="E49" s="35">
        <f t="shared" si="0"/>
        <v>0</v>
      </c>
      <c r="F49" s="35">
        <f t="shared" si="1"/>
        <v>0</v>
      </c>
    </row>
    <row r="50" spans="1:6" x14ac:dyDescent="0.25">
      <c r="A50">
        <v>5.3499999999999999E-2</v>
      </c>
      <c r="B50" s="2">
        <v>8.2040000000000002E-2</v>
      </c>
      <c r="C50" s="2">
        <v>0.35299999999999998</v>
      </c>
      <c r="D50" s="2">
        <v>-16.36</v>
      </c>
      <c r="E50" s="35">
        <f t="shared" si="0"/>
        <v>0</v>
      </c>
      <c r="F50" s="35">
        <f t="shared" si="1"/>
        <v>0</v>
      </c>
    </row>
    <row r="51" spans="1:6" x14ac:dyDescent="0.25">
      <c r="A51">
        <v>5.5500000000000001E-2</v>
      </c>
      <c r="B51" s="2">
        <v>8.5220000000000004E-2</v>
      </c>
      <c r="C51" s="2">
        <v>0.35299999999999998</v>
      </c>
      <c r="D51" s="2">
        <v>-16.2</v>
      </c>
      <c r="E51" s="35">
        <f t="shared" si="0"/>
        <v>0</v>
      </c>
      <c r="F51" s="35">
        <f t="shared" si="1"/>
        <v>0</v>
      </c>
    </row>
    <row r="52" spans="1:6" x14ac:dyDescent="0.25">
      <c r="A52">
        <v>5.7500000000000002E-2</v>
      </c>
      <c r="B52" s="2">
        <v>9.1130000000000003E-2</v>
      </c>
      <c r="C52" s="2">
        <v>0.35299999999999998</v>
      </c>
      <c r="D52" s="2">
        <v>-16.05</v>
      </c>
      <c r="E52" s="35">
        <f t="shared" si="0"/>
        <v>0</v>
      </c>
      <c r="F52" s="35">
        <f t="shared" si="1"/>
        <v>0</v>
      </c>
    </row>
    <row r="53" spans="1:6" x14ac:dyDescent="0.25">
      <c r="A53">
        <v>5.9499999999999997E-2</v>
      </c>
      <c r="B53" s="2">
        <v>9.493E-2</v>
      </c>
      <c r="C53" s="2">
        <v>0.35299999999999998</v>
      </c>
      <c r="D53" s="2">
        <v>-15.9</v>
      </c>
      <c r="E53" s="35">
        <f t="shared" si="0"/>
        <v>0</v>
      </c>
      <c r="F53" s="35">
        <f t="shared" si="1"/>
        <v>0</v>
      </c>
    </row>
    <row r="54" spans="1:6" x14ac:dyDescent="0.25">
      <c r="A54">
        <v>6.1499999999999999E-2</v>
      </c>
      <c r="B54" s="2">
        <v>9.8360000000000003E-2</v>
      </c>
      <c r="C54" s="2">
        <v>0.35299999999999998</v>
      </c>
      <c r="D54" s="2">
        <v>-15.75</v>
      </c>
      <c r="E54" s="35">
        <f t="shared" si="0"/>
        <v>0</v>
      </c>
      <c r="F54" s="35">
        <f t="shared" si="1"/>
        <v>0</v>
      </c>
    </row>
    <row r="55" spans="1:6" x14ac:dyDescent="0.25">
      <c r="A55">
        <v>6.3500000000000001E-2</v>
      </c>
      <c r="B55" s="2">
        <v>0.1026</v>
      </c>
      <c r="C55" s="2">
        <v>0.35299999999999998</v>
      </c>
      <c r="D55" s="2">
        <v>-15.6</v>
      </c>
      <c r="E55" s="35">
        <f t="shared" si="0"/>
        <v>0</v>
      </c>
      <c r="F55" s="35">
        <f t="shared" si="1"/>
        <v>0</v>
      </c>
    </row>
    <row r="56" spans="1:6" x14ac:dyDescent="0.25">
      <c r="A56">
        <v>6.5500000000000003E-2</v>
      </c>
      <c r="B56" s="2">
        <v>0.1086</v>
      </c>
      <c r="C56" s="2">
        <v>0.35299999999999998</v>
      </c>
      <c r="D56" s="2">
        <v>-15.45</v>
      </c>
      <c r="E56" s="35">
        <f t="shared" si="0"/>
        <v>0</v>
      </c>
      <c r="F56" s="35">
        <f t="shared" si="1"/>
        <v>0</v>
      </c>
    </row>
    <row r="57" spans="1:6" x14ac:dyDescent="0.25">
      <c r="A57">
        <v>6.7500000000000004E-2</v>
      </c>
      <c r="B57" s="2">
        <v>0.1115</v>
      </c>
      <c r="C57" s="2">
        <v>0.35299999999999998</v>
      </c>
      <c r="D57" s="2">
        <v>-15.3</v>
      </c>
      <c r="E57" s="35">
        <f t="shared" si="0"/>
        <v>0</v>
      </c>
      <c r="F57" s="35">
        <f t="shared" si="1"/>
        <v>0</v>
      </c>
    </row>
    <row r="58" spans="1:6" x14ac:dyDescent="0.25">
      <c r="A58">
        <v>6.9500000000000006E-2</v>
      </c>
      <c r="B58" s="2">
        <v>0.10929999999999999</v>
      </c>
      <c r="C58" s="2">
        <v>0.35299999999999998</v>
      </c>
      <c r="D58" s="2">
        <v>-15.15</v>
      </c>
      <c r="E58" s="35">
        <f t="shared" si="0"/>
        <v>0</v>
      </c>
      <c r="F58" s="35">
        <f t="shared" si="1"/>
        <v>0</v>
      </c>
    </row>
    <row r="59" spans="1:6" x14ac:dyDescent="0.25">
      <c r="A59">
        <v>7.1499999999999994E-2</v>
      </c>
      <c r="B59" s="2">
        <v>0.1074</v>
      </c>
      <c r="C59" s="2">
        <v>0.35299999999999998</v>
      </c>
      <c r="D59" s="2">
        <v>-15</v>
      </c>
      <c r="E59" s="35">
        <f t="shared" si="0"/>
        <v>0</v>
      </c>
      <c r="F59" s="35">
        <f t="shared" si="1"/>
        <v>0</v>
      </c>
    </row>
    <row r="60" spans="1:6" x14ac:dyDescent="0.25">
      <c r="A60">
        <v>7.3499999999999996E-2</v>
      </c>
      <c r="B60" s="2">
        <v>0.1069</v>
      </c>
      <c r="C60" s="2">
        <v>0.35299999999999998</v>
      </c>
      <c r="D60" s="2">
        <v>-14.84</v>
      </c>
      <c r="E60" s="35">
        <f t="shared" si="0"/>
        <v>0</v>
      </c>
      <c r="F60" s="35">
        <f t="shared" si="1"/>
        <v>0</v>
      </c>
    </row>
    <row r="61" spans="1:6" x14ac:dyDescent="0.25">
      <c r="A61">
        <v>7.5499999999999998E-2</v>
      </c>
      <c r="B61">
        <v>0.10539999999999999</v>
      </c>
      <c r="C61" s="2">
        <v>0.35299999999999998</v>
      </c>
      <c r="D61" s="2">
        <v>-14.68</v>
      </c>
      <c r="E61" s="35">
        <f t="shared" si="0"/>
        <v>0</v>
      </c>
      <c r="F61" s="35">
        <f t="shared" si="1"/>
        <v>0</v>
      </c>
    </row>
    <row r="62" spans="1:6" x14ac:dyDescent="0.25">
      <c r="A62">
        <v>7.7499999999999999E-2</v>
      </c>
      <c r="B62">
        <v>0.1003</v>
      </c>
      <c r="C62" s="2">
        <v>0.35299999999999998</v>
      </c>
      <c r="D62" s="2">
        <v>-14.52</v>
      </c>
      <c r="E62" s="35">
        <f t="shared" si="0"/>
        <v>0</v>
      </c>
      <c r="F62" s="35">
        <f t="shared" si="1"/>
        <v>0</v>
      </c>
    </row>
    <row r="63" spans="1:6" x14ac:dyDescent="0.25">
      <c r="A63">
        <v>7.9500000000000001E-2</v>
      </c>
      <c r="B63" s="2">
        <v>9.7140000000000004E-2</v>
      </c>
      <c r="C63" s="2">
        <v>0.35299999999999998</v>
      </c>
      <c r="D63" s="2">
        <v>-14.36</v>
      </c>
      <c r="E63" s="35">
        <f t="shared" si="0"/>
        <v>0</v>
      </c>
      <c r="F63" s="35">
        <f t="shared" si="1"/>
        <v>0</v>
      </c>
    </row>
    <row r="64" spans="1:6" x14ac:dyDescent="0.25">
      <c r="A64">
        <v>8.1500000000000003E-2</v>
      </c>
      <c r="B64" s="2">
        <v>9.7439999999999999E-2</v>
      </c>
      <c r="C64" s="2">
        <v>0.35299999999999998</v>
      </c>
      <c r="D64" s="2">
        <v>-14.2</v>
      </c>
      <c r="E64" s="35">
        <f t="shared" si="0"/>
        <v>0</v>
      </c>
      <c r="F64" s="35">
        <f t="shared" si="1"/>
        <v>0</v>
      </c>
    </row>
    <row r="65" spans="1:6" x14ac:dyDescent="0.25">
      <c r="A65">
        <v>8.3500000000000005E-2</v>
      </c>
      <c r="B65" s="2">
        <v>9.604E-2</v>
      </c>
      <c r="C65" s="2">
        <v>0.35909999999999997</v>
      </c>
      <c r="D65" s="2">
        <v>-14.03</v>
      </c>
      <c r="E65" s="35">
        <f t="shared" si="0"/>
        <v>0</v>
      </c>
      <c r="F65" s="35">
        <f t="shared" si="1"/>
        <v>0</v>
      </c>
    </row>
    <row r="66" spans="1:6" x14ac:dyDescent="0.25">
      <c r="A66">
        <v>8.5500000000000007E-2</v>
      </c>
      <c r="B66" s="2">
        <v>9.3619999999999995E-2</v>
      </c>
      <c r="C66" s="2">
        <v>0.35909999999999997</v>
      </c>
      <c r="D66" s="2">
        <v>-13.87</v>
      </c>
      <c r="E66" s="35">
        <f t="shared" si="0"/>
        <v>0</v>
      </c>
      <c r="F66" s="35">
        <f t="shared" si="1"/>
        <v>0</v>
      </c>
    </row>
    <row r="67" spans="1:6" x14ac:dyDescent="0.25">
      <c r="A67">
        <v>8.7499999999999994E-2</v>
      </c>
      <c r="B67" s="2">
        <v>9.4479999999999995E-2</v>
      </c>
      <c r="C67" s="2">
        <v>0.35909999999999997</v>
      </c>
      <c r="D67" s="2">
        <v>-13.71</v>
      </c>
      <c r="E67" s="35">
        <f t="shared" si="0"/>
        <v>0</v>
      </c>
      <c r="F67" s="35">
        <f t="shared" si="1"/>
        <v>0</v>
      </c>
    </row>
    <row r="68" spans="1:6" x14ac:dyDescent="0.25">
      <c r="A68">
        <v>8.9499999999999996E-2</v>
      </c>
      <c r="B68">
        <v>9.9390000000000006E-2</v>
      </c>
      <c r="C68" s="2">
        <v>0.35909999999999997</v>
      </c>
      <c r="D68" s="2">
        <v>-13.55</v>
      </c>
      <c r="E68" s="35">
        <f t="shared" si="0"/>
        <v>0</v>
      </c>
      <c r="F68" s="35">
        <f t="shared" si="1"/>
        <v>0</v>
      </c>
    </row>
    <row r="69" spans="1:6" x14ac:dyDescent="0.25">
      <c r="A69">
        <v>9.1499999999999998E-2</v>
      </c>
      <c r="B69">
        <v>0.104</v>
      </c>
      <c r="C69" s="2">
        <v>0.35909999999999997</v>
      </c>
      <c r="D69" s="2">
        <v>-13.39</v>
      </c>
      <c r="E69" s="35">
        <f t="shared" ref="E69:E132" si="2">IF(B69=MEDIAN($J$1-0.05,$J$1+0.05,B69),B69,0)</f>
        <v>0</v>
      </c>
      <c r="F69" s="35">
        <f t="shared" ref="F69:F132" si="3">IF(E69=0,0,D69)</f>
        <v>0</v>
      </c>
    </row>
    <row r="70" spans="1:6" x14ac:dyDescent="0.25">
      <c r="A70">
        <v>9.35E-2</v>
      </c>
      <c r="B70">
        <v>0.1066</v>
      </c>
      <c r="C70" s="2">
        <v>0.35909999999999997</v>
      </c>
      <c r="D70" s="2">
        <v>-13.24</v>
      </c>
      <c r="E70" s="35">
        <f t="shared" si="2"/>
        <v>0</v>
      </c>
      <c r="F70" s="35">
        <f t="shared" si="3"/>
        <v>0</v>
      </c>
    </row>
    <row r="71" spans="1:6" x14ac:dyDescent="0.25">
      <c r="A71">
        <v>9.5500000000000002E-2</v>
      </c>
      <c r="B71">
        <v>0.10780000000000001</v>
      </c>
      <c r="C71" s="2">
        <v>0.35909999999999997</v>
      </c>
      <c r="D71" s="2">
        <v>-13.08</v>
      </c>
      <c r="E71" s="35">
        <f t="shared" si="2"/>
        <v>0</v>
      </c>
      <c r="F71" s="35">
        <f t="shared" si="3"/>
        <v>0</v>
      </c>
    </row>
    <row r="72" spans="1:6" x14ac:dyDescent="0.25">
      <c r="A72">
        <v>9.7500000000000003E-2</v>
      </c>
      <c r="B72">
        <v>0.1094</v>
      </c>
      <c r="C72" s="2">
        <v>0.35909999999999997</v>
      </c>
      <c r="D72" s="2">
        <v>-12.93</v>
      </c>
      <c r="E72" s="35">
        <f t="shared" si="2"/>
        <v>0</v>
      </c>
      <c r="F72" s="35">
        <f t="shared" si="3"/>
        <v>0</v>
      </c>
    </row>
    <row r="73" spans="1:6" x14ac:dyDescent="0.25">
      <c r="A73">
        <v>9.9500000000000005E-2</v>
      </c>
      <c r="B73" s="2">
        <v>0.10920000000000001</v>
      </c>
      <c r="C73" s="2">
        <v>0.35909999999999997</v>
      </c>
      <c r="D73" s="2">
        <v>-12.77</v>
      </c>
      <c r="E73" s="35">
        <f t="shared" si="2"/>
        <v>0</v>
      </c>
      <c r="F73" s="35">
        <f t="shared" si="3"/>
        <v>0</v>
      </c>
    </row>
    <row r="74" spans="1:6" x14ac:dyDescent="0.25">
      <c r="A74">
        <v>0.10150000000000001</v>
      </c>
      <c r="B74" s="2">
        <v>0.1081</v>
      </c>
      <c r="C74" s="2">
        <v>0.35909999999999997</v>
      </c>
      <c r="D74" s="2">
        <v>-12.61</v>
      </c>
      <c r="E74" s="35">
        <f t="shared" si="2"/>
        <v>0</v>
      </c>
      <c r="F74" s="35">
        <f t="shared" si="3"/>
        <v>0</v>
      </c>
    </row>
    <row r="75" spans="1:6" x14ac:dyDescent="0.25">
      <c r="A75">
        <v>0.10349999999999999</v>
      </c>
      <c r="B75" s="2">
        <v>0.1077</v>
      </c>
      <c r="C75" s="2">
        <v>0.35909999999999997</v>
      </c>
      <c r="D75" s="2">
        <v>-12.42</v>
      </c>
      <c r="E75" s="35">
        <f t="shared" si="2"/>
        <v>0</v>
      </c>
      <c r="F75" s="35">
        <f t="shared" si="3"/>
        <v>0</v>
      </c>
    </row>
    <row r="76" spans="1:6" x14ac:dyDescent="0.25">
      <c r="A76">
        <v>0.1055</v>
      </c>
      <c r="B76" s="2">
        <v>0.1119</v>
      </c>
      <c r="C76" s="2">
        <v>0.35909999999999997</v>
      </c>
      <c r="D76" s="2">
        <v>-12.23</v>
      </c>
      <c r="E76" s="35">
        <f t="shared" si="2"/>
        <v>0</v>
      </c>
      <c r="F76" s="35">
        <f t="shared" si="3"/>
        <v>0</v>
      </c>
    </row>
    <row r="77" spans="1:6" x14ac:dyDescent="0.25">
      <c r="A77">
        <v>0.1075</v>
      </c>
      <c r="B77" s="2">
        <v>0.1177</v>
      </c>
      <c r="C77" s="2">
        <v>0.35909999999999997</v>
      </c>
      <c r="D77" s="2">
        <v>-12.04</v>
      </c>
      <c r="E77" s="35">
        <f t="shared" si="2"/>
        <v>0</v>
      </c>
      <c r="F77" s="35">
        <f t="shared" si="3"/>
        <v>0</v>
      </c>
    </row>
    <row r="78" spans="1:6" x14ac:dyDescent="0.25">
      <c r="A78">
        <v>0.1095</v>
      </c>
      <c r="B78" s="2">
        <v>0.12089999999999999</v>
      </c>
      <c r="C78" s="2">
        <v>0.35909999999999997</v>
      </c>
      <c r="D78" s="2">
        <v>-11.86</v>
      </c>
      <c r="E78" s="35">
        <f t="shared" si="2"/>
        <v>0</v>
      </c>
      <c r="F78" s="35">
        <f t="shared" si="3"/>
        <v>0</v>
      </c>
    </row>
    <row r="79" spans="1:6" x14ac:dyDescent="0.25">
      <c r="A79">
        <v>0.1115</v>
      </c>
      <c r="B79" s="2">
        <v>0.1245</v>
      </c>
      <c r="C79" s="2">
        <v>0.35909999999999997</v>
      </c>
      <c r="D79" s="2">
        <v>-11.68</v>
      </c>
      <c r="E79" s="35">
        <f t="shared" si="2"/>
        <v>0</v>
      </c>
      <c r="F79" s="35">
        <f t="shared" si="3"/>
        <v>0</v>
      </c>
    </row>
    <row r="80" spans="1:6" x14ac:dyDescent="0.25">
      <c r="A80">
        <v>0.1135</v>
      </c>
      <c r="B80" s="2">
        <v>0.12909999999999999</v>
      </c>
      <c r="C80" s="2">
        <v>0.35909999999999997</v>
      </c>
      <c r="D80" s="2">
        <v>-11.51</v>
      </c>
      <c r="E80" s="35">
        <f t="shared" si="2"/>
        <v>0</v>
      </c>
      <c r="F80" s="35">
        <f t="shared" si="3"/>
        <v>0</v>
      </c>
    </row>
    <row r="81" spans="1:6" x14ac:dyDescent="0.25">
      <c r="A81">
        <v>0.11550000000000001</v>
      </c>
      <c r="B81" s="2">
        <v>0.13289999999999999</v>
      </c>
      <c r="C81" s="2">
        <v>0.35909999999999997</v>
      </c>
      <c r="D81" s="2">
        <v>-11.34</v>
      </c>
      <c r="E81" s="35">
        <f t="shared" si="2"/>
        <v>0</v>
      </c>
      <c r="F81" s="35">
        <f t="shared" si="3"/>
        <v>0</v>
      </c>
    </row>
    <row r="82" spans="1:6" x14ac:dyDescent="0.25">
      <c r="A82">
        <v>0.11749999999999999</v>
      </c>
      <c r="B82" s="2">
        <v>0.1323</v>
      </c>
      <c r="C82" s="2">
        <v>0.35909999999999997</v>
      </c>
      <c r="D82" s="2">
        <v>-11.18</v>
      </c>
      <c r="E82" s="35">
        <f t="shared" si="2"/>
        <v>0</v>
      </c>
      <c r="F82" s="35">
        <f t="shared" si="3"/>
        <v>0</v>
      </c>
    </row>
    <row r="83" spans="1:6" x14ac:dyDescent="0.25">
      <c r="A83">
        <v>0.1195</v>
      </c>
      <c r="B83">
        <v>0.13089999999999999</v>
      </c>
      <c r="C83" s="2">
        <v>0.35909999999999997</v>
      </c>
      <c r="D83" s="2">
        <v>-11.02</v>
      </c>
      <c r="E83" s="35">
        <f t="shared" si="2"/>
        <v>0</v>
      </c>
      <c r="F83" s="35">
        <f t="shared" si="3"/>
        <v>0</v>
      </c>
    </row>
    <row r="84" spans="1:6" x14ac:dyDescent="0.25">
      <c r="A84">
        <v>0.1225</v>
      </c>
      <c r="B84" s="2">
        <v>0.1278</v>
      </c>
      <c r="C84" s="2">
        <v>0.35909999999999997</v>
      </c>
      <c r="D84" s="2">
        <v>-10.77</v>
      </c>
      <c r="E84" s="35">
        <f t="shared" si="2"/>
        <v>0</v>
      </c>
      <c r="F84" s="35">
        <f t="shared" si="3"/>
        <v>0</v>
      </c>
    </row>
    <row r="85" spans="1:6" x14ac:dyDescent="0.25">
      <c r="A85">
        <v>0.1265</v>
      </c>
      <c r="B85" s="2">
        <v>0.1145</v>
      </c>
      <c r="C85" s="2">
        <v>0.35909999999999997</v>
      </c>
      <c r="D85" s="2">
        <v>-10.43</v>
      </c>
      <c r="E85" s="35">
        <f t="shared" si="2"/>
        <v>0</v>
      </c>
      <c r="F85" s="35">
        <f t="shared" si="3"/>
        <v>0</v>
      </c>
    </row>
    <row r="86" spans="1:6" x14ac:dyDescent="0.25">
      <c r="A86">
        <v>0.1305</v>
      </c>
      <c r="B86" s="2">
        <v>0.1002</v>
      </c>
      <c r="C86" s="2">
        <v>0.35909999999999997</v>
      </c>
      <c r="D86" s="2">
        <v>-10.06</v>
      </c>
      <c r="E86" s="35">
        <f t="shared" si="2"/>
        <v>0</v>
      </c>
      <c r="F86" s="35">
        <f t="shared" si="3"/>
        <v>0</v>
      </c>
    </row>
    <row r="87" spans="1:6" x14ac:dyDescent="0.25">
      <c r="A87">
        <v>0.13450000000000001</v>
      </c>
      <c r="B87" s="2">
        <v>9.5399999999999999E-2</v>
      </c>
      <c r="C87" s="2">
        <v>0.35909999999999997</v>
      </c>
      <c r="D87" s="2">
        <v>-9.6989999999999998</v>
      </c>
      <c r="E87" s="35">
        <f t="shared" si="2"/>
        <v>0</v>
      </c>
      <c r="F87" s="35">
        <f t="shared" si="3"/>
        <v>0</v>
      </c>
    </row>
    <row r="88" spans="1:6" x14ac:dyDescent="0.25">
      <c r="A88">
        <v>0.13850000000000001</v>
      </c>
      <c r="B88" s="2">
        <v>0.1022</v>
      </c>
      <c r="C88" s="2">
        <v>0.35909999999999997</v>
      </c>
      <c r="D88" s="2">
        <v>-9.35</v>
      </c>
      <c r="E88" s="35">
        <f t="shared" si="2"/>
        <v>0</v>
      </c>
      <c r="F88" s="35">
        <f t="shared" si="3"/>
        <v>0</v>
      </c>
    </row>
    <row r="89" spans="1:6" x14ac:dyDescent="0.25">
      <c r="A89">
        <v>0.14249999999999999</v>
      </c>
      <c r="B89" s="2">
        <v>0.11269999999999999</v>
      </c>
      <c r="C89" s="2">
        <v>0.35909999999999997</v>
      </c>
      <c r="D89" s="2">
        <v>-9.0250000000000004</v>
      </c>
      <c r="E89" s="35">
        <f t="shared" si="2"/>
        <v>0</v>
      </c>
      <c r="F89" s="35">
        <f t="shared" si="3"/>
        <v>0</v>
      </c>
    </row>
    <row r="90" spans="1:6" x14ac:dyDescent="0.25">
      <c r="A90">
        <v>0.14649999999999999</v>
      </c>
      <c r="B90" s="2">
        <v>0.1181</v>
      </c>
      <c r="C90" s="2">
        <v>0.35909999999999997</v>
      </c>
      <c r="D90" s="2">
        <v>-8.7040000000000006</v>
      </c>
      <c r="E90" s="35">
        <f t="shared" si="2"/>
        <v>0</v>
      </c>
      <c r="F90" s="35">
        <f t="shared" si="3"/>
        <v>0</v>
      </c>
    </row>
    <row r="91" spans="1:6" x14ac:dyDescent="0.25">
      <c r="A91">
        <v>0.15049999999999999</v>
      </c>
      <c r="B91" s="2">
        <v>0.12139999999999999</v>
      </c>
      <c r="C91" s="2">
        <v>0.35909999999999997</v>
      </c>
      <c r="D91" s="2">
        <v>-8.3840000000000003</v>
      </c>
      <c r="E91" s="35">
        <f t="shared" si="2"/>
        <v>0</v>
      </c>
      <c r="F91" s="35">
        <f t="shared" si="3"/>
        <v>0</v>
      </c>
    </row>
    <row r="92" spans="1:6" x14ac:dyDescent="0.25">
      <c r="A92">
        <v>0.1545</v>
      </c>
      <c r="B92" s="2">
        <v>0.12330000000000001</v>
      </c>
      <c r="C92" s="2">
        <v>0.35909999999999997</v>
      </c>
      <c r="D92" s="2">
        <v>-8.0579999999999998</v>
      </c>
      <c r="E92" s="35">
        <f t="shared" si="2"/>
        <v>0</v>
      </c>
      <c r="F92" s="35">
        <f t="shared" si="3"/>
        <v>0</v>
      </c>
    </row>
    <row r="93" spans="1:6" x14ac:dyDescent="0.25">
      <c r="A93">
        <v>0.1585</v>
      </c>
      <c r="B93" s="2">
        <v>0.124</v>
      </c>
      <c r="C93" s="2">
        <v>0.35909999999999997</v>
      </c>
      <c r="D93" s="2">
        <v>-7.7329999999999997</v>
      </c>
      <c r="E93" s="35">
        <f t="shared" si="2"/>
        <v>0</v>
      </c>
      <c r="F93" s="35">
        <f t="shared" si="3"/>
        <v>0</v>
      </c>
    </row>
    <row r="94" spans="1:6" x14ac:dyDescent="0.25">
      <c r="A94">
        <v>0.16250000000000001</v>
      </c>
      <c r="B94" s="2">
        <v>0.12330000000000001</v>
      </c>
      <c r="C94" s="2">
        <v>0.35909999999999997</v>
      </c>
      <c r="D94" s="2">
        <v>-7.4029999999999996</v>
      </c>
      <c r="E94" s="35">
        <f t="shared" si="2"/>
        <v>0</v>
      </c>
      <c r="F94" s="35">
        <f t="shared" si="3"/>
        <v>0</v>
      </c>
    </row>
    <row r="95" spans="1:6" x14ac:dyDescent="0.25">
      <c r="A95">
        <v>0.16650000000000001</v>
      </c>
      <c r="B95" s="2">
        <v>0.1255</v>
      </c>
      <c r="C95" s="2">
        <v>0.35909999999999997</v>
      </c>
      <c r="D95" s="2">
        <v>-7.0739999999999998</v>
      </c>
      <c r="E95" s="35">
        <f t="shared" si="2"/>
        <v>0</v>
      </c>
      <c r="F95" s="35">
        <f t="shared" si="3"/>
        <v>0</v>
      </c>
    </row>
    <row r="96" spans="1:6" x14ac:dyDescent="0.25">
      <c r="A96">
        <v>0.17050000000000001</v>
      </c>
      <c r="B96" s="2">
        <v>0.12239999999999999</v>
      </c>
      <c r="C96" s="2">
        <v>0.35909999999999997</v>
      </c>
      <c r="D96" s="2">
        <v>-6.7439999999999998</v>
      </c>
      <c r="E96" s="35">
        <f t="shared" si="2"/>
        <v>0</v>
      </c>
      <c r="F96" s="35">
        <f t="shared" si="3"/>
        <v>0</v>
      </c>
    </row>
    <row r="97" spans="1:6" x14ac:dyDescent="0.25">
      <c r="A97">
        <v>0.17449999999999999</v>
      </c>
      <c r="B97" s="2">
        <v>0.1182</v>
      </c>
      <c r="C97" s="2">
        <v>0.35909999999999997</v>
      </c>
      <c r="D97" s="2">
        <v>-6.4080000000000004</v>
      </c>
      <c r="E97" s="35">
        <f t="shared" si="2"/>
        <v>0</v>
      </c>
      <c r="F97" s="35">
        <f t="shared" si="3"/>
        <v>0</v>
      </c>
    </row>
    <row r="98" spans="1:6" x14ac:dyDescent="0.25">
      <c r="A98">
        <v>0.17849999999999999</v>
      </c>
      <c r="B98" s="2">
        <v>0.1105</v>
      </c>
      <c r="C98" s="2">
        <v>0.35909999999999997</v>
      </c>
      <c r="D98" s="2">
        <v>-6.0629999999999997</v>
      </c>
      <c r="E98" s="35">
        <f t="shared" si="2"/>
        <v>0</v>
      </c>
      <c r="F98" s="35">
        <f t="shared" si="3"/>
        <v>0</v>
      </c>
    </row>
    <row r="99" spans="1:6" x14ac:dyDescent="0.25">
      <c r="A99">
        <v>0.1825</v>
      </c>
      <c r="B99" s="2">
        <v>0.1103</v>
      </c>
      <c r="C99" s="2">
        <v>0.35909999999999997</v>
      </c>
      <c r="D99" s="2">
        <v>-5.7169999999999996</v>
      </c>
      <c r="E99" s="35">
        <f t="shared" si="2"/>
        <v>0</v>
      </c>
      <c r="F99" s="35">
        <f t="shared" si="3"/>
        <v>0</v>
      </c>
    </row>
    <row r="100" spans="1:6" x14ac:dyDescent="0.25">
      <c r="A100">
        <v>0.1865</v>
      </c>
      <c r="B100" s="2">
        <v>0.1125</v>
      </c>
      <c r="C100" s="2">
        <v>0.35909999999999997</v>
      </c>
      <c r="D100" s="2">
        <v>-5.38</v>
      </c>
      <c r="E100" s="35">
        <f t="shared" si="2"/>
        <v>0</v>
      </c>
      <c r="F100" s="35">
        <f t="shared" si="3"/>
        <v>0</v>
      </c>
    </row>
    <row r="101" spans="1:6" x14ac:dyDescent="0.25">
      <c r="A101">
        <v>0.1905</v>
      </c>
      <c r="B101" s="2">
        <v>0.1174</v>
      </c>
      <c r="C101" s="2">
        <v>0.35909999999999997</v>
      </c>
      <c r="D101" s="2">
        <v>-5.05</v>
      </c>
      <c r="E101" s="35">
        <f t="shared" si="2"/>
        <v>0</v>
      </c>
      <c r="F101" s="35">
        <f t="shared" si="3"/>
        <v>0</v>
      </c>
    </row>
    <row r="102" spans="1:6" x14ac:dyDescent="0.25">
      <c r="A102">
        <v>0.19450000000000001</v>
      </c>
      <c r="B102" s="2">
        <v>0.1143</v>
      </c>
      <c r="C102" s="2">
        <v>0.35909999999999997</v>
      </c>
      <c r="D102" s="2">
        <v>-4.72</v>
      </c>
      <c r="E102" s="35">
        <f t="shared" si="2"/>
        <v>0</v>
      </c>
      <c r="F102" s="35">
        <f t="shared" si="3"/>
        <v>0</v>
      </c>
    </row>
    <row r="103" spans="1:6" x14ac:dyDescent="0.25">
      <c r="A103">
        <v>0.19850000000000001</v>
      </c>
      <c r="B103" s="2">
        <v>0.1167</v>
      </c>
      <c r="C103" s="2">
        <v>0.35909999999999997</v>
      </c>
      <c r="D103" s="2">
        <v>-4.3849999999999998</v>
      </c>
      <c r="E103" s="35">
        <f t="shared" si="2"/>
        <v>0</v>
      </c>
      <c r="F103" s="35">
        <f t="shared" si="3"/>
        <v>0</v>
      </c>
    </row>
    <row r="104" spans="1:6" x14ac:dyDescent="0.25">
      <c r="A104">
        <v>0.20250000000000001</v>
      </c>
      <c r="B104" s="2">
        <v>0.1133</v>
      </c>
      <c r="C104" s="2">
        <v>0.35909999999999997</v>
      </c>
      <c r="D104" s="2">
        <v>-4.0519999999999996</v>
      </c>
      <c r="E104" s="35">
        <f t="shared" si="2"/>
        <v>0</v>
      </c>
      <c r="F104" s="35">
        <f t="shared" si="3"/>
        <v>0</v>
      </c>
    </row>
    <row r="105" spans="1:6" x14ac:dyDescent="0.25">
      <c r="A105">
        <v>0.20649999999999999</v>
      </c>
      <c r="B105" s="2">
        <v>0.1166</v>
      </c>
      <c r="C105" s="2">
        <v>0.35909999999999997</v>
      </c>
      <c r="D105" s="2">
        <v>-3.7149999999999999</v>
      </c>
      <c r="E105" s="35">
        <f t="shared" si="2"/>
        <v>0</v>
      </c>
      <c r="F105" s="35">
        <f t="shared" si="3"/>
        <v>0</v>
      </c>
    </row>
    <row r="106" spans="1:6" x14ac:dyDescent="0.25">
      <c r="A106">
        <v>0.21049999999999999</v>
      </c>
      <c r="B106" s="2">
        <v>0.1216</v>
      </c>
      <c r="C106" s="2">
        <v>0.35909999999999997</v>
      </c>
      <c r="D106" s="2">
        <v>-3.3879999999999999</v>
      </c>
      <c r="E106" s="35">
        <f t="shared" si="2"/>
        <v>0</v>
      </c>
      <c r="F106" s="35">
        <f t="shared" si="3"/>
        <v>0</v>
      </c>
    </row>
    <row r="107" spans="1:6" x14ac:dyDescent="0.25">
      <c r="A107">
        <v>0.2145</v>
      </c>
      <c r="B107" s="2">
        <v>0.1303</v>
      </c>
      <c r="C107" s="2">
        <v>0.35909999999999997</v>
      </c>
      <c r="D107" s="2">
        <v>-3.069</v>
      </c>
      <c r="E107" s="35">
        <f t="shared" si="2"/>
        <v>0</v>
      </c>
      <c r="F107" s="35">
        <f t="shared" si="3"/>
        <v>0</v>
      </c>
    </row>
    <row r="108" spans="1:6" x14ac:dyDescent="0.25">
      <c r="A108">
        <v>0.2185</v>
      </c>
      <c r="B108" s="2">
        <v>0.13320000000000001</v>
      </c>
      <c r="C108" s="2">
        <v>0.35909999999999997</v>
      </c>
      <c r="D108" s="2">
        <v>-2.7549999999999999</v>
      </c>
      <c r="E108" s="35">
        <f t="shared" si="2"/>
        <v>0</v>
      </c>
      <c r="F108" s="35">
        <f t="shared" si="3"/>
        <v>0</v>
      </c>
    </row>
    <row r="109" spans="1:6" x14ac:dyDescent="0.25">
      <c r="A109">
        <v>0.2225</v>
      </c>
      <c r="B109" s="2">
        <v>0.1293</v>
      </c>
      <c r="C109" s="2">
        <v>0.35909999999999997</v>
      </c>
      <c r="D109" s="2">
        <v>-2.4289999999999998</v>
      </c>
      <c r="E109" s="35">
        <f t="shared" si="2"/>
        <v>0</v>
      </c>
      <c r="F109" s="35">
        <f t="shared" si="3"/>
        <v>0</v>
      </c>
    </row>
    <row r="110" spans="1:6" x14ac:dyDescent="0.25">
      <c r="A110">
        <v>0.22650000000000001</v>
      </c>
      <c r="B110" s="2">
        <v>0.12479999999999999</v>
      </c>
      <c r="C110" s="2">
        <v>0.35909999999999997</v>
      </c>
      <c r="D110" s="2">
        <v>-2.097</v>
      </c>
      <c r="E110" s="35">
        <f t="shared" si="2"/>
        <v>0</v>
      </c>
      <c r="F110" s="35">
        <f t="shared" si="3"/>
        <v>0</v>
      </c>
    </row>
    <row r="111" spans="1:6" x14ac:dyDescent="0.25">
      <c r="A111">
        <v>0.23050000000000001</v>
      </c>
      <c r="B111" s="2">
        <v>0.12039999999999999</v>
      </c>
      <c r="C111" s="2">
        <v>0.35909999999999997</v>
      </c>
      <c r="D111" s="2">
        <v>-1.7549999999999999</v>
      </c>
      <c r="E111" s="35">
        <f t="shared" si="2"/>
        <v>0</v>
      </c>
      <c r="F111" s="35">
        <f t="shared" si="3"/>
        <v>0</v>
      </c>
    </row>
    <row r="112" spans="1:6" x14ac:dyDescent="0.25">
      <c r="A112">
        <v>0.23449999999999999</v>
      </c>
      <c r="B112" s="2">
        <v>0.11990000000000001</v>
      </c>
      <c r="C112" s="2">
        <v>0.35909999999999997</v>
      </c>
      <c r="D112" s="2">
        <v>-1.419</v>
      </c>
      <c r="E112" s="35">
        <f t="shared" si="2"/>
        <v>0</v>
      </c>
      <c r="F112" s="35">
        <f t="shared" si="3"/>
        <v>0</v>
      </c>
    </row>
    <row r="113" spans="1:6" x14ac:dyDescent="0.25">
      <c r="A113">
        <v>0.23849999999999999</v>
      </c>
      <c r="B113" s="2">
        <v>0.11940000000000001</v>
      </c>
      <c r="C113" s="2">
        <v>0.35909999999999997</v>
      </c>
      <c r="D113" s="2">
        <v>-1.0820000000000001</v>
      </c>
      <c r="E113" s="35">
        <f t="shared" si="2"/>
        <v>0</v>
      </c>
      <c r="F113" s="35">
        <f t="shared" si="3"/>
        <v>0</v>
      </c>
    </row>
    <row r="114" spans="1:6" x14ac:dyDescent="0.25">
      <c r="A114">
        <v>0.24249999999999999</v>
      </c>
      <c r="B114" s="2">
        <v>0.1188</v>
      </c>
      <c r="C114" s="2">
        <v>0.35909999999999997</v>
      </c>
      <c r="D114" s="2">
        <v>-0.74960000000000004</v>
      </c>
      <c r="E114" s="35">
        <f t="shared" si="2"/>
        <v>0</v>
      </c>
      <c r="F114" s="35">
        <f t="shared" si="3"/>
        <v>0</v>
      </c>
    </row>
    <row r="115" spans="1:6" x14ac:dyDescent="0.25">
      <c r="A115">
        <v>0.2465</v>
      </c>
      <c r="B115" s="2">
        <v>0.1143</v>
      </c>
      <c r="C115" s="2">
        <v>0.35909999999999997</v>
      </c>
      <c r="D115" s="2">
        <v>-0.41049999999999998</v>
      </c>
      <c r="E115" s="35">
        <f t="shared" si="2"/>
        <v>0</v>
      </c>
      <c r="F115" s="35">
        <f t="shared" si="3"/>
        <v>0</v>
      </c>
    </row>
    <row r="116" spans="1:6" x14ac:dyDescent="0.25">
      <c r="A116">
        <v>0.2505</v>
      </c>
      <c r="B116" s="2">
        <v>0.1125</v>
      </c>
      <c r="C116" s="2">
        <v>0.35909999999999997</v>
      </c>
      <c r="D116" s="2">
        <v>-7.034E-2</v>
      </c>
      <c r="E116" s="35">
        <f t="shared" si="2"/>
        <v>0</v>
      </c>
      <c r="F116" s="35">
        <f t="shared" si="3"/>
        <v>0</v>
      </c>
    </row>
    <row r="117" spans="1:6" x14ac:dyDescent="0.25">
      <c r="A117">
        <v>0.2545</v>
      </c>
      <c r="B117" s="2">
        <v>0.1154</v>
      </c>
      <c r="C117" s="2">
        <v>0.35909999999999997</v>
      </c>
      <c r="D117" s="2">
        <v>0.2666</v>
      </c>
      <c r="E117" s="35">
        <f t="shared" si="2"/>
        <v>0</v>
      </c>
      <c r="F117" s="35">
        <f t="shared" si="3"/>
        <v>0</v>
      </c>
    </row>
    <row r="118" spans="1:6" x14ac:dyDescent="0.25">
      <c r="A118">
        <v>0.25850000000000001</v>
      </c>
      <c r="B118" s="2">
        <v>0.1239</v>
      </c>
      <c r="C118" s="2">
        <v>0.35909999999999997</v>
      </c>
      <c r="D118" s="2">
        <v>0.59160000000000001</v>
      </c>
      <c r="E118" s="35">
        <f t="shared" si="2"/>
        <v>0</v>
      </c>
      <c r="F118" s="35">
        <f t="shared" si="3"/>
        <v>0</v>
      </c>
    </row>
    <row r="119" spans="1:6" x14ac:dyDescent="0.25">
      <c r="A119">
        <v>0.26250000000000001</v>
      </c>
      <c r="B119" s="2">
        <v>0.12790000000000001</v>
      </c>
      <c r="C119" s="2">
        <v>0.35909999999999997</v>
      </c>
      <c r="D119" s="2">
        <v>0.91</v>
      </c>
      <c r="E119" s="35">
        <f t="shared" si="2"/>
        <v>0</v>
      </c>
      <c r="F119" s="35">
        <f t="shared" si="3"/>
        <v>0</v>
      </c>
    </row>
    <row r="120" spans="1:6" x14ac:dyDescent="0.25">
      <c r="A120">
        <v>0.26650000000000001</v>
      </c>
      <c r="B120" s="2">
        <v>0.12720000000000001</v>
      </c>
      <c r="C120" s="2">
        <v>0.35909999999999997</v>
      </c>
      <c r="D120" s="2">
        <v>1.232</v>
      </c>
      <c r="E120" s="35">
        <f t="shared" si="2"/>
        <v>0</v>
      </c>
      <c r="F120" s="35">
        <f t="shared" si="3"/>
        <v>0</v>
      </c>
    </row>
    <row r="121" spans="1:6" x14ac:dyDescent="0.25">
      <c r="A121">
        <v>0.27050000000000002</v>
      </c>
      <c r="B121" s="2">
        <v>0.12180000000000001</v>
      </c>
      <c r="C121" s="2">
        <v>0.35909999999999997</v>
      </c>
      <c r="D121" s="2">
        <v>1.5649999999999999</v>
      </c>
      <c r="E121" s="35">
        <f t="shared" si="2"/>
        <v>0</v>
      </c>
      <c r="F121" s="35">
        <f t="shared" si="3"/>
        <v>0</v>
      </c>
    </row>
    <row r="122" spans="1:6" x14ac:dyDescent="0.25">
      <c r="A122">
        <v>0.27450000000000002</v>
      </c>
      <c r="B122" s="2">
        <v>0.12230000000000001</v>
      </c>
      <c r="C122" s="2">
        <v>0.35909999999999997</v>
      </c>
      <c r="D122" s="2">
        <v>1.9019999999999999</v>
      </c>
      <c r="E122" s="35">
        <f t="shared" si="2"/>
        <v>0</v>
      </c>
      <c r="F122" s="35">
        <f t="shared" si="3"/>
        <v>0</v>
      </c>
    </row>
    <row r="123" spans="1:6" x14ac:dyDescent="0.25">
      <c r="A123">
        <v>0.27850000000000003</v>
      </c>
      <c r="B123" s="2">
        <v>0.1249</v>
      </c>
      <c r="C123" s="2">
        <v>0.35909999999999997</v>
      </c>
      <c r="D123" s="2">
        <v>2.2320000000000002</v>
      </c>
      <c r="E123" s="35">
        <f t="shared" si="2"/>
        <v>0</v>
      </c>
      <c r="F123" s="35">
        <f t="shared" si="3"/>
        <v>0</v>
      </c>
    </row>
    <row r="124" spans="1:6" x14ac:dyDescent="0.25">
      <c r="A124">
        <v>0.28449999999999998</v>
      </c>
      <c r="B124" s="2">
        <v>0.1298</v>
      </c>
      <c r="C124" s="2">
        <v>0.35909999999999997</v>
      </c>
      <c r="D124" s="2">
        <v>2.7170000000000001</v>
      </c>
      <c r="E124" s="35">
        <f t="shared" si="2"/>
        <v>0</v>
      </c>
      <c r="F124" s="35">
        <f t="shared" si="3"/>
        <v>0</v>
      </c>
    </row>
    <row r="125" spans="1:6" x14ac:dyDescent="0.25">
      <c r="A125">
        <v>0.29249999999999998</v>
      </c>
      <c r="B125" s="2">
        <v>0.1237</v>
      </c>
      <c r="C125" s="2">
        <v>0.35909999999999997</v>
      </c>
      <c r="D125" s="2">
        <v>3.3759999999999999</v>
      </c>
      <c r="E125" s="35">
        <f t="shared" si="2"/>
        <v>0</v>
      </c>
      <c r="F125" s="35">
        <f t="shared" si="3"/>
        <v>0</v>
      </c>
    </row>
    <row r="126" spans="1:6" x14ac:dyDescent="0.25">
      <c r="A126">
        <v>0.30049999999999999</v>
      </c>
      <c r="B126" s="2">
        <v>0.11550000000000001</v>
      </c>
      <c r="C126" s="2">
        <v>0.35909999999999997</v>
      </c>
      <c r="D126" s="2">
        <v>4.0590000000000002</v>
      </c>
      <c r="E126" s="35">
        <f t="shared" si="2"/>
        <v>0</v>
      </c>
      <c r="F126" s="35">
        <f t="shared" si="3"/>
        <v>0</v>
      </c>
    </row>
    <row r="127" spans="1:6" x14ac:dyDescent="0.25">
      <c r="A127">
        <v>0.3085</v>
      </c>
      <c r="B127" s="2">
        <v>0.12529999999999999</v>
      </c>
      <c r="C127" s="2">
        <v>0.35909999999999997</v>
      </c>
      <c r="D127" s="2">
        <v>4.7249999999999996</v>
      </c>
      <c r="E127" s="35">
        <f t="shared" si="2"/>
        <v>0</v>
      </c>
      <c r="F127" s="35">
        <f t="shared" si="3"/>
        <v>0</v>
      </c>
    </row>
    <row r="128" spans="1:6" x14ac:dyDescent="0.25">
      <c r="A128">
        <v>0.3165</v>
      </c>
      <c r="B128" s="2">
        <v>0.1424</v>
      </c>
      <c r="C128" s="2">
        <v>0.35909999999999997</v>
      </c>
      <c r="D128" s="2">
        <v>5.7489999999999997</v>
      </c>
      <c r="E128" s="35">
        <f t="shared" si="2"/>
        <v>0</v>
      </c>
      <c r="F128" s="35">
        <f t="shared" si="3"/>
        <v>0</v>
      </c>
    </row>
    <row r="129" spans="1:6" x14ac:dyDescent="0.25">
      <c r="A129">
        <v>0.32450000000000001</v>
      </c>
      <c r="B129" s="2">
        <v>0.25180000000000002</v>
      </c>
      <c r="C129" s="2">
        <v>0.35909999999999997</v>
      </c>
      <c r="D129" s="2">
        <v>7.5819999999999999</v>
      </c>
      <c r="E129" s="35">
        <f t="shared" si="2"/>
        <v>0</v>
      </c>
      <c r="F129" s="35">
        <f t="shared" si="3"/>
        <v>0</v>
      </c>
    </row>
    <row r="130" spans="1:6" x14ac:dyDescent="0.25">
      <c r="A130">
        <v>0.33250000000000002</v>
      </c>
      <c r="B130">
        <v>0.42309999999999998</v>
      </c>
      <c r="C130" s="2">
        <v>0.36330000000000001</v>
      </c>
      <c r="D130" s="2">
        <v>9.7279999999999998</v>
      </c>
      <c r="E130" s="35">
        <f t="shared" si="2"/>
        <v>0</v>
      </c>
      <c r="F130" s="35">
        <f t="shared" si="3"/>
        <v>0</v>
      </c>
    </row>
    <row r="131" spans="1:6" x14ac:dyDescent="0.25">
      <c r="A131">
        <v>0.34050000000000002</v>
      </c>
      <c r="B131">
        <v>0.52170000000000005</v>
      </c>
      <c r="C131" s="2">
        <v>0.36330000000000001</v>
      </c>
      <c r="D131" s="2">
        <v>12.25</v>
      </c>
      <c r="E131" s="35">
        <f t="shared" si="2"/>
        <v>0</v>
      </c>
      <c r="F131" s="35">
        <f t="shared" si="3"/>
        <v>0</v>
      </c>
    </row>
    <row r="132" spans="1:6" x14ac:dyDescent="0.25">
      <c r="A132">
        <v>0.34849999999999998</v>
      </c>
      <c r="B132">
        <v>0.55789999999999995</v>
      </c>
      <c r="C132" s="2">
        <v>0.36330000000000001</v>
      </c>
      <c r="D132" s="2">
        <v>15.42</v>
      </c>
      <c r="E132" s="35">
        <f t="shared" si="2"/>
        <v>0</v>
      </c>
      <c r="F132" s="35">
        <f t="shared" si="3"/>
        <v>0</v>
      </c>
    </row>
    <row r="133" spans="1:6" x14ac:dyDescent="0.25">
      <c r="A133">
        <v>0.35649999999999998</v>
      </c>
      <c r="B133" s="2">
        <v>0.62360000000000004</v>
      </c>
      <c r="C133" s="2">
        <v>0.36330000000000001</v>
      </c>
      <c r="D133" s="2">
        <v>18.989999999999998</v>
      </c>
      <c r="E133" s="35">
        <f t="shared" ref="E133:E196" si="4">IF(B133=MEDIAN($J$1-0.05,$J$1+0.05,B133),B133,0)</f>
        <v>0</v>
      </c>
      <c r="F133" s="35">
        <f t="shared" ref="F133:F196" si="5">IF(E133=0,0,D133)</f>
        <v>0</v>
      </c>
    </row>
    <row r="134" spans="1:6" x14ac:dyDescent="0.25">
      <c r="A134">
        <v>0.36449999999999999</v>
      </c>
      <c r="B134" s="2">
        <v>0.71</v>
      </c>
      <c r="C134" s="2">
        <v>0.36330000000000001</v>
      </c>
      <c r="D134" s="2">
        <v>22.73</v>
      </c>
      <c r="E134" s="35">
        <f t="shared" si="4"/>
        <v>0</v>
      </c>
      <c r="F134" s="35">
        <f t="shared" si="5"/>
        <v>0</v>
      </c>
    </row>
    <row r="135" spans="1:6" x14ac:dyDescent="0.25">
      <c r="A135">
        <v>0.3725</v>
      </c>
      <c r="B135" s="2">
        <v>0.77929999999999999</v>
      </c>
      <c r="C135" s="2">
        <v>0.36330000000000001</v>
      </c>
      <c r="D135" s="2">
        <v>26.77</v>
      </c>
      <c r="E135" s="35">
        <f t="shared" si="4"/>
        <v>0</v>
      </c>
      <c r="F135" s="35">
        <f t="shared" si="5"/>
        <v>0</v>
      </c>
    </row>
    <row r="136" spans="1:6" x14ac:dyDescent="0.25">
      <c r="A136">
        <v>0.3805</v>
      </c>
      <c r="B136" s="2">
        <v>0.85680000000000001</v>
      </c>
      <c r="C136" s="2">
        <v>0.36330000000000001</v>
      </c>
      <c r="D136" s="2">
        <v>30.96</v>
      </c>
      <c r="E136" s="35">
        <f t="shared" si="4"/>
        <v>0</v>
      </c>
      <c r="F136" s="35">
        <f t="shared" si="5"/>
        <v>0</v>
      </c>
    </row>
    <row r="137" spans="1:6" x14ac:dyDescent="0.25">
      <c r="A137">
        <v>0.38850000000000001</v>
      </c>
      <c r="B137" s="2">
        <v>0.92030000000000001</v>
      </c>
      <c r="C137" s="2">
        <v>0.36330000000000001</v>
      </c>
      <c r="D137" s="2">
        <v>35.299999999999997</v>
      </c>
      <c r="E137" s="35">
        <f t="shared" si="4"/>
        <v>0</v>
      </c>
      <c r="F137" s="35">
        <f t="shared" si="5"/>
        <v>0</v>
      </c>
    </row>
    <row r="138" spans="1:6" x14ac:dyDescent="0.25">
      <c r="A138">
        <v>0.39650000000000002</v>
      </c>
      <c r="B138">
        <v>0.99009999999999998</v>
      </c>
      <c r="C138" s="2">
        <v>0.36330000000000001</v>
      </c>
      <c r="D138" s="2">
        <v>39.68</v>
      </c>
      <c r="E138" s="35">
        <f t="shared" si="4"/>
        <v>0.99009999999999998</v>
      </c>
      <c r="F138" s="35">
        <f t="shared" si="5"/>
        <v>39.68</v>
      </c>
    </row>
    <row r="139" spans="1:6" x14ac:dyDescent="0.25">
      <c r="A139">
        <v>0.40450000000000003</v>
      </c>
      <c r="B139">
        <v>1.05</v>
      </c>
      <c r="C139" s="2">
        <v>0.36330000000000001</v>
      </c>
      <c r="D139" s="2">
        <v>43.99</v>
      </c>
      <c r="E139" s="35">
        <f t="shared" si="4"/>
        <v>1.05</v>
      </c>
      <c r="F139" s="35">
        <f t="shared" si="5"/>
        <v>43.99</v>
      </c>
    </row>
    <row r="140" spans="1:6" x14ac:dyDescent="0.25">
      <c r="A140">
        <v>0.41249999999999998</v>
      </c>
      <c r="B140">
        <v>1.07</v>
      </c>
      <c r="C140" s="2">
        <v>0.36330000000000001</v>
      </c>
      <c r="D140" s="2">
        <v>47.82</v>
      </c>
      <c r="E140" s="35">
        <f t="shared" si="4"/>
        <v>0</v>
      </c>
      <c r="F140" s="35">
        <f t="shared" si="5"/>
        <v>0</v>
      </c>
    </row>
    <row r="141" spans="1:6" x14ac:dyDescent="0.25">
      <c r="A141">
        <v>0.42049999999999998</v>
      </c>
      <c r="B141">
        <v>0.90849999999999997</v>
      </c>
      <c r="C141" s="2">
        <v>0.36330000000000001</v>
      </c>
      <c r="D141" s="2">
        <v>49.9</v>
      </c>
      <c r="E141" s="35">
        <f t="shared" si="4"/>
        <v>0</v>
      </c>
      <c r="F141" s="35">
        <f t="shared" si="5"/>
        <v>0</v>
      </c>
    </row>
    <row r="142" spans="1:6" x14ac:dyDescent="0.25">
      <c r="A142">
        <v>0.42849999999999999</v>
      </c>
      <c r="B142">
        <v>0.71519999999999995</v>
      </c>
      <c r="C142" s="2">
        <v>0.36330000000000001</v>
      </c>
      <c r="D142" s="2">
        <v>52.47</v>
      </c>
      <c r="E142" s="35">
        <f t="shared" si="4"/>
        <v>0</v>
      </c>
      <c r="F142" s="35">
        <f t="shared" si="5"/>
        <v>0</v>
      </c>
    </row>
    <row r="143" spans="1:6" x14ac:dyDescent="0.25">
      <c r="A143">
        <v>0.4365</v>
      </c>
      <c r="B143">
        <v>0.68179999999999996</v>
      </c>
      <c r="C143" s="2">
        <v>0.36330000000000001</v>
      </c>
      <c r="D143" s="2">
        <v>54.75</v>
      </c>
      <c r="E143" s="35">
        <f t="shared" si="4"/>
        <v>0</v>
      </c>
      <c r="F143" s="35">
        <f t="shared" si="5"/>
        <v>0</v>
      </c>
    </row>
    <row r="144" spans="1:6" x14ac:dyDescent="0.25">
      <c r="A144">
        <v>0.44450000000000001</v>
      </c>
      <c r="B144">
        <v>0.72199999999999998</v>
      </c>
      <c r="C144" s="2">
        <v>0.36330000000000001</v>
      </c>
      <c r="D144" s="2">
        <v>56.3</v>
      </c>
      <c r="E144" s="35">
        <f t="shared" si="4"/>
        <v>0</v>
      </c>
      <c r="F144" s="35">
        <f t="shared" si="5"/>
        <v>0</v>
      </c>
    </row>
    <row r="145" spans="1:6" x14ac:dyDescent="0.25">
      <c r="A145">
        <v>0.45250000000000001</v>
      </c>
      <c r="B145">
        <v>0.72829999999999995</v>
      </c>
      <c r="C145" s="2">
        <v>0.36330000000000001</v>
      </c>
      <c r="D145" s="2">
        <v>57.83</v>
      </c>
      <c r="E145" s="35">
        <f t="shared" si="4"/>
        <v>0</v>
      </c>
      <c r="F145" s="35">
        <f t="shared" si="5"/>
        <v>0</v>
      </c>
    </row>
    <row r="146" spans="1:6" x14ac:dyDescent="0.25">
      <c r="A146">
        <v>0.46050000000000002</v>
      </c>
      <c r="B146">
        <v>0.71789999999999998</v>
      </c>
      <c r="C146" s="2">
        <v>0.36330000000000001</v>
      </c>
      <c r="D146" s="2">
        <v>59.54</v>
      </c>
      <c r="E146" s="35">
        <f t="shared" si="4"/>
        <v>0</v>
      </c>
      <c r="F146" s="35">
        <f t="shared" si="5"/>
        <v>0</v>
      </c>
    </row>
    <row r="147" spans="1:6" x14ac:dyDescent="0.25">
      <c r="A147">
        <v>0.46850000000000003</v>
      </c>
      <c r="B147" s="2">
        <v>0.73</v>
      </c>
      <c r="C147" s="2">
        <v>0.36330000000000001</v>
      </c>
      <c r="D147" s="2">
        <v>61.16</v>
      </c>
      <c r="E147" s="35">
        <f t="shared" si="4"/>
        <v>0</v>
      </c>
      <c r="F147" s="35">
        <f t="shared" si="5"/>
        <v>0</v>
      </c>
    </row>
    <row r="148" spans="1:6" x14ac:dyDescent="0.25">
      <c r="A148">
        <v>0.47649999999999998</v>
      </c>
      <c r="B148" s="2">
        <v>0.75139999999999996</v>
      </c>
      <c r="C148" s="2">
        <v>0.36330000000000001</v>
      </c>
      <c r="D148" s="2">
        <v>62.55</v>
      </c>
      <c r="E148" s="35">
        <f t="shared" si="4"/>
        <v>0</v>
      </c>
      <c r="F148" s="35">
        <f t="shared" si="5"/>
        <v>0</v>
      </c>
    </row>
    <row r="149" spans="1:6" x14ac:dyDescent="0.25">
      <c r="A149">
        <v>0.48449999999999999</v>
      </c>
      <c r="B149" s="2">
        <v>0.75190000000000001</v>
      </c>
      <c r="C149" s="2">
        <v>0.36330000000000001</v>
      </c>
      <c r="D149" s="2">
        <v>64</v>
      </c>
      <c r="E149" s="35">
        <f t="shared" si="4"/>
        <v>0</v>
      </c>
      <c r="F149" s="35">
        <f t="shared" si="5"/>
        <v>0</v>
      </c>
    </row>
    <row r="150" spans="1:6" x14ac:dyDescent="0.25">
      <c r="A150">
        <v>0.49249999999999999</v>
      </c>
      <c r="B150" s="2">
        <v>0.75670000000000004</v>
      </c>
      <c r="C150" s="2">
        <v>0.36330000000000001</v>
      </c>
      <c r="D150" s="2">
        <v>65.459999999999994</v>
      </c>
      <c r="E150" s="35">
        <f t="shared" si="4"/>
        <v>0</v>
      </c>
      <c r="F150" s="35">
        <f t="shared" si="5"/>
        <v>0</v>
      </c>
    </row>
    <row r="151" spans="1:6" x14ac:dyDescent="0.25">
      <c r="A151">
        <v>0.50049999999999994</v>
      </c>
      <c r="B151" s="2">
        <v>0.75790000000000002</v>
      </c>
      <c r="C151" s="2">
        <v>0.36330000000000001</v>
      </c>
      <c r="D151" s="2">
        <v>66.86</v>
      </c>
      <c r="E151" s="35">
        <f t="shared" si="4"/>
        <v>0</v>
      </c>
      <c r="F151" s="35">
        <f t="shared" si="5"/>
        <v>0</v>
      </c>
    </row>
    <row r="152" spans="1:6" x14ac:dyDescent="0.25">
      <c r="A152">
        <v>0.50849999999999995</v>
      </c>
      <c r="B152" s="2">
        <v>0.75290000000000001</v>
      </c>
      <c r="C152" s="2">
        <v>0.36330000000000001</v>
      </c>
      <c r="D152" s="2">
        <v>68.36</v>
      </c>
      <c r="E152" s="35">
        <f t="shared" si="4"/>
        <v>0</v>
      </c>
      <c r="F152" s="35">
        <f t="shared" si="5"/>
        <v>0</v>
      </c>
    </row>
    <row r="153" spans="1:6" x14ac:dyDescent="0.25">
      <c r="A153">
        <v>0.51649999999999996</v>
      </c>
      <c r="B153">
        <v>0.77139999999999997</v>
      </c>
      <c r="C153" s="2">
        <v>0.36330000000000001</v>
      </c>
      <c r="D153" s="2">
        <v>69.7</v>
      </c>
      <c r="E153" s="35">
        <f t="shared" si="4"/>
        <v>0</v>
      </c>
      <c r="F153" s="35">
        <f t="shared" si="5"/>
        <v>0</v>
      </c>
    </row>
    <row r="154" spans="1:6" x14ac:dyDescent="0.25">
      <c r="A154">
        <v>0.52449999999999997</v>
      </c>
      <c r="B154" s="2">
        <v>0.82420000000000004</v>
      </c>
      <c r="C154" s="2">
        <v>0.36330000000000001</v>
      </c>
      <c r="D154" s="2">
        <v>72.45</v>
      </c>
      <c r="E154" s="35">
        <f t="shared" si="4"/>
        <v>0</v>
      </c>
      <c r="F154" s="35">
        <f t="shared" si="5"/>
        <v>0</v>
      </c>
    </row>
    <row r="155" spans="1:6" x14ac:dyDescent="0.25">
      <c r="A155">
        <v>0.53249999999999997</v>
      </c>
      <c r="B155" s="2">
        <v>1.6379999999999999</v>
      </c>
      <c r="C155" s="2">
        <v>0.36330000000000001</v>
      </c>
      <c r="D155" s="2">
        <v>82.47</v>
      </c>
      <c r="E155" s="35">
        <f t="shared" si="4"/>
        <v>0</v>
      </c>
      <c r="F155" s="35">
        <f t="shared" si="5"/>
        <v>0</v>
      </c>
    </row>
    <row r="156" spans="1:6" x14ac:dyDescent="0.25">
      <c r="A156">
        <v>0.54049999999999998</v>
      </c>
      <c r="B156" s="2">
        <v>2.5550000000000002</v>
      </c>
      <c r="C156" s="2">
        <v>0.36330000000000001</v>
      </c>
      <c r="D156" s="2">
        <v>87.23</v>
      </c>
      <c r="E156" s="35">
        <f t="shared" si="4"/>
        <v>0</v>
      </c>
      <c r="F156" s="35">
        <f t="shared" si="5"/>
        <v>0</v>
      </c>
    </row>
    <row r="157" spans="1:6" x14ac:dyDescent="0.25">
      <c r="A157">
        <v>0.54849999999999999</v>
      </c>
      <c r="B157" s="2">
        <v>2.5230000000000001</v>
      </c>
      <c r="C157" s="2">
        <v>0.36330000000000001</v>
      </c>
      <c r="D157" s="2">
        <v>91.49</v>
      </c>
      <c r="E157" s="35">
        <f t="shared" si="4"/>
        <v>0</v>
      </c>
      <c r="F157" s="35">
        <f t="shared" si="5"/>
        <v>0</v>
      </c>
    </row>
    <row r="158" spans="1:6" x14ac:dyDescent="0.25">
      <c r="A158">
        <v>0.55649999999999999</v>
      </c>
      <c r="B158" s="2">
        <v>2.2290000000000001</v>
      </c>
      <c r="C158" s="2">
        <v>0.36330000000000001</v>
      </c>
      <c r="D158" s="2">
        <v>97.29</v>
      </c>
      <c r="E158" s="35">
        <f t="shared" si="4"/>
        <v>0</v>
      </c>
      <c r="F158" s="35">
        <f t="shared" si="5"/>
        <v>0</v>
      </c>
    </row>
    <row r="159" spans="1:6" x14ac:dyDescent="0.25">
      <c r="A159">
        <v>0.5645</v>
      </c>
      <c r="B159" s="2">
        <v>2.081</v>
      </c>
      <c r="C159" s="2">
        <v>0.36330000000000001</v>
      </c>
      <c r="D159" s="2">
        <v>99.76</v>
      </c>
      <c r="E159" s="35">
        <f t="shared" si="4"/>
        <v>0</v>
      </c>
      <c r="F159" s="35">
        <f t="shared" si="5"/>
        <v>0</v>
      </c>
    </row>
    <row r="160" spans="1:6" x14ac:dyDescent="0.25">
      <c r="A160">
        <v>0.57250000000000001</v>
      </c>
      <c r="B160" s="2">
        <v>1.875</v>
      </c>
      <c r="C160" s="2">
        <v>0.36549999999999999</v>
      </c>
      <c r="D160" s="2">
        <v>101.5</v>
      </c>
      <c r="E160" s="35">
        <f t="shared" si="4"/>
        <v>0</v>
      </c>
      <c r="F160" s="35">
        <f t="shared" si="5"/>
        <v>0</v>
      </c>
    </row>
    <row r="161" spans="1:6" x14ac:dyDescent="0.25">
      <c r="A161">
        <v>0.58050000000000002</v>
      </c>
      <c r="B161" s="2">
        <v>1.718</v>
      </c>
      <c r="C161" s="2">
        <v>0.36549999999999999</v>
      </c>
      <c r="D161" s="2">
        <v>102.2</v>
      </c>
      <c r="E161" s="35">
        <f t="shared" si="4"/>
        <v>0</v>
      </c>
      <c r="F161" s="35">
        <f t="shared" si="5"/>
        <v>0</v>
      </c>
    </row>
    <row r="162" spans="1:6" x14ac:dyDescent="0.25">
      <c r="A162">
        <v>0.58850000000000002</v>
      </c>
      <c r="B162" s="2">
        <v>1.5669999999999999</v>
      </c>
      <c r="C162" s="2">
        <v>0.36549999999999999</v>
      </c>
      <c r="D162" s="2">
        <v>102.8</v>
      </c>
      <c r="E162" s="35">
        <f t="shared" si="4"/>
        <v>0</v>
      </c>
      <c r="F162" s="35">
        <f t="shared" si="5"/>
        <v>0</v>
      </c>
    </row>
    <row r="163" spans="1:6" x14ac:dyDescent="0.25">
      <c r="A163">
        <v>0.59650000000000003</v>
      </c>
      <c r="B163" s="2">
        <v>1.4670000000000001</v>
      </c>
      <c r="C163" s="2">
        <v>0.36549999999999999</v>
      </c>
      <c r="D163" s="2">
        <v>103.1</v>
      </c>
      <c r="E163" s="35">
        <f t="shared" si="4"/>
        <v>0</v>
      </c>
      <c r="F163" s="35">
        <f t="shared" si="5"/>
        <v>0</v>
      </c>
    </row>
    <row r="164" spans="1:6" x14ac:dyDescent="0.25">
      <c r="A164">
        <v>0.60850000000000004</v>
      </c>
      <c r="B164" s="2">
        <v>1.349</v>
      </c>
      <c r="C164" s="2">
        <v>0.36549999999999999</v>
      </c>
      <c r="D164" s="2">
        <v>103.3</v>
      </c>
      <c r="E164" s="35">
        <f t="shared" si="4"/>
        <v>0</v>
      </c>
      <c r="F164" s="35">
        <f t="shared" si="5"/>
        <v>0</v>
      </c>
    </row>
    <row r="165" spans="1:6" x14ac:dyDescent="0.25">
      <c r="A165">
        <v>0.62450000000000006</v>
      </c>
      <c r="B165" s="2">
        <v>1.1950000000000001</v>
      </c>
      <c r="C165" s="2">
        <v>0.36549999999999999</v>
      </c>
      <c r="D165" s="2">
        <v>102.8</v>
      </c>
      <c r="E165" s="35">
        <f t="shared" si="4"/>
        <v>0</v>
      </c>
      <c r="F165" s="35">
        <f t="shared" si="5"/>
        <v>0</v>
      </c>
    </row>
    <row r="166" spans="1:6" x14ac:dyDescent="0.25">
      <c r="A166">
        <v>0.64049999999999996</v>
      </c>
      <c r="B166" s="2">
        <v>1.02</v>
      </c>
      <c r="C166" s="2">
        <v>0.36549999999999999</v>
      </c>
      <c r="D166" s="2">
        <v>102</v>
      </c>
      <c r="E166" s="35">
        <f t="shared" si="4"/>
        <v>1.02</v>
      </c>
      <c r="F166" s="35">
        <f t="shared" si="5"/>
        <v>102</v>
      </c>
    </row>
    <row r="167" spans="1:6" x14ac:dyDescent="0.25">
      <c r="A167">
        <v>0.65649999999999997</v>
      </c>
      <c r="B167">
        <v>1.002</v>
      </c>
      <c r="C167" s="2">
        <v>0.36549999999999999</v>
      </c>
      <c r="D167" s="2">
        <v>101.4</v>
      </c>
      <c r="E167" s="35">
        <f t="shared" si="4"/>
        <v>1.002</v>
      </c>
      <c r="F167" s="35">
        <f t="shared" si="5"/>
        <v>101.4</v>
      </c>
    </row>
    <row r="168" spans="1:6" x14ac:dyDescent="0.25">
      <c r="A168">
        <v>0.67249999999999999</v>
      </c>
      <c r="B168">
        <v>0.99739999999999995</v>
      </c>
      <c r="C168" s="2">
        <v>0.36549999999999999</v>
      </c>
      <c r="D168" s="2">
        <v>101.5</v>
      </c>
      <c r="E168" s="35">
        <f t="shared" si="4"/>
        <v>0.99739999999999995</v>
      </c>
      <c r="F168" s="35">
        <f t="shared" si="5"/>
        <v>101.5</v>
      </c>
    </row>
    <row r="169" spans="1:6" x14ac:dyDescent="0.25">
      <c r="A169">
        <v>0.6885</v>
      </c>
      <c r="B169" s="2">
        <v>0.99750000000000005</v>
      </c>
      <c r="C169" s="2">
        <v>0.36549999999999999</v>
      </c>
      <c r="D169" s="2">
        <v>101.8</v>
      </c>
      <c r="E169" s="35">
        <f t="shared" si="4"/>
        <v>0.99750000000000005</v>
      </c>
      <c r="F169" s="35">
        <f t="shared" si="5"/>
        <v>101.8</v>
      </c>
    </row>
    <row r="170" spans="1:6" x14ac:dyDescent="0.25">
      <c r="A170">
        <v>0.70450000000000002</v>
      </c>
      <c r="B170" s="2">
        <v>0.99670000000000003</v>
      </c>
      <c r="C170" s="2">
        <v>0.36549999999999999</v>
      </c>
      <c r="D170" s="2">
        <v>102.1</v>
      </c>
      <c r="E170" s="35">
        <f t="shared" si="4"/>
        <v>0.99670000000000003</v>
      </c>
      <c r="F170" s="35">
        <f t="shared" si="5"/>
        <v>102.1</v>
      </c>
    </row>
    <row r="171" spans="1:6" x14ac:dyDescent="0.25">
      <c r="A171">
        <v>0.72050000000000003</v>
      </c>
      <c r="B171" s="2">
        <v>0.99209999999999998</v>
      </c>
      <c r="C171" s="2">
        <v>0.36549999999999999</v>
      </c>
      <c r="D171" s="2">
        <v>102.7</v>
      </c>
      <c r="E171" s="35">
        <f t="shared" si="4"/>
        <v>0.99209999999999998</v>
      </c>
      <c r="F171" s="35">
        <f t="shared" si="5"/>
        <v>102.7</v>
      </c>
    </row>
    <row r="172" spans="1:6" x14ac:dyDescent="0.25">
      <c r="A172">
        <v>0.73650000000000004</v>
      </c>
      <c r="B172" s="2">
        <v>0.99650000000000005</v>
      </c>
      <c r="C172" s="2">
        <v>0.36549999999999999</v>
      </c>
      <c r="D172" s="2">
        <v>103.3</v>
      </c>
      <c r="E172" s="35">
        <f t="shared" si="4"/>
        <v>0.99650000000000005</v>
      </c>
      <c r="F172" s="35">
        <f t="shared" si="5"/>
        <v>103.3</v>
      </c>
    </row>
    <row r="173" spans="1:6" x14ac:dyDescent="0.25">
      <c r="A173">
        <v>0.75249999999999995</v>
      </c>
      <c r="B173" s="2">
        <v>0.99309999999999998</v>
      </c>
      <c r="C173" s="2">
        <v>0.36549999999999999</v>
      </c>
      <c r="D173" s="2">
        <v>103.9</v>
      </c>
      <c r="E173" s="35">
        <f t="shared" si="4"/>
        <v>0.99309999999999998</v>
      </c>
      <c r="F173" s="35">
        <f t="shared" si="5"/>
        <v>103.9</v>
      </c>
    </row>
    <row r="174" spans="1:6" x14ac:dyDescent="0.25">
      <c r="A174">
        <v>0.76849999999999996</v>
      </c>
      <c r="B174" s="2">
        <v>0.99519999999999997</v>
      </c>
      <c r="C174" s="2">
        <v>0.36549999999999999</v>
      </c>
      <c r="D174" s="2">
        <v>104.4</v>
      </c>
      <c r="E174" s="35">
        <f t="shared" si="4"/>
        <v>0.99519999999999997</v>
      </c>
      <c r="F174" s="35">
        <f t="shared" si="5"/>
        <v>104.4</v>
      </c>
    </row>
    <row r="175" spans="1:6" x14ac:dyDescent="0.25">
      <c r="A175">
        <v>0.78449999999999998</v>
      </c>
      <c r="B175" s="2">
        <v>0.99629999999999996</v>
      </c>
      <c r="C175" s="2">
        <v>0.36549999999999999</v>
      </c>
      <c r="D175" s="2">
        <v>104.8</v>
      </c>
      <c r="E175" s="35">
        <f t="shared" si="4"/>
        <v>0.99629999999999996</v>
      </c>
      <c r="F175" s="35">
        <f t="shared" si="5"/>
        <v>104.8</v>
      </c>
    </row>
    <row r="176" spans="1:6" x14ac:dyDescent="0.25">
      <c r="A176">
        <v>0.80049999999999999</v>
      </c>
      <c r="B176" s="2">
        <v>0.99429999999999996</v>
      </c>
      <c r="C176" s="2">
        <v>0.36549999999999999</v>
      </c>
      <c r="D176" s="2">
        <v>105.4</v>
      </c>
      <c r="E176" s="35">
        <f t="shared" si="4"/>
        <v>0.99429999999999996</v>
      </c>
      <c r="F176" s="35">
        <f t="shared" si="5"/>
        <v>105.4</v>
      </c>
    </row>
    <row r="177" spans="1:6" x14ac:dyDescent="0.25">
      <c r="A177">
        <v>0.8165</v>
      </c>
      <c r="B177" s="2">
        <v>0.99319999999999997</v>
      </c>
      <c r="C177" s="2">
        <v>0.36430000000000001</v>
      </c>
      <c r="D177" s="2">
        <v>105.9</v>
      </c>
      <c r="E177" s="35">
        <f t="shared" si="4"/>
        <v>0.99319999999999997</v>
      </c>
      <c r="F177" s="35">
        <f t="shared" si="5"/>
        <v>105.9</v>
      </c>
    </row>
    <row r="178" spans="1:6" x14ac:dyDescent="0.25">
      <c r="A178">
        <v>0.83250000000000002</v>
      </c>
      <c r="B178" s="2">
        <v>0.99650000000000005</v>
      </c>
      <c r="C178" s="2">
        <v>0.36430000000000001</v>
      </c>
      <c r="D178" s="2">
        <v>106.3</v>
      </c>
      <c r="E178" s="35">
        <f t="shared" si="4"/>
        <v>0.99650000000000005</v>
      </c>
      <c r="F178" s="35">
        <f t="shared" si="5"/>
        <v>106.3</v>
      </c>
    </row>
    <row r="179" spans="1:6" x14ac:dyDescent="0.25">
      <c r="A179">
        <v>0.84850000000000003</v>
      </c>
      <c r="B179" s="2">
        <v>0.998</v>
      </c>
      <c r="C179" s="2">
        <v>0.36430000000000001</v>
      </c>
      <c r="D179" s="2">
        <v>106.7</v>
      </c>
      <c r="E179" s="35">
        <f t="shared" si="4"/>
        <v>0.998</v>
      </c>
      <c r="F179" s="35">
        <f t="shared" si="5"/>
        <v>106.7</v>
      </c>
    </row>
    <row r="180" spans="1:6" x14ac:dyDescent="0.25">
      <c r="A180">
        <v>0.86450000000000005</v>
      </c>
      <c r="B180">
        <v>0.99490000000000001</v>
      </c>
      <c r="C180" s="2">
        <v>0.36430000000000001</v>
      </c>
      <c r="D180" s="2">
        <v>106.9</v>
      </c>
      <c r="E180" s="35">
        <f t="shared" si="4"/>
        <v>0.99490000000000001</v>
      </c>
      <c r="F180" s="35">
        <f t="shared" si="5"/>
        <v>106.9</v>
      </c>
    </row>
    <row r="181" spans="1:6" x14ac:dyDescent="0.25">
      <c r="A181">
        <v>0.88049999999999995</v>
      </c>
      <c r="B181">
        <v>0.99660000000000004</v>
      </c>
      <c r="C181" s="2">
        <v>0.36430000000000001</v>
      </c>
      <c r="D181" s="2">
        <v>107.4</v>
      </c>
      <c r="E181" s="35">
        <f t="shared" si="4"/>
        <v>0.99660000000000004</v>
      </c>
      <c r="F181" s="35">
        <f t="shared" si="5"/>
        <v>107.4</v>
      </c>
    </row>
    <row r="182" spans="1:6" x14ac:dyDescent="0.25">
      <c r="A182">
        <v>0.89649999999999996</v>
      </c>
      <c r="B182">
        <v>0.99660000000000004</v>
      </c>
      <c r="C182" s="2">
        <v>0.36430000000000001</v>
      </c>
      <c r="D182" s="2">
        <v>107.8</v>
      </c>
      <c r="E182" s="35">
        <f t="shared" si="4"/>
        <v>0.99660000000000004</v>
      </c>
      <c r="F182" s="35">
        <f t="shared" si="5"/>
        <v>107.8</v>
      </c>
    </row>
    <row r="183" spans="1:6" x14ac:dyDescent="0.25">
      <c r="A183">
        <v>0.91249999999999998</v>
      </c>
      <c r="B183" s="2">
        <v>0.99719999999999998</v>
      </c>
      <c r="C183" s="2">
        <v>0.36430000000000001</v>
      </c>
      <c r="D183" s="2">
        <v>108</v>
      </c>
      <c r="E183" s="35">
        <f t="shared" si="4"/>
        <v>0.99719999999999998</v>
      </c>
      <c r="F183" s="35">
        <f t="shared" si="5"/>
        <v>108</v>
      </c>
    </row>
    <row r="184" spans="1:6" x14ac:dyDescent="0.25">
      <c r="A184">
        <v>0.92849999999999999</v>
      </c>
      <c r="B184" s="2">
        <v>0.99880000000000002</v>
      </c>
      <c r="C184" s="2">
        <v>0.36430000000000001</v>
      </c>
      <c r="D184" s="2">
        <v>108.2</v>
      </c>
      <c r="E184" s="35">
        <f t="shared" si="4"/>
        <v>0.99880000000000002</v>
      </c>
      <c r="F184" s="35">
        <f t="shared" si="5"/>
        <v>108.2</v>
      </c>
    </row>
    <row r="185" spans="1:6" x14ac:dyDescent="0.25">
      <c r="A185">
        <v>0.94450000000000001</v>
      </c>
      <c r="B185" s="2">
        <v>0.997</v>
      </c>
      <c r="C185" s="2">
        <v>0.36430000000000001</v>
      </c>
      <c r="D185" s="2">
        <v>108.5</v>
      </c>
      <c r="E185" s="35">
        <f t="shared" si="4"/>
        <v>0.997</v>
      </c>
      <c r="F185" s="35">
        <f t="shared" si="5"/>
        <v>108.5</v>
      </c>
    </row>
    <row r="186" spans="1:6" x14ac:dyDescent="0.25">
      <c r="A186">
        <v>0.96050000000000002</v>
      </c>
      <c r="B186" s="2">
        <v>0.99709999999999999</v>
      </c>
      <c r="C186" s="2">
        <v>0.36430000000000001</v>
      </c>
      <c r="D186" s="2">
        <v>108.7</v>
      </c>
      <c r="E186" s="35">
        <f t="shared" si="4"/>
        <v>0.99709999999999999</v>
      </c>
      <c r="F186" s="35">
        <f t="shared" si="5"/>
        <v>108.7</v>
      </c>
    </row>
    <row r="187" spans="1:6" x14ac:dyDescent="0.25">
      <c r="A187">
        <v>0.97650000000000003</v>
      </c>
      <c r="B187" s="2">
        <v>0.99760000000000004</v>
      </c>
      <c r="C187" s="2">
        <v>0.36430000000000001</v>
      </c>
      <c r="D187" s="2">
        <v>109</v>
      </c>
      <c r="E187" s="35">
        <f t="shared" si="4"/>
        <v>0.99760000000000004</v>
      </c>
      <c r="F187" s="35">
        <f t="shared" si="5"/>
        <v>109</v>
      </c>
    </row>
    <row r="188" spans="1:6" x14ac:dyDescent="0.25">
      <c r="A188">
        <v>0.99250000000000005</v>
      </c>
      <c r="B188" s="2">
        <v>0.99919999999999998</v>
      </c>
      <c r="C188" s="2">
        <v>0.36430000000000001</v>
      </c>
      <c r="D188" s="2">
        <v>109.1</v>
      </c>
      <c r="E188" s="35">
        <f t="shared" si="4"/>
        <v>0.99919999999999998</v>
      </c>
      <c r="F188" s="35">
        <f t="shared" si="5"/>
        <v>109.1</v>
      </c>
    </row>
    <row r="189" spans="1:6" x14ac:dyDescent="0.25">
      <c r="A189">
        <v>1.0085</v>
      </c>
      <c r="B189" s="2">
        <v>0.99819999999999998</v>
      </c>
      <c r="C189" s="2">
        <v>0.36430000000000001</v>
      </c>
      <c r="D189" s="2">
        <v>109.2</v>
      </c>
      <c r="E189" s="35">
        <f t="shared" si="4"/>
        <v>0.99819999999999998</v>
      </c>
      <c r="F189" s="35">
        <f t="shared" si="5"/>
        <v>109.2</v>
      </c>
    </row>
    <row r="190" spans="1:6" x14ac:dyDescent="0.25">
      <c r="A190">
        <v>1.0245</v>
      </c>
      <c r="B190" s="2">
        <v>0.99870000000000003</v>
      </c>
      <c r="C190" s="2">
        <v>0.36430000000000001</v>
      </c>
      <c r="D190" s="2">
        <v>109.4</v>
      </c>
      <c r="E190" s="35">
        <f t="shared" si="4"/>
        <v>0.99870000000000003</v>
      </c>
      <c r="F190" s="35">
        <f t="shared" si="5"/>
        <v>109.4</v>
      </c>
    </row>
    <row r="191" spans="1:6" x14ac:dyDescent="0.25">
      <c r="A191">
        <v>1.0405</v>
      </c>
      <c r="B191" s="2">
        <v>0.99770000000000003</v>
      </c>
      <c r="C191" s="2">
        <v>0.36430000000000001</v>
      </c>
      <c r="D191" s="2">
        <v>109.7</v>
      </c>
      <c r="E191" s="35">
        <f t="shared" si="4"/>
        <v>0.99770000000000003</v>
      </c>
      <c r="F191" s="35">
        <f t="shared" si="5"/>
        <v>109.7</v>
      </c>
    </row>
    <row r="192" spans="1:6" x14ac:dyDescent="0.25">
      <c r="A192">
        <v>1.0565</v>
      </c>
      <c r="B192" s="2">
        <v>0.99870000000000003</v>
      </c>
      <c r="C192" s="2">
        <v>0.35339999999999999</v>
      </c>
      <c r="D192" s="2">
        <v>109.8</v>
      </c>
      <c r="E192" s="35">
        <f t="shared" si="4"/>
        <v>0.99870000000000003</v>
      </c>
      <c r="F192" s="35">
        <f t="shared" si="5"/>
        <v>109.8</v>
      </c>
    </row>
    <row r="193" spans="1:6" x14ac:dyDescent="0.25">
      <c r="A193">
        <v>1.0725</v>
      </c>
      <c r="B193" s="2">
        <v>0.99980000000000002</v>
      </c>
      <c r="C193" s="2">
        <v>0.35339999999999999</v>
      </c>
      <c r="D193" s="2">
        <v>109.8</v>
      </c>
      <c r="E193" s="35">
        <f t="shared" si="4"/>
        <v>0.99980000000000002</v>
      </c>
      <c r="F193" s="35">
        <f t="shared" si="5"/>
        <v>109.8</v>
      </c>
    </row>
    <row r="194" spans="1:6" x14ac:dyDescent="0.25">
      <c r="A194">
        <v>1.0885</v>
      </c>
      <c r="B194" s="2">
        <v>0.99739999999999995</v>
      </c>
      <c r="C194" s="2">
        <v>0.35339999999999999</v>
      </c>
      <c r="D194" s="2">
        <v>110</v>
      </c>
      <c r="E194" s="35">
        <f t="shared" si="4"/>
        <v>0.99739999999999995</v>
      </c>
      <c r="F194" s="35">
        <f t="shared" si="5"/>
        <v>110</v>
      </c>
    </row>
    <row r="195" spans="1:6" x14ac:dyDescent="0.25">
      <c r="A195">
        <v>1.1045</v>
      </c>
      <c r="B195" s="2">
        <v>0.99939999999999996</v>
      </c>
      <c r="C195" s="2">
        <v>0.35339999999999999</v>
      </c>
      <c r="D195" s="2">
        <v>110.1</v>
      </c>
      <c r="E195" s="35">
        <f t="shared" si="4"/>
        <v>0.99939999999999996</v>
      </c>
      <c r="F195" s="35">
        <f t="shared" si="5"/>
        <v>110.1</v>
      </c>
    </row>
    <row r="196" spans="1:6" x14ac:dyDescent="0.25">
      <c r="A196">
        <v>1.1205000000000001</v>
      </c>
      <c r="B196" s="2">
        <v>0.99890000000000001</v>
      </c>
      <c r="C196" s="2">
        <v>0.35339999999999999</v>
      </c>
      <c r="D196" s="2">
        <v>110.2</v>
      </c>
      <c r="E196" s="35">
        <f t="shared" si="4"/>
        <v>0.99890000000000001</v>
      </c>
      <c r="F196" s="35">
        <f t="shared" si="5"/>
        <v>110.2</v>
      </c>
    </row>
    <row r="197" spans="1:6" x14ac:dyDescent="0.25">
      <c r="A197">
        <v>1.1365000000000001</v>
      </c>
      <c r="B197" s="2">
        <v>0.99870000000000003</v>
      </c>
      <c r="C197" s="2">
        <v>0.35339999999999999</v>
      </c>
      <c r="D197" s="2">
        <v>110.3</v>
      </c>
      <c r="E197" s="35">
        <f t="shared" ref="E197:E260" si="6">IF(B197=MEDIAN($J$1-0.05,$J$1+0.05,B197),B197,0)</f>
        <v>0.99870000000000003</v>
      </c>
      <c r="F197" s="35">
        <f t="shared" ref="F197:F260" si="7">IF(E197=0,0,D197)</f>
        <v>110.3</v>
      </c>
    </row>
    <row r="198" spans="1:6" x14ac:dyDescent="0.25">
      <c r="A198">
        <v>1.1525000000000001</v>
      </c>
      <c r="B198" s="2">
        <v>1</v>
      </c>
      <c r="C198" s="2">
        <v>0.35339999999999999</v>
      </c>
      <c r="D198" s="2">
        <v>110.3</v>
      </c>
      <c r="E198" s="35">
        <f t="shared" si="6"/>
        <v>1</v>
      </c>
      <c r="F198" s="35">
        <f t="shared" si="7"/>
        <v>110.3</v>
      </c>
    </row>
    <row r="199" spans="1:6" x14ac:dyDescent="0.25">
      <c r="A199">
        <v>1.1685000000000001</v>
      </c>
      <c r="B199" s="2">
        <v>0.99970000000000003</v>
      </c>
      <c r="C199" s="2">
        <v>0.35339999999999999</v>
      </c>
      <c r="D199" s="2">
        <v>110.4</v>
      </c>
      <c r="E199" s="35">
        <f t="shared" si="6"/>
        <v>0.99970000000000003</v>
      </c>
      <c r="F199" s="35">
        <f t="shared" si="7"/>
        <v>110.4</v>
      </c>
    </row>
    <row r="200" spans="1:6" x14ac:dyDescent="0.25">
      <c r="A200">
        <v>1.1845000000000001</v>
      </c>
      <c r="B200" s="2">
        <v>0.99850000000000005</v>
      </c>
      <c r="C200" s="2">
        <v>0.35339999999999999</v>
      </c>
      <c r="D200" s="2">
        <v>110.5</v>
      </c>
      <c r="E200" s="35">
        <f t="shared" si="6"/>
        <v>0.99850000000000005</v>
      </c>
      <c r="F200" s="35">
        <f t="shared" si="7"/>
        <v>110.5</v>
      </c>
    </row>
    <row r="201" spans="1:6" x14ac:dyDescent="0.25">
      <c r="A201">
        <v>1.2004999999999999</v>
      </c>
      <c r="B201" s="2">
        <v>0.99929999999999997</v>
      </c>
      <c r="C201" s="2">
        <v>0.35339999999999999</v>
      </c>
      <c r="D201" s="2">
        <v>110.6</v>
      </c>
      <c r="E201" s="35">
        <f t="shared" si="6"/>
        <v>0.99929999999999997</v>
      </c>
      <c r="F201" s="35">
        <f t="shared" si="7"/>
        <v>110.6</v>
      </c>
    </row>
    <row r="202" spans="1:6" x14ac:dyDescent="0.25">
      <c r="A202">
        <v>1.2164999999999999</v>
      </c>
      <c r="B202" s="2">
        <v>1.002</v>
      </c>
      <c r="C202" s="2">
        <v>0.35339999999999999</v>
      </c>
      <c r="D202" s="2">
        <v>110.5</v>
      </c>
      <c r="E202" s="35">
        <f t="shared" si="6"/>
        <v>1.002</v>
      </c>
      <c r="F202" s="35">
        <f t="shared" si="7"/>
        <v>110.5</v>
      </c>
    </row>
    <row r="203" spans="1:6" x14ac:dyDescent="0.25">
      <c r="A203">
        <v>1.2324999999999999</v>
      </c>
      <c r="B203" s="2">
        <v>0.99729999999999996</v>
      </c>
      <c r="C203" s="2">
        <v>0.35339999999999999</v>
      </c>
      <c r="D203" s="2">
        <v>110.6</v>
      </c>
      <c r="E203" s="35">
        <f t="shared" si="6"/>
        <v>0.99729999999999996</v>
      </c>
      <c r="F203" s="35">
        <f t="shared" si="7"/>
        <v>110.6</v>
      </c>
    </row>
    <row r="204" spans="1:6" x14ac:dyDescent="0.25">
      <c r="A204">
        <v>1.2565</v>
      </c>
      <c r="B204">
        <v>1</v>
      </c>
      <c r="C204" s="2">
        <v>0.35339999999999999</v>
      </c>
      <c r="D204">
        <v>110.6</v>
      </c>
      <c r="E204" s="35">
        <f t="shared" si="6"/>
        <v>1</v>
      </c>
      <c r="F204" s="35">
        <f t="shared" si="7"/>
        <v>110.6</v>
      </c>
    </row>
    <row r="205" spans="1:6" x14ac:dyDescent="0.25">
      <c r="A205">
        <v>1.2885</v>
      </c>
      <c r="B205">
        <v>1</v>
      </c>
      <c r="C205">
        <v>0.35339999999999999</v>
      </c>
      <c r="D205">
        <v>110.6</v>
      </c>
      <c r="E205" s="35">
        <f t="shared" si="6"/>
        <v>1</v>
      </c>
      <c r="F205" s="35">
        <f t="shared" si="7"/>
        <v>110.6</v>
      </c>
    </row>
    <row r="206" spans="1:6" x14ac:dyDescent="0.25">
      <c r="A206">
        <v>1.3205</v>
      </c>
      <c r="B206">
        <v>1</v>
      </c>
      <c r="C206">
        <v>0.34870000000000001</v>
      </c>
      <c r="D206">
        <v>110.6</v>
      </c>
      <c r="E206" s="35">
        <f t="shared" si="6"/>
        <v>1</v>
      </c>
      <c r="F206" s="35">
        <f t="shared" si="7"/>
        <v>110.6</v>
      </c>
    </row>
    <row r="207" spans="1:6" x14ac:dyDescent="0.25">
      <c r="A207">
        <v>1.3525</v>
      </c>
      <c r="B207">
        <v>1.0009999999999999</v>
      </c>
      <c r="C207">
        <v>0.34870000000000001</v>
      </c>
      <c r="D207">
        <v>110.6</v>
      </c>
      <c r="E207" s="35">
        <f t="shared" si="6"/>
        <v>1.0009999999999999</v>
      </c>
      <c r="F207" s="35">
        <f t="shared" si="7"/>
        <v>110.6</v>
      </c>
    </row>
    <row r="208" spans="1:6" x14ac:dyDescent="0.25">
      <c r="A208">
        <v>1.3845000000000001</v>
      </c>
      <c r="B208">
        <v>0.99919999999999998</v>
      </c>
      <c r="C208">
        <v>0.34870000000000001</v>
      </c>
      <c r="D208">
        <v>110.6</v>
      </c>
      <c r="E208" s="35">
        <f t="shared" si="6"/>
        <v>0.99919999999999998</v>
      </c>
      <c r="F208" s="35">
        <f t="shared" si="7"/>
        <v>110.6</v>
      </c>
    </row>
    <row r="209" spans="1:6" x14ac:dyDescent="0.25">
      <c r="A209">
        <v>1.4165000000000001</v>
      </c>
      <c r="B209">
        <v>1</v>
      </c>
      <c r="C209">
        <v>0.34870000000000001</v>
      </c>
      <c r="D209">
        <v>110.6</v>
      </c>
      <c r="E209" s="35">
        <f t="shared" si="6"/>
        <v>1</v>
      </c>
      <c r="F209" s="35">
        <f t="shared" si="7"/>
        <v>110.6</v>
      </c>
    </row>
    <row r="210" spans="1:6" x14ac:dyDescent="0.25">
      <c r="A210">
        <v>1.4484999999999999</v>
      </c>
      <c r="B210">
        <v>1</v>
      </c>
      <c r="C210">
        <v>0.34870000000000001</v>
      </c>
      <c r="D210">
        <v>110.5</v>
      </c>
      <c r="E210" s="35">
        <f t="shared" si="6"/>
        <v>1</v>
      </c>
      <c r="F210" s="35">
        <f t="shared" si="7"/>
        <v>110.5</v>
      </c>
    </row>
    <row r="211" spans="1:6" x14ac:dyDescent="0.25">
      <c r="A211">
        <v>1.4804999999999999</v>
      </c>
      <c r="B211">
        <v>0.99950000000000006</v>
      </c>
      <c r="C211">
        <v>0.34870000000000001</v>
      </c>
      <c r="D211">
        <v>110.4</v>
      </c>
      <c r="E211" s="35">
        <f t="shared" si="6"/>
        <v>0.99950000000000006</v>
      </c>
      <c r="F211" s="35">
        <f t="shared" si="7"/>
        <v>110.4</v>
      </c>
    </row>
    <row r="212" spans="1:6" x14ac:dyDescent="0.25">
      <c r="A212">
        <v>1.5125</v>
      </c>
      <c r="B212">
        <v>1.0009999999999999</v>
      </c>
      <c r="C212">
        <v>0.34870000000000001</v>
      </c>
      <c r="D212">
        <v>110.4</v>
      </c>
      <c r="E212" s="35">
        <f t="shared" si="6"/>
        <v>1.0009999999999999</v>
      </c>
      <c r="F212" s="35">
        <f t="shared" si="7"/>
        <v>110.4</v>
      </c>
    </row>
    <row r="213" spans="1:6" x14ac:dyDescent="0.25">
      <c r="A213">
        <v>1.5445</v>
      </c>
      <c r="B213">
        <v>1</v>
      </c>
      <c r="C213">
        <v>0.34749999999999998</v>
      </c>
      <c r="D213">
        <v>110.3</v>
      </c>
      <c r="E213" s="35">
        <f t="shared" si="6"/>
        <v>1</v>
      </c>
      <c r="F213" s="35">
        <f t="shared" si="7"/>
        <v>110.3</v>
      </c>
    </row>
    <row r="214" spans="1:6" x14ac:dyDescent="0.25">
      <c r="A214">
        <v>1.5765</v>
      </c>
      <c r="B214">
        <v>1.0009999999999999</v>
      </c>
      <c r="C214">
        <v>0.34749999999999998</v>
      </c>
      <c r="D214">
        <v>110.2</v>
      </c>
      <c r="E214" s="35">
        <f t="shared" si="6"/>
        <v>1.0009999999999999</v>
      </c>
      <c r="F214" s="35">
        <f t="shared" si="7"/>
        <v>110.2</v>
      </c>
    </row>
    <row r="215" spans="1:6" x14ac:dyDescent="0.25">
      <c r="A215">
        <v>1.6085</v>
      </c>
      <c r="B215">
        <v>0.99950000000000006</v>
      </c>
      <c r="C215">
        <v>0.34749999999999998</v>
      </c>
      <c r="D215">
        <v>110.1</v>
      </c>
      <c r="E215" s="35">
        <f t="shared" si="6"/>
        <v>0.99950000000000006</v>
      </c>
      <c r="F215" s="35">
        <f t="shared" si="7"/>
        <v>110.1</v>
      </c>
    </row>
    <row r="216" spans="1:6" x14ac:dyDescent="0.25">
      <c r="A216">
        <v>1.6405000000000001</v>
      </c>
      <c r="B216">
        <v>1.0009999999999999</v>
      </c>
      <c r="C216">
        <v>0.34749999999999998</v>
      </c>
      <c r="D216">
        <v>110</v>
      </c>
      <c r="E216" s="35">
        <f t="shared" si="6"/>
        <v>1.0009999999999999</v>
      </c>
      <c r="F216" s="35">
        <f t="shared" si="7"/>
        <v>110</v>
      </c>
    </row>
    <row r="217" spans="1:6" x14ac:dyDescent="0.25">
      <c r="A217">
        <v>1.6725000000000001</v>
      </c>
      <c r="B217">
        <v>0.99960000000000004</v>
      </c>
      <c r="C217">
        <v>0.34749999999999998</v>
      </c>
      <c r="D217">
        <v>109.9</v>
      </c>
      <c r="E217" s="35">
        <f t="shared" si="6"/>
        <v>0.99960000000000004</v>
      </c>
      <c r="F217" s="35">
        <f t="shared" si="7"/>
        <v>109.9</v>
      </c>
    </row>
    <row r="218" spans="1:6" x14ac:dyDescent="0.25">
      <c r="A218">
        <v>1.7044999999999999</v>
      </c>
      <c r="B218">
        <v>1.0009999999999999</v>
      </c>
      <c r="C218">
        <v>0.34749999999999998</v>
      </c>
      <c r="D218">
        <v>109.8</v>
      </c>
      <c r="E218" s="35">
        <f t="shared" si="6"/>
        <v>1.0009999999999999</v>
      </c>
      <c r="F218" s="35">
        <f t="shared" si="7"/>
        <v>109.8</v>
      </c>
    </row>
    <row r="219" spans="1:6" x14ac:dyDescent="0.25">
      <c r="A219">
        <v>1.7364999999999999</v>
      </c>
      <c r="B219">
        <v>1.0009999999999999</v>
      </c>
      <c r="C219">
        <v>0.34749999999999998</v>
      </c>
      <c r="D219">
        <v>109.6</v>
      </c>
      <c r="E219" s="35">
        <f t="shared" si="6"/>
        <v>1.0009999999999999</v>
      </c>
      <c r="F219" s="35">
        <f t="shared" si="7"/>
        <v>109.6</v>
      </c>
    </row>
    <row r="220" spans="1:6" x14ac:dyDescent="0.25">
      <c r="A220">
        <v>1.7685</v>
      </c>
      <c r="B220">
        <v>0.99990000000000001</v>
      </c>
      <c r="C220">
        <v>0.34749999999999998</v>
      </c>
      <c r="D220">
        <v>109.6</v>
      </c>
      <c r="E220" s="35">
        <f t="shared" si="6"/>
        <v>0.99990000000000001</v>
      </c>
      <c r="F220" s="35">
        <f t="shared" si="7"/>
        <v>109.6</v>
      </c>
    </row>
    <row r="221" spans="1:6" x14ac:dyDescent="0.25">
      <c r="A221">
        <v>1.8005</v>
      </c>
      <c r="B221">
        <v>1.002</v>
      </c>
      <c r="C221">
        <v>0.3422</v>
      </c>
      <c r="D221">
        <v>109.4</v>
      </c>
      <c r="E221" s="35">
        <f t="shared" si="6"/>
        <v>1.002</v>
      </c>
      <c r="F221" s="35">
        <f t="shared" si="7"/>
        <v>109.4</v>
      </c>
    </row>
    <row r="222" spans="1:6" x14ac:dyDescent="0.25">
      <c r="A222">
        <v>1.8325</v>
      </c>
      <c r="B222">
        <v>1</v>
      </c>
      <c r="C222">
        <v>0.3422</v>
      </c>
      <c r="D222">
        <v>109.3</v>
      </c>
      <c r="E222" s="35">
        <f t="shared" si="6"/>
        <v>1</v>
      </c>
      <c r="F222" s="35">
        <f t="shared" si="7"/>
        <v>109.3</v>
      </c>
    </row>
    <row r="223" spans="1:6" x14ac:dyDescent="0.25">
      <c r="A223">
        <v>1.8645</v>
      </c>
      <c r="B223">
        <v>1</v>
      </c>
      <c r="C223">
        <v>0.3422</v>
      </c>
      <c r="D223">
        <v>109.2</v>
      </c>
      <c r="E223" s="35">
        <f t="shared" si="6"/>
        <v>1</v>
      </c>
      <c r="F223" s="35">
        <f t="shared" si="7"/>
        <v>109.2</v>
      </c>
    </row>
    <row r="224" spans="1:6" x14ac:dyDescent="0.25">
      <c r="A224">
        <v>1.8965000000000001</v>
      </c>
      <c r="B224">
        <v>1</v>
      </c>
      <c r="C224">
        <v>0.3422</v>
      </c>
      <c r="D224">
        <v>109.1</v>
      </c>
      <c r="E224" s="35">
        <f t="shared" si="6"/>
        <v>1</v>
      </c>
      <c r="F224" s="35">
        <f t="shared" si="7"/>
        <v>109.1</v>
      </c>
    </row>
    <row r="225" spans="1:6" x14ac:dyDescent="0.25">
      <c r="A225">
        <v>1.9285000000000001</v>
      </c>
      <c r="B225">
        <v>1.0009999999999999</v>
      </c>
      <c r="C225">
        <v>0.3422</v>
      </c>
      <c r="D225">
        <v>109</v>
      </c>
      <c r="E225" s="35">
        <f t="shared" si="6"/>
        <v>1.0009999999999999</v>
      </c>
      <c r="F225" s="35">
        <f t="shared" si="7"/>
        <v>109</v>
      </c>
    </row>
    <row r="226" spans="1:6" x14ac:dyDescent="0.25">
      <c r="A226">
        <v>1.9604999999999999</v>
      </c>
      <c r="B226">
        <v>1</v>
      </c>
      <c r="C226">
        <v>0.3422</v>
      </c>
      <c r="D226">
        <v>108.8</v>
      </c>
      <c r="E226" s="35">
        <f t="shared" si="6"/>
        <v>1</v>
      </c>
      <c r="F226" s="35">
        <f t="shared" si="7"/>
        <v>108.8</v>
      </c>
    </row>
    <row r="227" spans="1:6" x14ac:dyDescent="0.25">
      <c r="A227">
        <v>1.9924999999999999</v>
      </c>
      <c r="B227">
        <v>1</v>
      </c>
      <c r="C227">
        <v>0.3422</v>
      </c>
      <c r="D227">
        <v>108.9</v>
      </c>
      <c r="E227" s="35">
        <f t="shared" si="6"/>
        <v>1</v>
      </c>
      <c r="F227" s="35">
        <f t="shared" si="7"/>
        <v>108.9</v>
      </c>
    </row>
    <row r="228" spans="1:6" x14ac:dyDescent="0.25">
      <c r="A228">
        <v>2.0245000000000002</v>
      </c>
      <c r="B228">
        <v>1</v>
      </c>
      <c r="C228" s="2">
        <v>0.3422</v>
      </c>
      <c r="D228">
        <v>108.7</v>
      </c>
      <c r="E228" s="35">
        <f t="shared" si="6"/>
        <v>1</v>
      </c>
      <c r="F228" s="35">
        <f t="shared" si="7"/>
        <v>108.7</v>
      </c>
    </row>
    <row r="229" spans="1:6" x14ac:dyDescent="0.25">
      <c r="A229">
        <v>2.0565000000000002</v>
      </c>
      <c r="B229">
        <v>1</v>
      </c>
      <c r="C229" s="2">
        <v>0.33779999999999999</v>
      </c>
      <c r="D229">
        <v>108.6</v>
      </c>
      <c r="E229" s="35">
        <f t="shared" si="6"/>
        <v>1</v>
      </c>
      <c r="F229" s="35">
        <f t="shared" si="7"/>
        <v>108.6</v>
      </c>
    </row>
    <row r="230" spans="1:6" x14ac:dyDescent="0.25">
      <c r="A230">
        <v>2.0884999999999998</v>
      </c>
      <c r="B230">
        <v>1.0009999999999999</v>
      </c>
      <c r="C230" s="2">
        <v>0.33779999999999999</v>
      </c>
      <c r="D230">
        <v>108.5</v>
      </c>
      <c r="E230" s="35">
        <f t="shared" si="6"/>
        <v>1.0009999999999999</v>
      </c>
      <c r="F230" s="35">
        <f t="shared" si="7"/>
        <v>108.5</v>
      </c>
    </row>
    <row r="231" spans="1:6" x14ac:dyDescent="0.25">
      <c r="A231">
        <v>2.1204999999999998</v>
      </c>
      <c r="B231">
        <v>1</v>
      </c>
      <c r="C231" s="2">
        <v>0.33779999999999999</v>
      </c>
      <c r="D231">
        <v>108.4</v>
      </c>
      <c r="E231" s="35">
        <f t="shared" si="6"/>
        <v>1</v>
      </c>
      <c r="F231" s="35">
        <f t="shared" si="7"/>
        <v>108.4</v>
      </c>
    </row>
    <row r="232" spans="1:6" x14ac:dyDescent="0.25">
      <c r="A232">
        <v>2.1524999999999999</v>
      </c>
      <c r="B232">
        <v>1.002</v>
      </c>
      <c r="C232" s="2">
        <v>0.33779999999999999</v>
      </c>
      <c r="D232">
        <v>108.3</v>
      </c>
      <c r="E232" s="35">
        <f t="shared" si="6"/>
        <v>1.002</v>
      </c>
      <c r="F232" s="35">
        <f t="shared" si="7"/>
        <v>108.3</v>
      </c>
    </row>
    <row r="233" spans="1:6" x14ac:dyDescent="0.25">
      <c r="A233">
        <v>2.1844999999999999</v>
      </c>
      <c r="B233">
        <v>0.99929999999999997</v>
      </c>
      <c r="C233" s="2">
        <v>0.33779999999999999</v>
      </c>
      <c r="D233">
        <v>108.2</v>
      </c>
      <c r="E233" s="35">
        <f t="shared" si="6"/>
        <v>0.99929999999999997</v>
      </c>
      <c r="F233" s="35">
        <f t="shared" si="7"/>
        <v>108.2</v>
      </c>
    </row>
    <row r="234" spans="1:6" x14ac:dyDescent="0.25">
      <c r="A234">
        <v>2.2164999999999999</v>
      </c>
      <c r="B234">
        <v>1.0009999999999999</v>
      </c>
      <c r="C234" s="2">
        <v>0.33779999999999999</v>
      </c>
      <c r="D234">
        <v>108.1</v>
      </c>
      <c r="E234" s="35">
        <f t="shared" si="6"/>
        <v>1.0009999999999999</v>
      </c>
      <c r="F234" s="35">
        <f t="shared" si="7"/>
        <v>108.1</v>
      </c>
    </row>
    <row r="235" spans="1:6" x14ac:dyDescent="0.25">
      <c r="A235">
        <v>2.2484999999999999</v>
      </c>
      <c r="B235">
        <v>0.99970000000000003</v>
      </c>
      <c r="C235" s="2">
        <v>0.33779999999999999</v>
      </c>
      <c r="D235">
        <v>108</v>
      </c>
      <c r="E235" s="35">
        <f t="shared" si="6"/>
        <v>0.99970000000000003</v>
      </c>
      <c r="F235" s="35">
        <f t="shared" si="7"/>
        <v>108</v>
      </c>
    </row>
    <row r="236" spans="1:6" x14ac:dyDescent="0.25">
      <c r="A236">
        <v>2.2805</v>
      </c>
      <c r="B236">
        <v>0.99980000000000002</v>
      </c>
      <c r="C236" s="2">
        <v>0.33710000000000001</v>
      </c>
      <c r="D236">
        <v>108</v>
      </c>
      <c r="E236" s="35">
        <f t="shared" si="6"/>
        <v>0.99980000000000002</v>
      </c>
      <c r="F236" s="35">
        <f t="shared" si="7"/>
        <v>108</v>
      </c>
    </row>
    <row r="237" spans="1:6" x14ac:dyDescent="0.25">
      <c r="A237">
        <v>2.3125</v>
      </c>
      <c r="B237">
        <v>1.0009999999999999</v>
      </c>
      <c r="C237" s="2">
        <v>0.33710000000000001</v>
      </c>
      <c r="D237">
        <v>107.9</v>
      </c>
      <c r="E237" s="35">
        <f t="shared" si="6"/>
        <v>1.0009999999999999</v>
      </c>
      <c r="F237" s="35">
        <f t="shared" si="7"/>
        <v>107.9</v>
      </c>
    </row>
    <row r="238" spans="1:6" x14ac:dyDescent="0.25">
      <c r="A238">
        <v>2.3445</v>
      </c>
      <c r="B238">
        <v>1</v>
      </c>
      <c r="C238" s="2">
        <v>0.33710000000000001</v>
      </c>
      <c r="D238">
        <v>107.8</v>
      </c>
      <c r="E238" s="35">
        <f t="shared" si="6"/>
        <v>1</v>
      </c>
      <c r="F238" s="35">
        <f t="shared" si="7"/>
        <v>107.8</v>
      </c>
    </row>
    <row r="239" spans="1:6" x14ac:dyDescent="0.25">
      <c r="A239">
        <v>2.3765000000000001</v>
      </c>
      <c r="B239">
        <v>1.0009999999999999</v>
      </c>
      <c r="C239" s="2">
        <v>0.33710000000000001</v>
      </c>
      <c r="D239">
        <v>107.8</v>
      </c>
      <c r="E239" s="35">
        <f t="shared" si="6"/>
        <v>1.0009999999999999</v>
      </c>
      <c r="F239" s="35">
        <f t="shared" si="7"/>
        <v>107.8</v>
      </c>
    </row>
    <row r="240" spans="1:6" x14ac:dyDescent="0.25">
      <c r="A240">
        <v>2.4085000000000001</v>
      </c>
      <c r="B240">
        <v>1</v>
      </c>
      <c r="C240" s="2">
        <v>0.33710000000000001</v>
      </c>
      <c r="D240">
        <v>107.7</v>
      </c>
      <c r="E240" s="35">
        <f t="shared" si="6"/>
        <v>1</v>
      </c>
      <c r="F240" s="35">
        <f t="shared" si="7"/>
        <v>107.7</v>
      </c>
    </row>
    <row r="241" spans="1:6" x14ac:dyDescent="0.25">
      <c r="A241">
        <v>2.4405000000000001</v>
      </c>
      <c r="B241">
        <v>1.0009999999999999</v>
      </c>
      <c r="C241" s="2">
        <v>0.33710000000000001</v>
      </c>
      <c r="D241">
        <v>107.6</v>
      </c>
      <c r="E241" s="35">
        <f t="shared" si="6"/>
        <v>1.0009999999999999</v>
      </c>
      <c r="F241" s="35">
        <f t="shared" si="7"/>
        <v>107.6</v>
      </c>
    </row>
    <row r="242" spans="1:6" x14ac:dyDescent="0.25">
      <c r="A242">
        <v>2.4725000000000001</v>
      </c>
      <c r="B242">
        <v>0.99970000000000003</v>
      </c>
      <c r="C242" s="2">
        <v>0.33710000000000001</v>
      </c>
      <c r="D242">
        <v>107.5</v>
      </c>
      <c r="E242" s="35">
        <f t="shared" si="6"/>
        <v>0.99970000000000003</v>
      </c>
      <c r="F242" s="35">
        <f t="shared" si="7"/>
        <v>107.5</v>
      </c>
    </row>
    <row r="243" spans="1:6" x14ac:dyDescent="0.25">
      <c r="A243">
        <v>2.5045000000000002</v>
      </c>
      <c r="B243">
        <v>1.0009999999999999</v>
      </c>
      <c r="C243" s="2">
        <v>0.33710000000000001</v>
      </c>
      <c r="D243">
        <v>107.4</v>
      </c>
      <c r="E243" s="35">
        <f t="shared" si="6"/>
        <v>1.0009999999999999</v>
      </c>
      <c r="F243" s="35">
        <f t="shared" si="7"/>
        <v>107.4</v>
      </c>
    </row>
    <row r="244" spans="1:6" x14ac:dyDescent="0.25">
      <c r="A244">
        <v>2.5525000000000002</v>
      </c>
      <c r="B244">
        <v>0.99980000000000002</v>
      </c>
      <c r="C244" s="2">
        <v>0.33539999999999998</v>
      </c>
      <c r="D244">
        <v>107.4</v>
      </c>
      <c r="E244" s="35">
        <f t="shared" si="6"/>
        <v>0.99980000000000002</v>
      </c>
      <c r="F244" s="35">
        <f t="shared" si="7"/>
        <v>107.4</v>
      </c>
    </row>
    <row r="245" spans="1:6" x14ac:dyDescent="0.25">
      <c r="A245">
        <v>2.6164999999999998</v>
      </c>
      <c r="B245">
        <v>1</v>
      </c>
      <c r="C245" s="2">
        <v>0.33539999999999998</v>
      </c>
      <c r="D245">
        <v>107.3</v>
      </c>
      <c r="E245" s="35">
        <f t="shared" si="6"/>
        <v>1</v>
      </c>
      <c r="F245" s="35">
        <f t="shared" si="7"/>
        <v>107.3</v>
      </c>
    </row>
    <row r="246" spans="1:6" x14ac:dyDescent="0.25">
      <c r="A246">
        <v>2.6804999999999999</v>
      </c>
      <c r="B246">
        <v>1</v>
      </c>
      <c r="C246" s="2">
        <v>0.33539999999999998</v>
      </c>
      <c r="D246">
        <v>107.1</v>
      </c>
      <c r="E246" s="35">
        <f t="shared" si="6"/>
        <v>1</v>
      </c>
      <c r="F246" s="35">
        <f t="shared" si="7"/>
        <v>107.1</v>
      </c>
    </row>
    <row r="247" spans="1:6" x14ac:dyDescent="0.25">
      <c r="A247">
        <v>2.7444999999999999</v>
      </c>
      <c r="B247">
        <v>1</v>
      </c>
      <c r="C247" s="2">
        <v>0.33289999999999997</v>
      </c>
      <c r="D247">
        <v>107</v>
      </c>
      <c r="E247" s="35">
        <f t="shared" si="6"/>
        <v>1</v>
      </c>
      <c r="F247" s="35">
        <f t="shared" si="7"/>
        <v>107</v>
      </c>
    </row>
    <row r="248" spans="1:6" x14ac:dyDescent="0.25">
      <c r="A248">
        <v>2.8085</v>
      </c>
      <c r="B248">
        <v>1</v>
      </c>
      <c r="C248" s="2">
        <v>0.33289999999999997</v>
      </c>
      <c r="D248">
        <v>106.9</v>
      </c>
      <c r="E248" s="35">
        <f t="shared" si="6"/>
        <v>1</v>
      </c>
      <c r="F248" s="35">
        <f t="shared" si="7"/>
        <v>106.9</v>
      </c>
    </row>
    <row r="249" spans="1:6" x14ac:dyDescent="0.25">
      <c r="A249">
        <v>2.8725000000000001</v>
      </c>
      <c r="B249">
        <v>1</v>
      </c>
      <c r="C249" s="2">
        <v>0.33289999999999997</v>
      </c>
      <c r="D249">
        <v>106.8</v>
      </c>
      <c r="E249" s="35">
        <f t="shared" si="6"/>
        <v>1</v>
      </c>
      <c r="F249" s="35">
        <f t="shared" si="7"/>
        <v>106.8</v>
      </c>
    </row>
    <row r="250" spans="1:6" x14ac:dyDescent="0.25">
      <c r="A250">
        <v>2.9365000000000001</v>
      </c>
      <c r="B250">
        <v>1</v>
      </c>
      <c r="C250" s="2">
        <v>0.33289999999999997</v>
      </c>
      <c r="D250">
        <v>106.7</v>
      </c>
      <c r="E250" s="35">
        <f t="shared" si="6"/>
        <v>1</v>
      </c>
      <c r="F250" s="35">
        <f t="shared" si="7"/>
        <v>106.7</v>
      </c>
    </row>
    <row r="251" spans="1:6" x14ac:dyDescent="0.25">
      <c r="A251">
        <v>3.0005000000000002</v>
      </c>
      <c r="B251">
        <v>1</v>
      </c>
      <c r="C251" s="2">
        <v>0.33200000000000002</v>
      </c>
      <c r="D251">
        <v>106.6</v>
      </c>
      <c r="E251" s="35">
        <f t="shared" si="6"/>
        <v>1</v>
      </c>
      <c r="F251" s="35">
        <f t="shared" si="7"/>
        <v>106.6</v>
      </c>
    </row>
    <row r="252" spans="1:6" x14ac:dyDescent="0.25">
      <c r="A252">
        <v>3.0644999999999998</v>
      </c>
      <c r="B252">
        <v>1</v>
      </c>
      <c r="C252" s="2">
        <v>0.33200000000000002</v>
      </c>
      <c r="D252">
        <v>106.6</v>
      </c>
      <c r="E252" s="35">
        <f t="shared" si="6"/>
        <v>1</v>
      </c>
      <c r="F252" s="35">
        <f t="shared" si="7"/>
        <v>106.6</v>
      </c>
    </row>
    <row r="253" spans="1:6" x14ac:dyDescent="0.25">
      <c r="A253">
        <v>3.1284999999999998</v>
      </c>
      <c r="B253">
        <v>1</v>
      </c>
      <c r="C253" s="2">
        <v>0.33200000000000002</v>
      </c>
      <c r="D253">
        <v>106.4</v>
      </c>
      <c r="E253" s="35">
        <f t="shared" si="6"/>
        <v>1</v>
      </c>
      <c r="F253" s="35">
        <f t="shared" si="7"/>
        <v>106.4</v>
      </c>
    </row>
    <row r="254" spans="1:6" x14ac:dyDescent="0.25">
      <c r="A254">
        <v>3.1924999999999999</v>
      </c>
      <c r="B254">
        <v>1.0009999999999999</v>
      </c>
      <c r="C254" s="2">
        <v>0.33200000000000002</v>
      </c>
      <c r="D254">
        <v>106.4</v>
      </c>
      <c r="E254" s="35">
        <f t="shared" si="6"/>
        <v>1.0009999999999999</v>
      </c>
      <c r="F254" s="35">
        <f t="shared" si="7"/>
        <v>106.4</v>
      </c>
    </row>
    <row r="255" spans="1:6" x14ac:dyDescent="0.25">
      <c r="A255">
        <v>3.2565</v>
      </c>
      <c r="B255">
        <v>0.99990000000000001</v>
      </c>
      <c r="C255" s="2">
        <v>0.33189999999999997</v>
      </c>
      <c r="D255">
        <v>106.3</v>
      </c>
      <c r="E255" s="35">
        <f t="shared" si="6"/>
        <v>0.99990000000000001</v>
      </c>
      <c r="F255" s="35">
        <f t="shared" si="7"/>
        <v>106.3</v>
      </c>
    </row>
    <row r="256" spans="1:6" x14ac:dyDescent="0.25">
      <c r="A256">
        <v>3.3205</v>
      </c>
      <c r="B256">
        <v>1</v>
      </c>
      <c r="C256" s="2">
        <v>0.33189999999999997</v>
      </c>
      <c r="D256">
        <v>106.3</v>
      </c>
      <c r="E256" s="35">
        <f t="shared" si="6"/>
        <v>1</v>
      </c>
      <c r="F256" s="35">
        <f t="shared" si="7"/>
        <v>106.3</v>
      </c>
    </row>
    <row r="257" spans="1:6" x14ac:dyDescent="0.25">
      <c r="A257">
        <v>3.3845000000000001</v>
      </c>
      <c r="B257">
        <v>1</v>
      </c>
      <c r="C257" s="2">
        <v>0.33189999999999997</v>
      </c>
      <c r="D257">
        <v>106.2</v>
      </c>
      <c r="E257" s="35">
        <f t="shared" si="6"/>
        <v>1</v>
      </c>
      <c r="F257" s="35">
        <f t="shared" si="7"/>
        <v>106.2</v>
      </c>
    </row>
    <row r="258" spans="1:6" x14ac:dyDescent="0.25">
      <c r="A258">
        <v>3.4485000000000001</v>
      </c>
      <c r="B258">
        <v>1</v>
      </c>
      <c r="C258" s="2">
        <v>0.33189999999999997</v>
      </c>
      <c r="D258">
        <v>106.1</v>
      </c>
      <c r="E258" s="35">
        <f t="shared" si="6"/>
        <v>1</v>
      </c>
      <c r="F258" s="35">
        <f t="shared" si="7"/>
        <v>106.1</v>
      </c>
    </row>
    <row r="259" spans="1:6" x14ac:dyDescent="0.25">
      <c r="A259">
        <v>3.5125000000000002</v>
      </c>
      <c r="B259">
        <v>0.99980000000000002</v>
      </c>
      <c r="C259" s="2">
        <v>0.3276</v>
      </c>
      <c r="D259">
        <v>106.1</v>
      </c>
      <c r="E259" s="35">
        <f t="shared" si="6"/>
        <v>0.99980000000000002</v>
      </c>
      <c r="F259" s="35">
        <f t="shared" si="7"/>
        <v>106.1</v>
      </c>
    </row>
    <row r="260" spans="1:6" x14ac:dyDescent="0.25">
      <c r="A260">
        <v>3.5764999999999998</v>
      </c>
      <c r="B260">
        <v>1</v>
      </c>
      <c r="C260" s="2">
        <v>0.3276</v>
      </c>
      <c r="D260">
        <v>106</v>
      </c>
      <c r="E260" s="35">
        <f t="shared" si="6"/>
        <v>1</v>
      </c>
      <c r="F260" s="35">
        <f t="shared" si="7"/>
        <v>106</v>
      </c>
    </row>
    <row r="261" spans="1:6" x14ac:dyDescent="0.25">
      <c r="A261">
        <v>3.6404999999999998</v>
      </c>
      <c r="B261">
        <v>1</v>
      </c>
      <c r="C261" s="2">
        <v>0.3276</v>
      </c>
      <c r="D261">
        <v>105.9</v>
      </c>
      <c r="E261" s="35">
        <f t="shared" ref="E261:E324" si="8">IF(B261=MEDIAN($J$1-0.05,$J$1+0.05,B261),B261,0)</f>
        <v>1</v>
      </c>
      <c r="F261" s="35">
        <f t="shared" ref="F261:F324" si="9">IF(E261=0,0,D261)</f>
        <v>105.9</v>
      </c>
    </row>
    <row r="262" spans="1:6" x14ac:dyDescent="0.25">
      <c r="A262">
        <v>3.7044999999999999</v>
      </c>
      <c r="B262">
        <v>1</v>
      </c>
      <c r="C262" s="2">
        <v>0.3276</v>
      </c>
      <c r="D262">
        <v>105.9</v>
      </c>
      <c r="E262" s="35">
        <f t="shared" si="8"/>
        <v>1</v>
      </c>
      <c r="F262" s="35">
        <f t="shared" si="9"/>
        <v>105.9</v>
      </c>
    </row>
    <row r="263" spans="1:6" x14ac:dyDescent="0.25">
      <c r="A263">
        <v>3.7685</v>
      </c>
      <c r="B263">
        <v>1</v>
      </c>
      <c r="C263" s="2">
        <v>0.32929999999999998</v>
      </c>
      <c r="D263">
        <v>105.9</v>
      </c>
      <c r="E263" s="35">
        <f t="shared" si="8"/>
        <v>1</v>
      </c>
      <c r="F263" s="35">
        <f t="shared" si="9"/>
        <v>105.9</v>
      </c>
    </row>
    <row r="264" spans="1:6" x14ac:dyDescent="0.25">
      <c r="A264">
        <v>3.8325</v>
      </c>
      <c r="B264">
        <v>1</v>
      </c>
      <c r="C264" s="2">
        <v>0.32929999999999998</v>
      </c>
      <c r="D264">
        <v>105.8</v>
      </c>
      <c r="E264" s="35">
        <f t="shared" si="8"/>
        <v>1</v>
      </c>
      <c r="F264" s="35">
        <f t="shared" si="9"/>
        <v>105.8</v>
      </c>
    </row>
    <row r="265" spans="1:6" x14ac:dyDescent="0.25">
      <c r="A265">
        <v>3.8965000000000001</v>
      </c>
      <c r="B265">
        <v>0.99950000000000006</v>
      </c>
      <c r="C265" s="2">
        <v>0.32929999999999998</v>
      </c>
      <c r="D265">
        <v>105.8</v>
      </c>
      <c r="E265" s="35">
        <f t="shared" si="8"/>
        <v>0.99950000000000006</v>
      </c>
      <c r="F265" s="35">
        <f t="shared" si="9"/>
        <v>105.8</v>
      </c>
    </row>
    <row r="266" spans="1:6" x14ac:dyDescent="0.25">
      <c r="A266">
        <v>3.9605000000000001</v>
      </c>
      <c r="B266">
        <v>1.0009999999999999</v>
      </c>
      <c r="C266" s="2">
        <v>0.32800000000000001</v>
      </c>
      <c r="D266">
        <v>105.7</v>
      </c>
      <c r="E266" s="35">
        <f t="shared" si="8"/>
        <v>1.0009999999999999</v>
      </c>
      <c r="F266" s="35">
        <f t="shared" si="9"/>
        <v>105.7</v>
      </c>
    </row>
    <row r="267" spans="1:6" x14ac:dyDescent="0.25">
      <c r="A267">
        <v>4.0244999999999997</v>
      </c>
      <c r="B267">
        <v>0.99980000000000002</v>
      </c>
      <c r="C267" s="2">
        <v>0.32800000000000001</v>
      </c>
      <c r="D267">
        <v>105.7</v>
      </c>
      <c r="E267" s="35">
        <f t="shared" si="8"/>
        <v>0.99980000000000002</v>
      </c>
      <c r="F267" s="35">
        <f t="shared" si="9"/>
        <v>105.7</v>
      </c>
    </row>
    <row r="268" spans="1:6" x14ac:dyDescent="0.25">
      <c r="A268">
        <v>4.0884999999999998</v>
      </c>
      <c r="B268">
        <v>0.99980000000000002</v>
      </c>
      <c r="C268" s="2">
        <v>0.32800000000000001</v>
      </c>
      <c r="D268">
        <v>105.6</v>
      </c>
      <c r="E268" s="35">
        <f t="shared" si="8"/>
        <v>0.99980000000000002</v>
      </c>
      <c r="F268" s="35">
        <f t="shared" si="9"/>
        <v>105.6</v>
      </c>
    </row>
    <row r="269" spans="1:6" x14ac:dyDescent="0.25">
      <c r="A269">
        <v>4.1524999999999999</v>
      </c>
      <c r="B269">
        <v>1</v>
      </c>
      <c r="C269" s="2">
        <v>0.32800000000000001</v>
      </c>
      <c r="D269">
        <v>105.6</v>
      </c>
      <c r="E269" s="35">
        <f t="shared" si="8"/>
        <v>1</v>
      </c>
      <c r="F269" s="35">
        <f t="shared" si="9"/>
        <v>105.6</v>
      </c>
    </row>
    <row r="270" spans="1:6" x14ac:dyDescent="0.25">
      <c r="A270">
        <v>4.2164999999999999</v>
      </c>
      <c r="B270">
        <v>1</v>
      </c>
      <c r="C270" s="2">
        <v>0.32800000000000001</v>
      </c>
      <c r="D270">
        <v>105.5</v>
      </c>
      <c r="E270" s="35">
        <f t="shared" si="8"/>
        <v>1</v>
      </c>
      <c r="F270" s="35">
        <f t="shared" si="9"/>
        <v>105.5</v>
      </c>
    </row>
    <row r="271" spans="1:6" x14ac:dyDescent="0.25">
      <c r="A271">
        <v>4.2805</v>
      </c>
      <c r="B271">
        <v>0.99970000000000003</v>
      </c>
      <c r="C271" s="2">
        <v>0.3276</v>
      </c>
      <c r="D271">
        <v>105.5</v>
      </c>
      <c r="E271" s="35">
        <f t="shared" si="8"/>
        <v>0.99970000000000003</v>
      </c>
      <c r="F271" s="35">
        <f t="shared" si="9"/>
        <v>105.5</v>
      </c>
    </row>
    <row r="272" spans="1:6" x14ac:dyDescent="0.25">
      <c r="A272">
        <v>4.3445</v>
      </c>
      <c r="B272">
        <v>1.0009999999999999</v>
      </c>
      <c r="C272" s="2">
        <v>0.3276</v>
      </c>
      <c r="D272">
        <v>105.5</v>
      </c>
      <c r="E272" s="35">
        <f t="shared" si="8"/>
        <v>1.0009999999999999</v>
      </c>
      <c r="F272" s="35">
        <f t="shared" si="9"/>
        <v>105.5</v>
      </c>
    </row>
    <row r="273" spans="1:6" x14ac:dyDescent="0.25">
      <c r="A273">
        <v>4.4085000000000001</v>
      </c>
      <c r="B273">
        <v>0.99990000000000001</v>
      </c>
      <c r="C273" s="2">
        <v>0.3276</v>
      </c>
      <c r="D273">
        <v>105.5</v>
      </c>
      <c r="E273" s="35">
        <f t="shared" si="8"/>
        <v>0.99990000000000001</v>
      </c>
      <c r="F273" s="35">
        <f t="shared" si="9"/>
        <v>105.5</v>
      </c>
    </row>
    <row r="274" spans="1:6" x14ac:dyDescent="0.25">
      <c r="A274">
        <v>4.4725000000000001</v>
      </c>
      <c r="B274">
        <v>0.99980000000000002</v>
      </c>
      <c r="C274" s="2">
        <v>0.3276</v>
      </c>
      <c r="D274">
        <v>105.4</v>
      </c>
      <c r="E274" s="35">
        <f t="shared" si="8"/>
        <v>0.99980000000000002</v>
      </c>
      <c r="F274" s="35">
        <f t="shared" si="9"/>
        <v>105.4</v>
      </c>
    </row>
    <row r="275" spans="1:6" x14ac:dyDescent="0.25">
      <c r="A275">
        <v>4.5365000000000002</v>
      </c>
      <c r="B275">
        <v>1</v>
      </c>
      <c r="C275" s="2">
        <v>0.32890000000000003</v>
      </c>
      <c r="D275">
        <v>105.4</v>
      </c>
      <c r="E275" s="35">
        <f t="shared" si="8"/>
        <v>1</v>
      </c>
      <c r="F275" s="35">
        <f t="shared" si="9"/>
        <v>105.4</v>
      </c>
    </row>
    <row r="276" spans="1:6" x14ac:dyDescent="0.25">
      <c r="A276">
        <v>4.6005000000000003</v>
      </c>
      <c r="B276">
        <v>0.99990000000000001</v>
      </c>
      <c r="C276" s="2">
        <v>0.32890000000000003</v>
      </c>
      <c r="D276">
        <v>105.4</v>
      </c>
      <c r="E276" s="35">
        <f t="shared" si="8"/>
        <v>0.99990000000000001</v>
      </c>
      <c r="F276" s="35">
        <f t="shared" si="9"/>
        <v>105.4</v>
      </c>
    </row>
    <row r="277" spans="1:6" x14ac:dyDescent="0.25">
      <c r="A277">
        <v>4.6645000000000003</v>
      </c>
      <c r="B277">
        <v>0.99980000000000002</v>
      </c>
      <c r="C277" s="2">
        <v>0.32890000000000003</v>
      </c>
      <c r="D277">
        <v>105.3</v>
      </c>
      <c r="E277" s="35">
        <f t="shared" si="8"/>
        <v>0.99980000000000002</v>
      </c>
      <c r="F277" s="35">
        <f t="shared" si="9"/>
        <v>105.3</v>
      </c>
    </row>
    <row r="278" spans="1:6" x14ac:dyDescent="0.25">
      <c r="A278">
        <v>4.7285000000000004</v>
      </c>
      <c r="B278">
        <v>1</v>
      </c>
      <c r="C278" s="2">
        <v>0.32779999999999998</v>
      </c>
      <c r="D278">
        <v>105.3</v>
      </c>
      <c r="E278" s="35">
        <f t="shared" si="8"/>
        <v>1</v>
      </c>
      <c r="F278" s="35">
        <f t="shared" si="9"/>
        <v>105.3</v>
      </c>
    </row>
    <row r="279" spans="1:6" x14ac:dyDescent="0.25">
      <c r="A279">
        <v>4.7925000000000004</v>
      </c>
      <c r="B279">
        <v>1</v>
      </c>
      <c r="C279" s="2">
        <v>0.32779999999999998</v>
      </c>
      <c r="D279">
        <v>105.3</v>
      </c>
      <c r="E279" s="35">
        <f t="shared" si="8"/>
        <v>1</v>
      </c>
      <c r="F279" s="35">
        <f t="shared" si="9"/>
        <v>105.3</v>
      </c>
    </row>
    <row r="280" spans="1:6" x14ac:dyDescent="0.25">
      <c r="A280">
        <v>4.8564999999999996</v>
      </c>
      <c r="B280">
        <v>0.99970000000000003</v>
      </c>
      <c r="C280" s="2">
        <v>0.32779999999999998</v>
      </c>
      <c r="D280">
        <v>105.2</v>
      </c>
      <c r="E280" s="35">
        <f t="shared" si="8"/>
        <v>0.99970000000000003</v>
      </c>
      <c r="F280" s="35">
        <f t="shared" si="9"/>
        <v>105.2</v>
      </c>
    </row>
    <row r="281" spans="1:6" x14ac:dyDescent="0.25">
      <c r="A281">
        <v>4.9204999999999997</v>
      </c>
      <c r="B281">
        <v>1</v>
      </c>
      <c r="C281" s="2">
        <v>0.32779999999999998</v>
      </c>
      <c r="D281">
        <v>105.2</v>
      </c>
      <c r="E281" s="35">
        <f t="shared" si="8"/>
        <v>1</v>
      </c>
      <c r="F281" s="35">
        <f t="shared" si="9"/>
        <v>105.2</v>
      </c>
    </row>
    <row r="282" spans="1:6" x14ac:dyDescent="0.25">
      <c r="A282">
        <v>4.9844999999999997</v>
      </c>
      <c r="B282">
        <v>1</v>
      </c>
      <c r="C282" s="2">
        <v>0.32890000000000003</v>
      </c>
      <c r="D282">
        <v>105.2</v>
      </c>
      <c r="E282" s="35">
        <f t="shared" si="8"/>
        <v>1</v>
      </c>
      <c r="F282" s="35">
        <f t="shared" si="9"/>
        <v>105.2</v>
      </c>
    </row>
    <row r="283" spans="1:6" x14ac:dyDescent="0.25">
      <c r="A283">
        <v>5.0484999999999998</v>
      </c>
      <c r="B283">
        <v>0.99980000000000002</v>
      </c>
      <c r="C283" s="2">
        <v>0.32890000000000003</v>
      </c>
      <c r="D283">
        <v>105.2</v>
      </c>
      <c r="E283" s="35">
        <f t="shared" si="8"/>
        <v>0.99980000000000002</v>
      </c>
      <c r="F283" s="35">
        <f t="shared" si="9"/>
        <v>105.2</v>
      </c>
    </row>
    <row r="284" spans="1:6" x14ac:dyDescent="0.25">
      <c r="A284">
        <v>5.1444999999999999</v>
      </c>
      <c r="B284">
        <v>0.99980000000000002</v>
      </c>
      <c r="C284" s="2">
        <v>0.32890000000000003</v>
      </c>
      <c r="D284">
        <v>105.2</v>
      </c>
      <c r="E284" s="35">
        <f t="shared" si="8"/>
        <v>0.99980000000000002</v>
      </c>
      <c r="F284" s="35">
        <f t="shared" si="9"/>
        <v>105.2</v>
      </c>
    </row>
    <row r="285" spans="1:6" x14ac:dyDescent="0.25">
      <c r="A285">
        <v>5.2725</v>
      </c>
      <c r="B285">
        <v>1</v>
      </c>
      <c r="C285" s="2">
        <v>0.3286</v>
      </c>
      <c r="D285">
        <v>105.1</v>
      </c>
      <c r="E285" s="35">
        <f t="shared" si="8"/>
        <v>1</v>
      </c>
      <c r="F285" s="35">
        <f t="shared" si="9"/>
        <v>105.1</v>
      </c>
    </row>
    <row r="286" spans="1:6" x14ac:dyDescent="0.25">
      <c r="A286">
        <v>5.4005000000000001</v>
      </c>
      <c r="B286">
        <v>0.99980000000000002</v>
      </c>
      <c r="C286" s="2">
        <v>0.3286</v>
      </c>
      <c r="D286">
        <v>105.1</v>
      </c>
      <c r="E286" s="35">
        <f t="shared" si="8"/>
        <v>0.99980000000000002</v>
      </c>
      <c r="F286" s="35">
        <f t="shared" si="9"/>
        <v>105.1</v>
      </c>
    </row>
    <row r="287" spans="1:6" x14ac:dyDescent="0.25">
      <c r="A287">
        <v>5.5285000000000002</v>
      </c>
      <c r="B287">
        <v>1</v>
      </c>
      <c r="C287" s="2">
        <v>0.32969999999999999</v>
      </c>
      <c r="D287">
        <v>105.1</v>
      </c>
      <c r="E287" s="35">
        <f t="shared" si="8"/>
        <v>1</v>
      </c>
      <c r="F287" s="35">
        <f t="shared" si="9"/>
        <v>105.1</v>
      </c>
    </row>
    <row r="288" spans="1:6" x14ac:dyDescent="0.25">
      <c r="A288">
        <v>5.6565000000000003</v>
      </c>
      <c r="B288">
        <v>1</v>
      </c>
      <c r="C288" s="2">
        <v>0.32969999999999999</v>
      </c>
      <c r="D288">
        <v>105</v>
      </c>
      <c r="E288" s="35">
        <f t="shared" si="8"/>
        <v>1</v>
      </c>
      <c r="F288" s="35">
        <f t="shared" si="9"/>
        <v>105</v>
      </c>
    </row>
    <row r="289" spans="1:6" x14ac:dyDescent="0.25">
      <c r="A289">
        <v>5.7845000000000004</v>
      </c>
      <c r="B289">
        <v>0.99990000000000001</v>
      </c>
      <c r="C289" s="2">
        <v>0.32679999999999998</v>
      </c>
      <c r="D289">
        <v>105</v>
      </c>
      <c r="E289" s="35">
        <f t="shared" si="8"/>
        <v>0.99990000000000001</v>
      </c>
      <c r="F289" s="35">
        <f t="shared" si="9"/>
        <v>105</v>
      </c>
    </row>
    <row r="290" spans="1:6" x14ac:dyDescent="0.25">
      <c r="A290">
        <v>5.9124999999999996</v>
      </c>
      <c r="B290">
        <v>1</v>
      </c>
      <c r="C290" s="2">
        <v>0.3266</v>
      </c>
      <c r="D290">
        <v>105</v>
      </c>
      <c r="E290" s="35">
        <f t="shared" si="8"/>
        <v>1</v>
      </c>
      <c r="F290" s="35">
        <f t="shared" si="9"/>
        <v>105</v>
      </c>
    </row>
    <row r="291" spans="1:6" x14ac:dyDescent="0.25">
      <c r="A291">
        <v>6.0404999999999998</v>
      </c>
      <c r="B291">
        <v>1</v>
      </c>
      <c r="C291" s="2">
        <v>0.3266</v>
      </c>
      <c r="D291">
        <v>104.9</v>
      </c>
      <c r="E291" s="35">
        <f t="shared" si="8"/>
        <v>1</v>
      </c>
      <c r="F291" s="35">
        <f t="shared" si="9"/>
        <v>104.9</v>
      </c>
    </row>
    <row r="292" spans="1:6" x14ac:dyDescent="0.25">
      <c r="A292">
        <v>6.1684999999999999</v>
      </c>
      <c r="B292">
        <v>0.99980000000000002</v>
      </c>
      <c r="C292" s="2">
        <v>0.32950000000000002</v>
      </c>
      <c r="D292">
        <v>104.9</v>
      </c>
      <c r="E292" s="35">
        <f t="shared" si="8"/>
        <v>0.99980000000000002</v>
      </c>
      <c r="F292" s="35">
        <f t="shared" si="9"/>
        <v>104.9</v>
      </c>
    </row>
    <row r="293" spans="1:6" x14ac:dyDescent="0.25">
      <c r="A293">
        <v>6.2965</v>
      </c>
      <c r="B293">
        <v>1</v>
      </c>
      <c r="C293" s="2">
        <v>0.32950000000000002</v>
      </c>
      <c r="D293">
        <v>104.9</v>
      </c>
      <c r="E293" s="35">
        <f t="shared" si="8"/>
        <v>1</v>
      </c>
      <c r="F293" s="35">
        <f t="shared" si="9"/>
        <v>104.9</v>
      </c>
    </row>
    <row r="294" spans="1:6" x14ac:dyDescent="0.25">
      <c r="A294">
        <v>6.4245000000000001</v>
      </c>
      <c r="B294">
        <v>1</v>
      </c>
      <c r="C294" s="2">
        <v>0.32929999999999998</v>
      </c>
      <c r="D294">
        <v>104.9</v>
      </c>
      <c r="E294" s="35">
        <f t="shared" si="8"/>
        <v>1</v>
      </c>
      <c r="F294" s="35">
        <f t="shared" si="9"/>
        <v>104.9</v>
      </c>
    </row>
    <row r="295" spans="1:6" x14ac:dyDescent="0.25">
      <c r="A295">
        <v>6.5525000000000002</v>
      </c>
      <c r="B295">
        <v>1</v>
      </c>
      <c r="C295" s="2">
        <v>0.32929999999999998</v>
      </c>
      <c r="D295">
        <v>104.9</v>
      </c>
      <c r="E295" s="35">
        <f t="shared" si="8"/>
        <v>1</v>
      </c>
      <c r="F295" s="35">
        <f t="shared" si="9"/>
        <v>104.9</v>
      </c>
    </row>
    <row r="296" spans="1:6" x14ac:dyDescent="0.25">
      <c r="A296">
        <v>6.6805000000000003</v>
      </c>
      <c r="B296">
        <v>1</v>
      </c>
      <c r="C296" s="2">
        <v>0.3276</v>
      </c>
      <c r="D296">
        <v>104.8</v>
      </c>
      <c r="E296" s="35">
        <f t="shared" si="8"/>
        <v>1</v>
      </c>
      <c r="F296" s="35">
        <f t="shared" si="9"/>
        <v>104.8</v>
      </c>
    </row>
    <row r="297" spans="1:6" x14ac:dyDescent="0.25">
      <c r="A297">
        <v>6.8085000000000004</v>
      </c>
      <c r="B297">
        <v>0.99960000000000004</v>
      </c>
      <c r="C297" s="2">
        <v>0.3276</v>
      </c>
      <c r="D297">
        <v>104.8</v>
      </c>
      <c r="E297" s="35">
        <f t="shared" si="8"/>
        <v>0.99960000000000004</v>
      </c>
      <c r="F297" s="35">
        <f t="shared" si="9"/>
        <v>104.8</v>
      </c>
    </row>
    <row r="298" spans="1:6" x14ac:dyDescent="0.25">
      <c r="A298">
        <v>6.9364999999999997</v>
      </c>
      <c r="B298">
        <v>1</v>
      </c>
      <c r="C298" s="2">
        <v>0.32840000000000003</v>
      </c>
      <c r="D298">
        <v>104.8</v>
      </c>
      <c r="E298" s="35">
        <f t="shared" si="8"/>
        <v>1</v>
      </c>
      <c r="F298" s="35">
        <f t="shared" si="9"/>
        <v>104.8</v>
      </c>
    </row>
    <row r="299" spans="1:6" x14ac:dyDescent="0.25">
      <c r="A299">
        <v>7.0644999999999998</v>
      </c>
      <c r="B299">
        <v>0.99990000000000001</v>
      </c>
      <c r="C299" s="2">
        <v>0.32840000000000003</v>
      </c>
      <c r="D299">
        <v>104.8</v>
      </c>
      <c r="E299" s="35">
        <f t="shared" si="8"/>
        <v>0.99990000000000001</v>
      </c>
      <c r="F299" s="35">
        <f t="shared" si="9"/>
        <v>104.8</v>
      </c>
    </row>
    <row r="300" spans="1:6" x14ac:dyDescent="0.25">
      <c r="A300">
        <v>7.1924999999999999</v>
      </c>
      <c r="B300">
        <v>1</v>
      </c>
      <c r="C300" s="2">
        <v>0.32819999999999999</v>
      </c>
      <c r="D300">
        <v>104.8</v>
      </c>
      <c r="E300" s="35">
        <f t="shared" si="8"/>
        <v>1</v>
      </c>
      <c r="F300" s="35">
        <f t="shared" si="9"/>
        <v>104.8</v>
      </c>
    </row>
    <row r="301" spans="1:6" x14ac:dyDescent="0.25">
      <c r="A301">
        <v>7.3205</v>
      </c>
      <c r="B301">
        <v>0.99970000000000003</v>
      </c>
      <c r="C301" s="2">
        <v>0.32819999999999999</v>
      </c>
      <c r="D301">
        <v>104.8</v>
      </c>
      <c r="E301" s="35">
        <f t="shared" si="8"/>
        <v>0.99970000000000003</v>
      </c>
      <c r="F301" s="35">
        <f t="shared" si="9"/>
        <v>104.8</v>
      </c>
    </row>
    <row r="302" spans="1:6" x14ac:dyDescent="0.25">
      <c r="A302">
        <v>7.4485000000000001</v>
      </c>
      <c r="B302">
        <v>1</v>
      </c>
      <c r="C302" s="2">
        <v>0.32969999999999999</v>
      </c>
      <c r="D302">
        <v>104.7</v>
      </c>
      <c r="E302" s="35">
        <f t="shared" si="8"/>
        <v>1</v>
      </c>
      <c r="F302" s="35">
        <f t="shared" si="9"/>
        <v>104.7</v>
      </c>
    </row>
    <row r="303" spans="1:6" x14ac:dyDescent="0.25">
      <c r="A303">
        <v>7.5765000000000002</v>
      </c>
      <c r="B303">
        <v>1</v>
      </c>
      <c r="C303" s="2">
        <v>0.32969999999999999</v>
      </c>
      <c r="D303">
        <v>104.8</v>
      </c>
      <c r="E303" s="35">
        <f t="shared" si="8"/>
        <v>1</v>
      </c>
      <c r="F303" s="35">
        <f t="shared" si="9"/>
        <v>104.8</v>
      </c>
    </row>
    <row r="304" spans="1:6" x14ac:dyDescent="0.25">
      <c r="A304">
        <v>7.7045000000000003</v>
      </c>
      <c r="B304">
        <v>1</v>
      </c>
      <c r="C304" s="2">
        <v>0.3286</v>
      </c>
      <c r="D304">
        <v>104.7</v>
      </c>
      <c r="E304" s="35">
        <f t="shared" si="8"/>
        <v>1</v>
      </c>
      <c r="F304" s="35">
        <f t="shared" si="9"/>
        <v>104.7</v>
      </c>
    </row>
    <row r="305" spans="1:6" x14ac:dyDescent="0.25">
      <c r="A305">
        <v>7.8324999999999996</v>
      </c>
      <c r="B305">
        <v>0.99960000000000004</v>
      </c>
      <c r="C305" s="2">
        <v>0.3286</v>
      </c>
      <c r="D305">
        <v>104.7</v>
      </c>
      <c r="E305" s="35">
        <f t="shared" si="8"/>
        <v>0.99960000000000004</v>
      </c>
      <c r="F305" s="35">
        <f t="shared" si="9"/>
        <v>104.7</v>
      </c>
    </row>
    <row r="306" spans="1:6" x14ac:dyDescent="0.25">
      <c r="A306">
        <v>7.9604999999999997</v>
      </c>
      <c r="B306">
        <v>1</v>
      </c>
      <c r="C306" s="2">
        <v>0.32569999999999999</v>
      </c>
      <c r="D306">
        <v>104.7</v>
      </c>
      <c r="E306" s="35">
        <f t="shared" si="8"/>
        <v>1</v>
      </c>
      <c r="F306" s="35">
        <f t="shared" si="9"/>
        <v>104.7</v>
      </c>
    </row>
    <row r="307" spans="1:6" x14ac:dyDescent="0.25">
      <c r="A307">
        <v>8.0884999999999998</v>
      </c>
      <c r="B307">
        <v>1</v>
      </c>
      <c r="C307" s="2">
        <v>0.32569999999999999</v>
      </c>
      <c r="D307">
        <v>104.7</v>
      </c>
      <c r="E307" s="35">
        <f t="shared" si="8"/>
        <v>1</v>
      </c>
      <c r="F307" s="35">
        <f t="shared" si="9"/>
        <v>104.7</v>
      </c>
    </row>
    <row r="308" spans="1:6" x14ac:dyDescent="0.25">
      <c r="A308">
        <v>8.2164999999999999</v>
      </c>
      <c r="B308">
        <v>0.99990000000000001</v>
      </c>
      <c r="C308" s="2">
        <v>0.32740000000000002</v>
      </c>
      <c r="D308">
        <v>104.7</v>
      </c>
      <c r="E308" s="35">
        <f t="shared" si="8"/>
        <v>0.99990000000000001</v>
      </c>
      <c r="F308" s="35">
        <f t="shared" si="9"/>
        <v>104.7</v>
      </c>
    </row>
    <row r="309" spans="1:6" x14ac:dyDescent="0.25">
      <c r="A309">
        <v>8.3445</v>
      </c>
      <c r="B309">
        <v>0.99990000000000001</v>
      </c>
      <c r="C309" s="2">
        <v>0.32740000000000002</v>
      </c>
      <c r="D309">
        <v>104.7</v>
      </c>
      <c r="E309" s="35">
        <f t="shared" si="8"/>
        <v>0.99990000000000001</v>
      </c>
      <c r="F309" s="35">
        <f t="shared" si="9"/>
        <v>104.7</v>
      </c>
    </row>
    <row r="310" spans="1:6" x14ac:dyDescent="0.25">
      <c r="A310">
        <v>8.4725000000000001</v>
      </c>
      <c r="B310">
        <v>0.99990000000000001</v>
      </c>
      <c r="C310" s="2">
        <v>0.32740000000000002</v>
      </c>
      <c r="D310">
        <v>104.7</v>
      </c>
      <c r="E310" s="35">
        <f t="shared" si="8"/>
        <v>0.99990000000000001</v>
      </c>
      <c r="F310" s="35">
        <f t="shared" si="9"/>
        <v>104.7</v>
      </c>
    </row>
    <row r="311" spans="1:6" x14ac:dyDescent="0.25">
      <c r="A311">
        <v>8.6005000000000003</v>
      </c>
      <c r="B311">
        <v>1</v>
      </c>
      <c r="C311" s="2">
        <v>0.32740000000000002</v>
      </c>
      <c r="D311">
        <v>104.7</v>
      </c>
      <c r="E311" s="35">
        <f t="shared" si="8"/>
        <v>1</v>
      </c>
      <c r="F311" s="35">
        <f t="shared" si="9"/>
        <v>104.7</v>
      </c>
    </row>
    <row r="312" spans="1:6" x14ac:dyDescent="0.25">
      <c r="A312">
        <v>8.7285000000000004</v>
      </c>
      <c r="B312">
        <v>1</v>
      </c>
      <c r="C312" s="2">
        <v>0.32650000000000001</v>
      </c>
      <c r="D312">
        <v>104.6</v>
      </c>
      <c r="E312" s="35">
        <f t="shared" si="8"/>
        <v>1</v>
      </c>
      <c r="F312" s="35">
        <f t="shared" si="9"/>
        <v>104.6</v>
      </c>
    </row>
    <row r="313" spans="1:6" x14ac:dyDescent="0.25">
      <c r="A313">
        <v>8.8565000000000005</v>
      </c>
      <c r="B313">
        <v>0.99980000000000002</v>
      </c>
      <c r="C313" s="2">
        <v>0.3246</v>
      </c>
      <c r="D313">
        <v>104.6</v>
      </c>
      <c r="E313" s="35">
        <f t="shared" si="8"/>
        <v>0.99980000000000002</v>
      </c>
      <c r="F313" s="35">
        <f t="shared" si="9"/>
        <v>104.6</v>
      </c>
    </row>
    <row r="314" spans="1:6" x14ac:dyDescent="0.25">
      <c r="A314">
        <v>8.9845000000000006</v>
      </c>
      <c r="B314">
        <v>1</v>
      </c>
      <c r="C314" s="2">
        <v>0.3246</v>
      </c>
      <c r="D314">
        <v>104.6</v>
      </c>
      <c r="E314" s="35">
        <f t="shared" si="8"/>
        <v>1</v>
      </c>
      <c r="F314" s="35">
        <f t="shared" si="9"/>
        <v>104.6</v>
      </c>
    </row>
    <row r="315" spans="1:6" x14ac:dyDescent="0.25">
      <c r="A315">
        <v>9.1125000000000007</v>
      </c>
      <c r="B315">
        <v>1</v>
      </c>
      <c r="C315" s="2">
        <v>0.32550000000000001</v>
      </c>
      <c r="D315">
        <v>104.6</v>
      </c>
      <c r="E315" s="35">
        <f t="shared" si="8"/>
        <v>1</v>
      </c>
      <c r="F315" s="35">
        <f t="shared" si="9"/>
        <v>104.6</v>
      </c>
    </row>
    <row r="316" spans="1:6" x14ac:dyDescent="0.25">
      <c r="A316">
        <v>9.2405000000000008</v>
      </c>
      <c r="B316">
        <v>1</v>
      </c>
      <c r="C316" s="2">
        <v>0.32550000000000001</v>
      </c>
      <c r="D316">
        <v>104.6</v>
      </c>
      <c r="E316" s="35">
        <f t="shared" si="8"/>
        <v>1</v>
      </c>
      <c r="F316" s="35">
        <f t="shared" si="9"/>
        <v>104.6</v>
      </c>
    </row>
    <row r="317" spans="1:6" x14ac:dyDescent="0.25">
      <c r="A317">
        <v>9.3684999999999992</v>
      </c>
      <c r="B317">
        <v>0.99990000000000001</v>
      </c>
      <c r="C317" s="2">
        <v>0.32740000000000002</v>
      </c>
      <c r="D317">
        <v>104.6</v>
      </c>
      <c r="E317" s="35">
        <f t="shared" si="8"/>
        <v>0.99990000000000001</v>
      </c>
      <c r="F317" s="35">
        <f t="shared" si="9"/>
        <v>104.6</v>
      </c>
    </row>
    <row r="318" spans="1:6" x14ac:dyDescent="0.25">
      <c r="A318">
        <v>9.4964999999999993</v>
      </c>
      <c r="B318">
        <v>1</v>
      </c>
      <c r="C318" s="2">
        <v>0.32740000000000002</v>
      </c>
      <c r="D318">
        <v>104.6</v>
      </c>
      <c r="E318" s="35">
        <f t="shared" si="8"/>
        <v>1</v>
      </c>
      <c r="F318" s="35">
        <f t="shared" si="9"/>
        <v>104.6</v>
      </c>
    </row>
    <row r="319" spans="1:6" x14ac:dyDescent="0.25">
      <c r="A319">
        <v>9.6244999999999994</v>
      </c>
      <c r="B319">
        <v>0.99980000000000002</v>
      </c>
      <c r="C319" s="2">
        <v>0.32550000000000001</v>
      </c>
      <c r="D319">
        <v>104.6</v>
      </c>
      <c r="E319" s="35">
        <f t="shared" si="8"/>
        <v>0.99980000000000002</v>
      </c>
      <c r="F319" s="35">
        <f t="shared" si="9"/>
        <v>104.6</v>
      </c>
    </row>
    <row r="320" spans="1:6" x14ac:dyDescent="0.25">
      <c r="A320">
        <v>9.7524999999999995</v>
      </c>
      <c r="B320">
        <v>1</v>
      </c>
      <c r="C320" s="2">
        <v>0.32550000000000001</v>
      </c>
      <c r="D320">
        <v>104.6</v>
      </c>
      <c r="E320" s="35">
        <f t="shared" si="8"/>
        <v>1</v>
      </c>
      <c r="F320" s="35">
        <f t="shared" si="9"/>
        <v>104.6</v>
      </c>
    </row>
    <row r="321" spans="1:6" x14ac:dyDescent="0.25">
      <c r="A321">
        <v>9.8804999999999996</v>
      </c>
      <c r="B321">
        <v>1</v>
      </c>
      <c r="C321" s="2">
        <v>0.3261</v>
      </c>
      <c r="D321">
        <v>104.6</v>
      </c>
      <c r="E321" s="35">
        <f t="shared" si="8"/>
        <v>1</v>
      </c>
      <c r="F321" s="35">
        <f t="shared" si="9"/>
        <v>104.6</v>
      </c>
    </row>
    <row r="322" spans="1:6" x14ac:dyDescent="0.25">
      <c r="A322">
        <v>10.009</v>
      </c>
      <c r="B322">
        <v>0.99980000000000002</v>
      </c>
      <c r="C322" s="2">
        <v>0.3261</v>
      </c>
      <c r="D322">
        <v>104.6</v>
      </c>
      <c r="E322" s="35">
        <f t="shared" si="8"/>
        <v>0.99980000000000002</v>
      </c>
      <c r="F322" s="35">
        <f t="shared" si="9"/>
        <v>104.6</v>
      </c>
    </row>
    <row r="323" spans="1:6" x14ac:dyDescent="0.25">
      <c r="A323">
        <v>10.137</v>
      </c>
      <c r="B323">
        <v>1</v>
      </c>
      <c r="C323" s="2">
        <v>0.32550000000000001</v>
      </c>
      <c r="D323">
        <v>104.6</v>
      </c>
      <c r="E323" s="35">
        <f t="shared" si="8"/>
        <v>1</v>
      </c>
      <c r="F323" s="35">
        <f t="shared" si="9"/>
        <v>104.6</v>
      </c>
    </row>
    <row r="324" spans="1:6" x14ac:dyDescent="0.25">
      <c r="A324">
        <v>10.327999999999999</v>
      </c>
      <c r="B324">
        <v>1</v>
      </c>
      <c r="C324" s="2">
        <v>0.32529999999999998</v>
      </c>
      <c r="D324">
        <v>104.5</v>
      </c>
      <c r="E324" s="35">
        <f t="shared" si="8"/>
        <v>1</v>
      </c>
      <c r="F324" s="35">
        <f t="shared" si="9"/>
        <v>104.5</v>
      </c>
    </row>
    <row r="325" spans="1:6" x14ac:dyDescent="0.25">
      <c r="A325">
        <v>10.585000000000001</v>
      </c>
      <c r="B325">
        <v>0.99990000000000001</v>
      </c>
      <c r="C325" s="2">
        <v>0.32629999999999998</v>
      </c>
      <c r="D325">
        <v>104.5</v>
      </c>
      <c r="E325" s="35">
        <f t="shared" ref="E325:E388" si="10">IF(B325=MEDIAN($J$1-0.05,$J$1+0.05,B325),B325,0)</f>
        <v>0.99990000000000001</v>
      </c>
      <c r="F325" s="35">
        <f t="shared" ref="F325:F388" si="11">IF(E325=0,0,D325)</f>
        <v>104.5</v>
      </c>
    </row>
    <row r="326" spans="1:6" x14ac:dyDescent="0.25">
      <c r="A326">
        <v>10.84</v>
      </c>
      <c r="B326">
        <v>1</v>
      </c>
      <c r="C326" s="2">
        <v>0.32650000000000001</v>
      </c>
      <c r="D326">
        <v>104.5</v>
      </c>
      <c r="E326" s="35">
        <f t="shared" si="10"/>
        <v>1</v>
      </c>
      <c r="F326" s="35">
        <f t="shared" si="11"/>
        <v>104.5</v>
      </c>
    </row>
    <row r="327" spans="1:6" x14ac:dyDescent="0.25">
      <c r="A327">
        <v>11.097</v>
      </c>
      <c r="B327">
        <v>1</v>
      </c>
      <c r="C327" s="2">
        <v>0.32440000000000002</v>
      </c>
      <c r="D327">
        <v>104.5</v>
      </c>
      <c r="E327" s="35">
        <f t="shared" si="10"/>
        <v>1</v>
      </c>
      <c r="F327" s="35">
        <f t="shared" si="11"/>
        <v>104.5</v>
      </c>
    </row>
    <row r="328" spans="1:6" x14ac:dyDescent="0.25">
      <c r="A328">
        <v>11.352</v>
      </c>
      <c r="B328">
        <v>0.99990000000000001</v>
      </c>
      <c r="C328" s="2">
        <v>0.32629999999999998</v>
      </c>
      <c r="D328">
        <v>104.5</v>
      </c>
      <c r="E328" s="35">
        <f t="shared" si="10"/>
        <v>0.99990000000000001</v>
      </c>
      <c r="F328" s="35">
        <f t="shared" si="11"/>
        <v>104.5</v>
      </c>
    </row>
    <row r="329" spans="1:6" x14ac:dyDescent="0.25">
      <c r="A329">
        <v>11.608000000000001</v>
      </c>
      <c r="B329">
        <v>0.99990000000000001</v>
      </c>
      <c r="C329" s="2">
        <v>0.32550000000000001</v>
      </c>
      <c r="D329">
        <v>104.5</v>
      </c>
      <c r="E329" s="35">
        <f t="shared" si="10"/>
        <v>0.99990000000000001</v>
      </c>
      <c r="F329" s="35">
        <f t="shared" si="11"/>
        <v>104.5</v>
      </c>
    </row>
    <row r="330" spans="1:6" x14ac:dyDescent="0.25">
      <c r="A330">
        <v>11.865</v>
      </c>
      <c r="B330">
        <v>1</v>
      </c>
      <c r="C330" s="2">
        <v>0.32419999999999999</v>
      </c>
      <c r="D330">
        <v>104.5</v>
      </c>
      <c r="E330" s="35">
        <f t="shared" si="10"/>
        <v>1</v>
      </c>
      <c r="F330" s="35">
        <f t="shared" si="11"/>
        <v>104.5</v>
      </c>
    </row>
    <row r="331" spans="1:6" x14ac:dyDescent="0.25">
      <c r="A331">
        <v>12.12</v>
      </c>
      <c r="B331">
        <v>0.99980000000000002</v>
      </c>
      <c r="C331" s="2">
        <v>0.32550000000000001</v>
      </c>
      <c r="D331">
        <v>104.5</v>
      </c>
      <c r="E331" s="35">
        <f t="shared" si="10"/>
        <v>0.99980000000000002</v>
      </c>
      <c r="F331" s="35">
        <f t="shared" si="11"/>
        <v>104.5</v>
      </c>
    </row>
    <row r="332" spans="1:6" x14ac:dyDescent="0.25">
      <c r="A332">
        <v>12.377000000000001</v>
      </c>
      <c r="B332">
        <v>1</v>
      </c>
      <c r="C332" s="2">
        <v>0.32550000000000001</v>
      </c>
      <c r="D332">
        <v>104.5</v>
      </c>
      <c r="E332" s="35">
        <f t="shared" si="10"/>
        <v>1</v>
      </c>
      <c r="F332" s="35">
        <f t="shared" si="11"/>
        <v>104.5</v>
      </c>
    </row>
    <row r="333" spans="1:6" x14ac:dyDescent="0.25">
      <c r="A333">
        <v>12.632</v>
      </c>
      <c r="B333">
        <v>1</v>
      </c>
      <c r="C333" s="2">
        <v>0.32450000000000001</v>
      </c>
      <c r="D333">
        <v>104.5</v>
      </c>
      <c r="E333" s="35">
        <f t="shared" si="10"/>
        <v>1</v>
      </c>
      <c r="F333" s="35">
        <f t="shared" si="11"/>
        <v>104.5</v>
      </c>
    </row>
    <row r="334" spans="1:6" x14ac:dyDescent="0.25">
      <c r="A334">
        <v>12.888999999999999</v>
      </c>
      <c r="B334">
        <v>0.99990000000000001</v>
      </c>
      <c r="C334">
        <v>0.32340000000000002</v>
      </c>
      <c r="D334">
        <v>104.5</v>
      </c>
      <c r="E334" s="35">
        <f t="shared" si="10"/>
        <v>0.99990000000000001</v>
      </c>
      <c r="F334" s="35">
        <f t="shared" si="11"/>
        <v>104.5</v>
      </c>
    </row>
    <row r="335" spans="1:6" x14ac:dyDescent="0.25">
      <c r="A335">
        <v>13.144</v>
      </c>
      <c r="B335">
        <v>1</v>
      </c>
      <c r="C335">
        <v>0.32529999999999998</v>
      </c>
      <c r="D335">
        <v>104.5</v>
      </c>
      <c r="E335" s="35">
        <f t="shared" si="10"/>
        <v>1</v>
      </c>
      <c r="F335" s="35">
        <f t="shared" si="11"/>
        <v>104.5</v>
      </c>
    </row>
    <row r="336" spans="1:6" x14ac:dyDescent="0.25">
      <c r="A336">
        <v>13.401</v>
      </c>
      <c r="B336">
        <v>1</v>
      </c>
      <c r="C336">
        <v>0.3236</v>
      </c>
      <c r="D336">
        <v>104.4</v>
      </c>
      <c r="E336" s="35">
        <f t="shared" si="10"/>
        <v>1</v>
      </c>
      <c r="F336" s="35">
        <f t="shared" si="11"/>
        <v>104.4</v>
      </c>
    </row>
    <row r="337" spans="1:6" x14ac:dyDescent="0.25">
      <c r="A337">
        <v>13.656000000000001</v>
      </c>
      <c r="B337">
        <v>0.99990000000000001</v>
      </c>
      <c r="C337" s="2">
        <v>0.32440000000000002</v>
      </c>
      <c r="D337">
        <v>104.4</v>
      </c>
      <c r="E337" s="35">
        <f t="shared" si="10"/>
        <v>0.99990000000000001</v>
      </c>
      <c r="F337" s="35">
        <f t="shared" si="11"/>
        <v>104.4</v>
      </c>
    </row>
    <row r="338" spans="1:6" x14ac:dyDescent="0.25">
      <c r="A338">
        <v>13.913</v>
      </c>
      <c r="B338">
        <v>1</v>
      </c>
      <c r="C338">
        <v>0.3221</v>
      </c>
      <c r="D338">
        <v>104.4</v>
      </c>
      <c r="E338" s="35">
        <f t="shared" si="10"/>
        <v>1</v>
      </c>
      <c r="F338" s="35">
        <f t="shared" si="11"/>
        <v>104.4</v>
      </c>
    </row>
    <row r="339" spans="1:6" x14ac:dyDescent="0.25">
      <c r="A339">
        <v>14.167999999999999</v>
      </c>
      <c r="B339">
        <v>1</v>
      </c>
      <c r="C339">
        <v>0.3236</v>
      </c>
      <c r="D339">
        <v>104.4</v>
      </c>
      <c r="E339" s="35">
        <f t="shared" si="10"/>
        <v>1</v>
      </c>
      <c r="F339" s="35">
        <f t="shared" si="11"/>
        <v>104.4</v>
      </c>
    </row>
    <row r="340" spans="1:6" x14ac:dyDescent="0.25">
      <c r="A340">
        <v>14.425000000000001</v>
      </c>
      <c r="B340">
        <v>1</v>
      </c>
      <c r="C340">
        <v>0.32340000000000002</v>
      </c>
      <c r="D340">
        <v>104.4</v>
      </c>
      <c r="E340" s="35">
        <f t="shared" si="10"/>
        <v>1</v>
      </c>
      <c r="F340" s="35">
        <f t="shared" si="11"/>
        <v>104.4</v>
      </c>
    </row>
    <row r="341" spans="1:6" x14ac:dyDescent="0.25">
      <c r="A341">
        <v>14.680999999999999</v>
      </c>
      <c r="B341">
        <v>1</v>
      </c>
      <c r="C341" s="2">
        <v>0.32340000000000002</v>
      </c>
      <c r="D341">
        <v>104.4</v>
      </c>
      <c r="E341" s="35">
        <f t="shared" si="10"/>
        <v>1</v>
      </c>
      <c r="F341" s="35">
        <f t="shared" si="11"/>
        <v>104.4</v>
      </c>
    </row>
    <row r="342" spans="1:6" x14ac:dyDescent="0.25">
      <c r="A342">
        <v>14.936</v>
      </c>
      <c r="B342">
        <v>0.99990000000000001</v>
      </c>
      <c r="C342">
        <v>0.32229999999999998</v>
      </c>
      <c r="D342">
        <v>104.4</v>
      </c>
      <c r="E342" s="35">
        <f t="shared" si="10"/>
        <v>0.99990000000000001</v>
      </c>
      <c r="F342" s="35">
        <f t="shared" si="11"/>
        <v>104.4</v>
      </c>
    </row>
    <row r="343" spans="1:6" x14ac:dyDescent="0.25">
      <c r="A343">
        <v>15.193</v>
      </c>
      <c r="B343">
        <v>0.99980000000000002</v>
      </c>
      <c r="C343">
        <v>0.32019999999999998</v>
      </c>
      <c r="D343">
        <v>104.4</v>
      </c>
      <c r="E343" s="35">
        <f t="shared" si="10"/>
        <v>0.99980000000000002</v>
      </c>
      <c r="F343" s="35">
        <f t="shared" si="11"/>
        <v>104.4</v>
      </c>
    </row>
    <row r="344" spans="1:6" x14ac:dyDescent="0.25">
      <c r="A344">
        <v>15.448</v>
      </c>
      <c r="B344">
        <v>1</v>
      </c>
      <c r="C344">
        <v>0.32079999999999997</v>
      </c>
      <c r="D344">
        <v>104.3</v>
      </c>
      <c r="E344" s="35">
        <f t="shared" si="10"/>
        <v>1</v>
      </c>
      <c r="F344" s="35">
        <f t="shared" si="11"/>
        <v>104.3</v>
      </c>
    </row>
    <row r="345" spans="1:6" x14ac:dyDescent="0.25">
      <c r="A345">
        <v>15.705</v>
      </c>
      <c r="B345">
        <v>1</v>
      </c>
      <c r="C345" s="2">
        <v>0.32250000000000001</v>
      </c>
      <c r="D345">
        <v>104.3</v>
      </c>
      <c r="E345" s="35">
        <f t="shared" si="10"/>
        <v>1</v>
      </c>
      <c r="F345" s="35">
        <f t="shared" si="11"/>
        <v>104.3</v>
      </c>
    </row>
    <row r="346" spans="1:6" x14ac:dyDescent="0.25">
      <c r="A346">
        <v>15.96</v>
      </c>
      <c r="B346">
        <v>0.99990000000000001</v>
      </c>
      <c r="C346" s="2">
        <v>0.32269999999999999</v>
      </c>
      <c r="D346">
        <v>104.3</v>
      </c>
      <c r="E346" s="35">
        <f t="shared" si="10"/>
        <v>0.99990000000000001</v>
      </c>
      <c r="F346" s="35">
        <f t="shared" si="11"/>
        <v>104.3</v>
      </c>
    </row>
    <row r="347" spans="1:6" x14ac:dyDescent="0.25">
      <c r="A347">
        <v>16.216000000000001</v>
      </c>
      <c r="B347">
        <v>1</v>
      </c>
      <c r="C347">
        <v>0.32269999999999999</v>
      </c>
      <c r="D347">
        <v>104.3</v>
      </c>
      <c r="E347" s="35">
        <f t="shared" si="10"/>
        <v>1</v>
      </c>
      <c r="F347" s="35">
        <f t="shared" si="11"/>
        <v>104.3</v>
      </c>
    </row>
    <row r="348" spans="1:6" x14ac:dyDescent="0.25">
      <c r="A348">
        <v>16.472000000000001</v>
      </c>
      <c r="B348">
        <v>0.99990000000000001</v>
      </c>
      <c r="C348" s="2">
        <v>0.32400000000000001</v>
      </c>
      <c r="D348">
        <v>104.3</v>
      </c>
      <c r="E348" s="35">
        <f t="shared" si="10"/>
        <v>0.99990000000000001</v>
      </c>
      <c r="F348" s="35">
        <f t="shared" si="11"/>
        <v>104.3</v>
      </c>
    </row>
    <row r="349" spans="1:6" x14ac:dyDescent="0.25">
      <c r="A349">
        <v>16.728999999999999</v>
      </c>
      <c r="B349">
        <v>0.99990000000000001</v>
      </c>
      <c r="C349" s="2">
        <v>0.32269999999999999</v>
      </c>
      <c r="D349">
        <v>104.3</v>
      </c>
      <c r="E349" s="35">
        <f t="shared" si="10"/>
        <v>0.99990000000000001</v>
      </c>
      <c r="F349" s="35">
        <f t="shared" si="11"/>
        <v>104.3</v>
      </c>
    </row>
    <row r="350" spans="1:6" x14ac:dyDescent="0.25">
      <c r="A350">
        <v>16.984999999999999</v>
      </c>
      <c r="B350">
        <v>1</v>
      </c>
      <c r="C350" s="2">
        <v>0.32169999999999999</v>
      </c>
      <c r="D350">
        <v>104.3</v>
      </c>
      <c r="E350" s="35">
        <f t="shared" si="10"/>
        <v>1</v>
      </c>
      <c r="F350" s="35">
        <f t="shared" si="11"/>
        <v>104.3</v>
      </c>
    </row>
    <row r="351" spans="1:6" x14ac:dyDescent="0.25">
      <c r="A351">
        <v>17.239999999999998</v>
      </c>
      <c r="B351">
        <v>1</v>
      </c>
      <c r="C351">
        <v>0.3236</v>
      </c>
      <c r="D351">
        <v>104.3</v>
      </c>
      <c r="E351" s="35">
        <f t="shared" si="10"/>
        <v>1</v>
      </c>
      <c r="F351" s="35">
        <f t="shared" si="11"/>
        <v>104.3</v>
      </c>
    </row>
    <row r="352" spans="1:6" x14ac:dyDescent="0.25">
      <c r="A352">
        <v>17.497</v>
      </c>
      <c r="B352">
        <v>0.99990000000000001</v>
      </c>
      <c r="C352">
        <v>0.32269999999999999</v>
      </c>
      <c r="D352">
        <v>104.2</v>
      </c>
      <c r="E352" s="35">
        <f t="shared" si="10"/>
        <v>0.99990000000000001</v>
      </c>
      <c r="F352" s="35">
        <f t="shared" si="11"/>
        <v>104.2</v>
      </c>
    </row>
    <row r="353" spans="1:6" x14ac:dyDescent="0.25">
      <c r="A353">
        <v>17.753</v>
      </c>
      <c r="B353">
        <v>1</v>
      </c>
      <c r="C353" s="2">
        <v>0.32290000000000002</v>
      </c>
      <c r="D353">
        <v>104.2</v>
      </c>
      <c r="E353" s="35">
        <f t="shared" si="10"/>
        <v>1</v>
      </c>
      <c r="F353" s="35">
        <f t="shared" si="11"/>
        <v>104.2</v>
      </c>
    </row>
    <row r="354" spans="1:6" x14ac:dyDescent="0.25">
      <c r="A354">
        <v>18.007999999999999</v>
      </c>
      <c r="B354">
        <v>0.99990000000000001</v>
      </c>
      <c r="C354" s="2">
        <v>0.32169999999999999</v>
      </c>
      <c r="D354">
        <v>104.3</v>
      </c>
      <c r="E354" s="35">
        <f t="shared" si="10"/>
        <v>0.99990000000000001</v>
      </c>
      <c r="F354" s="35">
        <f t="shared" si="11"/>
        <v>104.3</v>
      </c>
    </row>
    <row r="355" spans="1:6" x14ac:dyDescent="0.25">
      <c r="A355">
        <v>18.263999999999999</v>
      </c>
      <c r="B355">
        <v>1</v>
      </c>
      <c r="C355">
        <v>0.32269999999999999</v>
      </c>
      <c r="D355">
        <v>104.2</v>
      </c>
      <c r="E355" s="35">
        <f t="shared" si="10"/>
        <v>1</v>
      </c>
      <c r="F355" s="35">
        <f t="shared" si="11"/>
        <v>104.2</v>
      </c>
    </row>
    <row r="356" spans="1:6" x14ac:dyDescent="0.25">
      <c r="A356">
        <v>18.521000000000001</v>
      </c>
      <c r="B356">
        <v>0.99990000000000001</v>
      </c>
      <c r="C356" s="2">
        <v>0.3196</v>
      </c>
      <c r="D356">
        <v>104.2</v>
      </c>
      <c r="E356" s="35">
        <f t="shared" si="10"/>
        <v>0.99990000000000001</v>
      </c>
      <c r="F356" s="35">
        <f t="shared" si="11"/>
        <v>104.2</v>
      </c>
    </row>
    <row r="357" spans="1:6" x14ac:dyDescent="0.25">
      <c r="A357">
        <v>18.777000000000001</v>
      </c>
      <c r="B357">
        <v>0.99990000000000001</v>
      </c>
      <c r="C357" s="2">
        <v>0.32250000000000001</v>
      </c>
      <c r="D357">
        <v>104.2</v>
      </c>
      <c r="E357" s="35">
        <f t="shared" si="10"/>
        <v>0.99990000000000001</v>
      </c>
      <c r="F357" s="35">
        <f t="shared" si="11"/>
        <v>104.2</v>
      </c>
    </row>
    <row r="358" spans="1:6" x14ac:dyDescent="0.25">
      <c r="A358">
        <v>19.032</v>
      </c>
      <c r="B358">
        <v>1</v>
      </c>
      <c r="C358" s="2">
        <v>0.3216</v>
      </c>
      <c r="D358">
        <v>104.2</v>
      </c>
      <c r="E358" s="35">
        <f t="shared" si="10"/>
        <v>1</v>
      </c>
      <c r="F358" s="35">
        <f t="shared" si="11"/>
        <v>104.2</v>
      </c>
    </row>
    <row r="359" spans="1:6" x14ac:dyDescent="0.25">
      <c r="A359">
        <v>19.288</v>
      </c>
      <c r="B359">
        <v>1</v>
      </c>
      <c r="C359">
        <v>0.32269999999999999</v>
      </c>
      <c r="D359">
        <v>104.2</v>
      </c>
      <c r="E359" s="35">
        <f t="shared" si="10"/>
        <v>1</v>
      </c>
      <c r="F359" s="35">
        <f t="shared" si="11"/>
        <v>104.2</v>
      </c>
    </row>
    <row r="360" spans="1:6" x14ac:dyDescent="0.25">
      <c r="A360">
        <v>19.545000000000002</v>
      </c>
      <c r="B360">
        <v>0.99990000000000001</v>
      </c>
      <c r="C360" s="2">
        <v>0.32040000000000002</v>
      </c>
      <c r="D360">
        <v>104.2</v>
      </c>
      <c r="E360" s="35">
        <f t="shared" si="10"/>
        <v>0.99990000000000001</v>
      </c>
      <c r="F360" s="35">
        <f t="shared" si="11"/>
        <v>104.2</v>
      </c>
    </row>
    <row r="361" spans="1:6" x14ac:dyDescent="0.25">
      <c r="A361">
        <v>19.800999999999998</v>
      </c>
      <c r="B361">
        <v>1</v>
      </c>
      <c r="C361" s="2">
        <v>0.32190000000000002</v>
      </c>
      <c r="D361">
        <v>104.2</v>
      </c>
      <c r="E361" s="35">
        <f t="shared" si="10"/>
        <v>1</v>
      </c>
      <c r="F361" s="35">
        <f t="shared" si="11"/>
        <v>104.2</v>
      </c>
    </row>
    <row r="362" spans="1:6" x14ac:dyDescent="0.25">
      <c r="A362">
        <v>20.056000000000001</v>
      </c>
      <c r="B362">
        <v>0.99990000000000001</v>
      </c>
      <c r="C362" s="2">
        <v>0.31909999999999999</v>
      </c>
      <c r="D362">
        <v>104.2</v>
      </c>
      <c r="E362" s="35">
        <f t="shared" si="10"/>
        <v>0.99990000000000001</v>
      </c>
      <c r="F362" s="35">
        <f t="shared" si="11"/>
        <v>104.2</v>
      </c>
    </row>
    <row r="363" spans="1:6" x14ac:dyDescent="0.25">
      <c r="A363">
        <v>20.312999999999999</v>
      </c>
      <c r="B363">
        <v>0.99990000000000001</v>
      </c>
      <c r="C363" s="2">
        <v>0.32169999999999999</v>
      </c>
      <c r="D363">
        <v>104.1</v>
      </c>
      <c r="E363" s="35">
        <f t="shared" si="10"/>
        <v>0.99990000000000001</v>
      </c>
      <c r="F363" s="35">
        <f t="shared" si="11"/>
        <v>104.1</v>
      </c>
    </row>
    <row r="364" spans="1:6" x14ac:dyDescent="0.25">
      <c r="A364">
        <v>20.696999999999999</v>
      </c>
      <c r="B364">
        <v>1</v>
      </c>
      <c r="C364" s="2">
        <v>0.3236</v>
      </c>
      <c r="D364">
        <v>104.1</v>
      </c>
      <c r="E364" s="35">
        <f t="shared" si="10"/>
        <v>1</v>
      </c>
      <c r="F364" s="35">
        <f t="shared" si="11"/>
        <v>104.1</v>
      </c>
    </row>
    <row r="365" spans="1:6" x14ac:dyDescent="0.25">
      <c r="A365">
        <v>21.207999999999998</v>
      </c>
      <c r="B365">
        <v>1</v>
      </c>
      <c r="C365" s="2">
        <v>0.32140000000000002</v>
      </c>
      <c r="D365">
        <v>104.1</v>
      </c>
      <c r="E365" s="35">
        <f t="shared" si="10"/>
        <v>1</v>
      </c>
      <c r="F365" s="35">
        <f t="shared" si="11"/>
        <v>104.1</v>
      </c>
    </row>
    <row r="366" spans="1:6" x14ac:dyDescent="0.25">
      <c r="A366">
        <v>21.721</v>
      </c>
      <c r="B366">
        <v>1</v>
      </c>
      <c r="C366" s="2">
        <v>0.31919999999999998</v>
      </c>
      <c r="D366">
        <v>104.1</v>
      </c>
      <c r="E366" s="35">
        <f t="shared" si="10"/>
        <v>1</v>
      </c>
      <c r="F366" s="35">
        <f t="shared" si="11"/>
        <v>104.1</v>
      </c>
    </row>
    <row r="367" spans="1:6" x14ac:dyDescent="0.25">
      <c r="A367">
        <v>22.233000000000001</v>
      </c>
      <c r="B367">
        <v>0.99990000000000001</v>
      </c>
      <c r="C367" s="2">
        <v>0.31850000000000001</v>
      </c>
      <c r="D367">
        <v>104.1</v>
      </c>
      <c r="E367" s="35">
        <f t="shared" si="10"/>
        <v>0.99990000000000001</v>
      </c>
      <c r="F367" s="35">
        <f t="shared" si="11"/>
        <v>104.1</v>
      </c>
    </row>
    <row r="368" spans="1:6" x14ac:dyDescent="0.25">
      <c r="A368">
        <v>22.744</v>
      </c>
      <c r="B368">
        <v>1</v>
      </c>
      <c r="C368">
        <v>0.31940000000000002</v>
      </c>
      <c r="D368">
        <v>104.1</v>
      </c>
      <c r="E368" s="35">
        <f t="shared" si="10"/>
        <v>1</v>
      </c>
      <c r="F368" s="35">
        <f t="shared" si="11"/>
        <v>104.1</v>
      </c>
    </row>
    <row r="369" spans="1:6" x14ac:dyDescent="0.25">
      <c r="A369">
        <v>23.257000000000001</v>
      </c>
      <c r="B369">
        <v>1</v>
      </c>
      <c r="C369" s="2">
        <v>0.31950000000000001</v>
      </c>
      <c r="D369">
        <v>104</v>
      </c>
      <c r="E369" s="35">
        <f t="shared" si="10"/>
        <v>1</v>
      </c>
      <c r="F369" s="35">
        <f t="shared" si="11"/>
        <v>104</v>
      </c>
    </row>
    <row r="370" spans="1:6" x14ac:dyDescent="0.25">
      <c r="A370">
        <v>23.768000000000001</v>
      </c>
      <c r="B370">
        <v>1</v>
      </c>
      <c r="C370" s="2">
        <v>0.31719999999999998</v>
      </c>
      <c r="D370">
        <v>104</v>
      </c>
      <c r="E370" s="35">
        <f t="shared" si="10"/>
        <v>1</v>
      </c>
      <c r="F370" s="35">
        <f t="shared" si="11"/>
        <v>104</v>
      </c>
    </row>
    <row r="371" spans="1:6" x14ac:dyDescent="0.25">
      <c r="A371">
        <v>24.280999999999999</v>
      </c>
      <c r="B371">
        <v>1</v>
      </c>
      <c r="C371" s="2">
        <v>0.31640000000000001</v>
      </c>
      <c r="D371">
        <v>104</v>
      </c>
      <c r="E371" s="35">
        <f t="shared" si="10"/>
        <v>1</v>
      </c>
      <c r="F371" s="35">
        <f t="shared" si="11"/>
        <v>104</v>
      </c>
    </row>
    <row r="372" spans="1:6" x14ac:dyDescent="0.25">
      <c r="A372">
        <v>24.792000000000002</v>
      </c>
      <c r="B372">
        <v>1</v>
      </c>
      <c r="C372" s="2">
        <v>0.317</v>
      </c>
      <c r="D372">
        <v>104</v>
      </c>
      <c r="E372" s="35">
        <f t="shared" si="10"/>
        <v>1</v>
      </c>
      <c r="F372" s="35">
        <f t="shared" si="11"/>
        <v>104</v>
      </c>
    </row>
    <row r="373" spans="1:6" x14ac:dyDescent="0.25">
      <c r="A373">
        <v>25.305</v>
      </c>
      <c r="B373">
        <v>0.99990000000000001</v>
      </c>
      <c r="C373" s="2">
        <v>0.31509999999999999</v>
      </c>
      <c r="D373">
        <v>103.9</v>
      </c>
      <c r="E373" s="35">
        <f t="shared" si="10"/>
        <v>0.99990000000000001</v>
      </c>
      <c r="F373" s="35">
        <f t="shared" si="11"/>
        <v>103.9</v>
      </c>
    </row>
    <row r="374" spans="1:6" x14ac:dyDescent="0.25">
      <c r="A374">
        <v>25.815999999999999</v>
      </c>
      <c r="B374">
        <v>1</v>
      </c>
      <c r="C374" s="2">
        <v>0.31340000000000001</v>
      </c>
      <c r="D374">
        <v>103.9</v>
      </c>
      <c r="E374" s="35">
        <f t="shared" si="10"/>
        <v>1</v>
      </c>
      <c r="F374" s="35">
        <f t="shared" si="11"/>
        <v>103.9</v>
      </c>
    </row>
    <row r="375" spans="1:6" x14ac:dyDescent="0.25">
      <c r="A375">
        <v>26.329000000000001</v>
      </c>
      <c r="B375">
        <v>1</v>
      </c>
      <c r="C375" s="2">
        <v>0.31809999999999999</v>
      </c>
      <c r="D375">
        <v>103.9</v>
      </c>
      <c r="E375" s="35">
        <f t="shared" si="10"/>
        <v>1</v>
      </c>
      <c r="F375" s="35">
        <f t="shared" si="11"/>
        <v>103.9</v>
      </c>
    </row>
    <row r="376" spans="1:6" x14ac:dyDescent="0.25">
      <c r="A376">
        <v>26.84</v>
      </c>
      <c r="B376">
        <v>0.99990000000000001</v>
      </c>
      <c r="C376" s="2">
        <v>0.31440000000000001</v>
      </c>
      <c r="D376">
        <v>103.9</v>
      </c>
      <c r="E376" s="35">
        <f t="shared" si="10"/>
        <v>0.99990000000000001</v>
      </c>
      <c r="F376" s="35">
        <f t="shared" si="11"/>
        <v>103.9</v>
      </c>
    </row>
    <row r="377" spans="1:6" x14ac:dyDescent="0.25">
      <c r="A377">
        <v>27.353000000000002</v>
      </c>
      <c r="B377">
        <v>1</v>
      </c>
      <c r="C377" s="2">
        <v>0.31359999999999999</v>
      </c>
      <c r="D377">
        <v>103.8</v>
      </c>
      <c r="E377" s="35">
        <f t="shared" si="10"/>
        <v>1</v>
      </c>
      <c r="F377" s="35">
        <f t="shared" si="11"/>
        <v>103.8</v>
      </c>
    </row>
    <row r="378" spans="1:6" x14ac:dyDescent="0.25">
      <c r="A378">
        <v>27.864999999999998</v>
      </c>
      <c r="B378">
        <v>1</v>
      </c>
      <c r="C378" s="2">
        <v>0.31509999999999999</v>
      </c>
      <c r="D378">
        <v>103.8</v>
      </c>
      <c r="E378" s="35">
        <f t="shared" si="10"/>
        <v>1</v>
      </c>
      <c r="F378" s="35">
        <f t="shared" si="11"/>
        <v>103.8</v>
      </c>
    </row>
    <row r="379" spans="1:6" x14ac:dyDescent="0.25">
      <c r="A379">
        <v>28.376000000000001</v>
      </c>
      <c r="B379">
        <v>1</v>
      </c>
      <c r="C379" s="2">
        <v>0.31209999999999999</v>
      </c>
      <c r="D379">
        <v>103.8</v>
      </c>
      <c r="E379" s="35">
        <f t="shared" si="10"/>
        <v>1</v>
      </c>
      <c r="F379" s="35">
        <f t="shared" si="11"/>
        <v>103.8</v>
      </c>
    </row>
    <row r="380" spans="1:6" x14ac:dyDescent="0.25">
      <c r="A380">
        <v>28.888999999999999</v>
      </c>
      <c r="B380">
        <v>1</v>
      </c>
      <c r="C380" s="2">
        <v>0.314</v>
      </c>
      <c r="D380">
        <v>103.8</v>
      </c>
      <c r="E380" s="35">
        <f t="shared" si="10"/>
        <v>1</v>
      </c>
      <c r="F380" s="35">
        <f t="shared" si="11"/>
        <v>103.8</v>
      </c>
    </row>
    <row r="381" spans="1:6" x14ac:dyDescent="0.25">
      <c r="A381">
        <v>29.4</v>
      </c>
      <c r="B381">
        <v>1</v>
      </c>
      <c r="C381" s="2">
        <v>0.31130000000000002</v>
      </c>
      <c r="D381">
        <v>103.7</v>
      </c>
      <c r="E381" s="35">
        <f t="shared" si="10"/>
        <v>1</v>
      </c>
      <c r="F381" s="35">
        <f t="shared" si="11"/>
        <v>103.7</v>
      </c>
    </row>
    <row r="382" spans="1:6" x14ac:dyDescent="0.25">
      <c r="A382">
        <v>29.913</v>
      </c>
      <c r="B382">
        <v>1</v>
      </c>
      <c r="C382" s="2">
        <v>0.31190000000000001</v>
      </c>
      <c r="D382">
        <v>103.7</v>
      </c>
      <c r="E382" s="35">
        <f t="shared" si="10"/>
        <v>1</v>
      </c>
      <c r="F382" s="35">
        <f t="shared" si="11"/>
        <v>103.7</v>
      </c>
    </row>
    <row r="383" spans="1:6" x14ac:dyDescent="0.25">
      <c r="A383">
        <v>30.423999999999999</v>
      </c>
      <c r="B383">
        <v>1</v>
      </c>
      <c r="C383">
        <v>0.31219999999999998</v>
      </c>
      <c r="D383">
        <v>103.7</v>
      </c>
      <c r="E383" s="35">
        <f t="shared" si="10"/>
        <v>1</v>
      </c>
      <c r="F383" s="35">
        <f t="shared" si="11"/>
        <v>103.7</v>
      </c>
    </row>
    <row r="384" spans="1:6" x14ac:dyDescent="0.25">
      <c r="A384">
        <v>30.937000000000001</v>
      </c>
      <c r="B384">
        <v>1</v>
      </c>
      <c r="C384">
        <v>0.31269999999999998</v>
      </c>
      <c r="D384">
        <v>103.6</v>
      </c>
      <c r="E384" s="35">
        <f t="shared" si="10"/>
        <v>1</v>
      </c>
      <c r="F384" s="35">
        <f t="shared" si="11"/>
        <v>103.6</v>
      </c>
    </row>
    <row r="385" spans="1:6" x14ac:dyDescent="0.25">
      <c r="A385">
        <v>31.448</v>
      </c>
      <c r="B385">
        <v>1</v>
      </c>
      <c r="C385">
        <v>0.31259999999999999</v>
      </c>
      <c r="D385">
        <v>103.6</v>
      </c>
      <c r="E385" s="35">
        <f t="shared" si="10"/>
        <v>1</v>
      </c>
      <c r="F385" s="35">
        <f t="shared" si="11"/>
        <v>103.6</v>
      </c>
    </row>
    <row r="386" spans="1:6" x14ac:dyDescent="0.25">
      <c r="A386">
        <v>31.960999999999999</v>
      </c>
      <c r="B386">
        <v>0.99990000000000001</v>
      </c>
      <c r="C386">
        <v>0.3105</v>
      </c>
      <c r="D386">
        <v>103.5</v>
      </c>
      <c r="E386" s="35">
        <f t="shared" si="10"/>
        <v>0.99990000000000001</v>
      </c>
      <c r="F386" s="35">
        <f t="shared" si="11"/>
        <v>103.5</v>
      </c>
    </row>
    <row r="387" spans="1:6" x14ac:dyDescent="0.25">
      <c r="A387">
        <v>32.472000000000001</v>
      </c>
      <c r="B387">
        <v>1</v>
      </c>
      <c r="C387">
        <v>0.31219999999999998</v>
      </c>
      <c r="D387">
        <v>103.5</v>
      </c>
      <c r="E387" s="35">
        <f t="shared" si="10"/>
        <v>1</v>
      </c>
      <c r="F387" s="35">
        <f t="shared" si="11"/>
        <v>103.5</v>
      </c>
    </row>
    <row r="388" spans="1:6" x14ac:dyDescent="0.25">
      <c r="A388">
        <v>32.984999999999999</v>
      </c>
      <c r="B388">
        <v>1</v>
      </c>
      <c r="C388" s="2">
        <v>0.31019999999999998</v>
      </c>
      <c r="D388">
        <v>103.5</v>
      </c>
      <c r="E388" s="35">
        <f t="shared" si="10"/>
        <v>1</v>
      </c>
      <c r="F388" s="35">
        <f t="shared" si="11"/>
        <v>103.5</v>
      </c>
    </row>
    <row r="389" spans="1:6" x14ac:dyDescent="0.25">
      <c r="A389">
        <v>33.496000000000002</v>
      </c>
      <c r="B389">
        <v>1</v>
      </c>
      <c r="C389" s="2">
        <v>0.31090000000000001</v>
      </c>
      <c r="D389">
        <v>103.4</v>
      </c>
      <c r="E389" s="35">
        <f t="shared" ref="E389:E421" si="12">IF(B389=MEDIAN($J$1-0.05,$J$1+0.05,B389),B389,0)</f>
        <v>1</v>
      </c>
      <c r="F389" s="35">
        <f t="shared" ref="F389:F421" si="13">IF(E389=0,0,D389)</f>
        <v>103.4</v>
      </c>
    </row>
    <row r="390" spans="1:6" x14ac:dyDescent="0.25">
      <c r="A390">
        <v>34.008000000000003</v>
      </c>
      <c r="B390">
        <v>1</v>
      </c>
      <c r="C390">
        <v>0.31090000000000001</v>
      </c>
      <c r="D390">
        <v>103.3</v>
      </c>
      <c r="E390" s="35">
        <f t="shared" si="12"/>
        <v>1</v>
      </c>
      <c r="F390" s="35">
        <f t="shared" si="13"/>
        <v>103.3</v>
      </c>
    </row>
    <row r="391" spans="1:6" x14ac:dyDescent="0.25">
      <c r="A391">
        <v>34.521000000000001</v>
      </c>
      <c r="B391">
        <v>1</v>
      </c>
      <c r="C391">
        <v>0.31019999999999998</v>
      </c>
      <c r="D391">
        <v>103.3</v>
      </c>
      <c r="E391" s="35">
        <f t="shared" si="12"/>
        <v>1</v>
      </c>
      <c r="F391" s="35">
        <f t="shared" si="13"/>
        <v>103.3</v>
      </c>
    </row>
    <row r="392" spans="1:6" x14ac:dyDescent="0.25">
      <c r="A392">
        <v>35.033000000000001</v>
      </c>
      <c r="B392">
        <v>1</v>
      </c>
      <c r="C392" s="2">
        <v>0.30880000000000002</v>
      </c>
      <c r="D392">
        <v>103.3</v>
      </c>
      <c r="E392" s="35">
        <f t="shared" si="12"/>
        <v>1</v>
      </c>
      <c r="F392" s="35">
        <f t="shared" si="13"/>
        <v>103.3</v>
      </c>
    </row>
    <row r="393" spans="1:6" x14ac:dyDescent="0.25">
      <c r="A393">
        <v>35.543999999999997</v>
      </c>
      <c r="B393">
        <v>1</v>
      </c>
      <c r="C393" s="2">
        <v>0.30769999999999997</v>
      </c>
      <c r="D393">
        <v>103.2</v>
      </c>
      <c r="E393" s="35">
        <f t="shared" si="12"/>
        <v>1</v>
      </c>
      <c r="F393" s="35">
        <f t="shared" si="13"/>
        <v>103.2</v>
      </c>
    </row>
    <row r="394" spans="1:6" x14ac:dyDescent="0.25">
      <c r="A394">
        <v>36.055999999999997</v>
      </c>
      <c r="B394">
        <v>0.99990000000000001</v>
      </c>
      <c r="C394" s="2">
        <v>0.30830000000000002</v>
      </c>
      <c r="D394">
        <v>103.1</v>
      </c>
      <c r="E394" s="35">
        <f t="shared" si="12"/>
        <v>0.99990000000000001</v>
      </c>
      <c r="F394" s="35">
        <f t="shared" si="13"/>
        <v>103.1</v>
      </c>
    </row>
    <row r="395" spans="1:6" x14ac:dyDescent="0.25">
      <c r="A395">
        <v>36.569000000000003</v>
      </c>
      <c r="B395">
        <v>1</v>
      </c>
      <c r="C395" s="2">
        <v>0.30869999999999997</v>
      </c>
      <c r="D395">
        <v>103.1</v>
      </c>
      <c r="E395" s="35">
        <f t="shared" si="12"/>
        <v>1</v>
      </c>
      <c r="F395" s="35">
        <f t="shared" si="13"/>
        <v>103.1</v>
      </c>
    </row>
    <row r="396" spans="1:6" x14ac:dyDescent="0.25">
      <c r="A396">
        <v>37.081000000000003</v>
      </c>
      <c r="B396">
        <v>0.99990000000000001</v>
      </c>
      <c r="C396" s="2">
        <v>0.30690000000000001</v>
      </c>
      <c r="D396">
        <v>103.1</v>
      </c>
      <c r="E396" s="35">
        <f t="shared" si="12"/>
        <v>0.99990000000000001</v>
      </c>
      <c r="F396" s="35">
        <f t="shared" si="13"/>
        <v>103.1</v>
      </c>
    </row>
    <row r="397" spans="1:6" x14ac:dyDescent="0.25">
      <c r="A397">
        <v>37.591999999999999</v>
      </c>
      <c r="B397">
        <v>1</v>
      </c>
      <c r="C397" s="2">
        <v>0.3085</v>
      </c>
      <c r="D397">
        <v>103</v>
      </c>
      <c r="E397" s="35">
        <f t="shared" si="12"/>
        <v>1</v>
      </c>
      <c r="F397" s="35">
        <f t="shared" si="13"/>
        <v>103</v>
      </c>
    </row>
    <row r="398" spans="1:6" x14ac:dyDescent="0.25">
      <c r="A398">
        <v>38.103999999999999</v>
      </c>
      <c r="B398">
        <v>1</v>
      </c>
      <c r="C398" s="2">
        <v>0.30599999999999999</v>
      </c>
      <c r="D398">
        <v>103</v>
      </c>
      <c r="E398" s="35">
        <f t="shared" si="12"/>
        <v>1</v>
      </c>
      <c r="F398" s="35">
        <f t="shared" si="13"/>
        <v>103</v>
      </c>
    </row>
    <row r="399" spans="1:6" x14ac:dyDescent="0.25">
      <c r="A399">
        <v>38.616999999999997</v>
      </c>
      <c r="B399">
        <v>1</v>
      </c>
      <c r="C399" s="2">
        <v>0.30470000000000003</v>
      </c>
      <c r="D399">
        <v>102.9</v>
      </c>
      <c r="E399" s="35">
        <f t="shared" si="12"/>
        <v>1</v>
      </c>
      <c r="F399" s="35">
        <f t="shared" si="13"/>
        <v>102.9</v>
      </c>
    </row>
    <row r="400" spans="1:6" x14ac:dyDescent="0.25">
      <c r="A400">
        <v>39.128999999999998</v>
      </c>
      <c r="B400">
        <v>1</v>
      </c>
      <c r="C400" s="2">
        <v>0.3049</v>
      </c>
      <c r="D400">
        <v>102.9</v>
      </c>
      <c r="E400" s="35">
        <f t="shared" si="12"/>
        <v>1</v>
      </c>
      <c r="F400" s="35">
        <f t="shared" si="13"/>
        <v>102.9</v>
      </c>
    </row>
    <row r="401" spans="1:6" x14ac:dyDescent="0.25">
      <c r="A401">
        <v>39.64</v>
      </c>
      <c r="B401">
        <v>1</v>
      </c>
      <c r="C401" s="2">
        <v>0.30280000000000001</v>
      </c>
      <c r="D401">
        <v>102.8</v>
      </c>
      <c r="E401" s="35">
        <f t="shared" si="12"/>
        <v>1</v>
      </c>
      <c r="F401" s="35">
        <f t="shared" si="13"/>
        <v>102.8</v>
      </c>
    </row>
    <row r="402" spans="1:6" x14ac:dyDescent="0.25">
      <c r="A402">
        <v>40.152999999999999</v>
      </c>
      <c r="B402">
        <v>1</v>
      </c>
      <c r="C402" s="2">
        <v>0.30280000000000001</v>
      </c>
      <c r="D402">
        <v>102.7</v>
      </c>
      <c r="E402" s="35">
        <f t="shared" si="12"/>
        <v>1</v>
      </c>
      <c r="F402" s="35">
        <f t="shared" si="13"/>
        <v>102.7</v>
      </c>
    </row>
    <row r="403" spans="1:6" x14ac:dyDescent="0.25">
      <c r="A403">
        <v>40.664999999999999</v>
      </c>
      <c r="B403">
        <v>0.99990000000000001</v>
      </c>
      <c r="C403" s="2">
        <v>0.30130000000000001</v>
      </c>
      <c r="D403">
        <v>102.7</v>
      </c>
      <c r="E403" s="35">
        <f t="shared" si="12"/>
        <v>0.99990000000000001</v>
      </c>
      <c r="F403" s="35">
        <f t="shared" si="13"/>
        <v>102.7</v>
      </c>
    </row>
    <row r="404" spans="1:6" x14ac:dyDescent="0.25">
      <c r="A404">
        <v>41.432000000000002</v>
      </c>
      <c r="B404">
        <v>1</v>
      </c>
      <c r="C404" s="2">
        <v>0.29959999999999998</v>
      </c>
      <c r="D404">
        <v>102.6</v>
      </c>
      <c r="E404" s="35">
        <f t="shared" si="12"/>
        <v>1</v>
      </c>
      <c r="F404" s="35">
        <f t="shared" si="13"/>
        <v>102.6</v>
      </c>
    </row>
    <row r="405" spans="1:6" x14ac:dyDescent="0.25">
      <c r="A405">
        <v>42.457000000000001</v>
      </c>
      <c r="B405">
        <v>1</v>
      </c>
      <c r="C405" s="2">
        <v>0.2994</v>
      </c>
      <c r="D405">
        <v>102.5</v>
      </c>
      <c r="E405" s="35">
        <f t="shared" si="12"/>
        <v>1</v>
      </c>
      <c r="F405" s="35">
        <f t="shared" si="13"/>
        <v>102.5</v>
      </c>
    </row>
    <row r="406" spans="1:6" x14ac:dyDescent="0.25">
      <c r="A406">
        <v>43.48</v>
      </c>
      <c r="B406">
        <v>1</v>
      </c>
      <c r="C406" s="2">
        <v>0.29749999999999999</v>
      </c>
      <c r="D406">
        <v>102.4</v>
      </c>
      <c r="E406" s="35">
        <f t="shared" si="12"/>
        <v>1</v>
      </c>
      <c r="F406" s="35">
        <f t="shared" si="13"/>
        <v>102.4</v>
      </c>
    </row>
    <row r="407" spans="1:6" x14ac:dyDescent="0.25">
      <c r="A407">
        <v>44.505000000000003</v>
      </c>
      <c r="B407">
        <v>1</v>
      </c>
      <c r="C407" s="2">
        <v>0.29399999999999998</v>
      </c>
      <c r="D407">
        <v>102.3</v>
      </c>
      <c r="E407" s="35">
        <f t="shared" si="12"/>
        <v>1</v>
      </c>
      <c r="F407" s="35">
        <f t="shared" si="13"/>
        <v>102.3</v>
      </c>
    </row>
    <row r="408" spans="1:6" x14ac:dyDescent="0.25">
      <c r="A408">
        <v>45.527999999999999</v>
      </c>
      <c r="B408">
        <v>1</v>
      </c>
      <c r="C408" s="2">
        <v>0.29580000000000001</v>
      </c>
      <c r="D408">
        <v>102.2</v>
      </c>
      <c r="E408" s="35">
        <f t="shared" si="12"/>
        <v>1</v>
      </c>
      <c r="F408" s="35">
        <f t="shared" si="13"/>
        <v>102.2</v>
      </c>
    </row>
    <row r="409" spans="1:6" x14ac:dyDescent="0.25">
      <c r="A409">
        <v>46.552999999999997</v>
      </c>
      <c r="B409">
        <v>1</v>
      </c>
      <c r="C409" s="2">
        <v>0.29480000000000001</v>
      </c>
      <c r="D409">
        <v>102.1</v>
      </c>
      <c r="E409" s="35">
        <f t="shared" si="12"/>
        <v>1</v>
      </c>
      <c r="F409" s="35">
        <f t="shared" si="13"/>
        <v>102.1</v>
      </c>
    </row>
    <row r="410" spans="1:6" x14ac:dyDescent="0.25">
      <c r="A410">
        <v>47.576000000000001</v>
      </c>
      <c r="B410">
        <v>1</v>
      </c>
      <c r="C410" s="2">
        <v>0.29389999999999999</v>
      </c>
      <c r="D410">
        <v>101.9</v>
      </c>
      <c r="E410" s="35">
        <f t="shared" si="12"/>
        <v>1</v>
      </c>
      <c r="F410" s="35">
        <f t="shared" si="13"/>
        <v>101.9</v>
      </c>
    </row>
    <row r="411" spans="1:6" x14ac:dyDescent="0.25">
      <c r="A411">
        <v>48.6</v>
      </c>
      <c r="B411">
        <v>1</v>
      </c>
      <c r="C411" s="2">
        <v>0.2908</v>
      </c>
      <c r="D411">
        <v>101.8</v>
      </c>
      <c r="E411" s="35">
        <f t="shared" si="12"/>
        <v>1</v>
      </c>
      <c r="F411" s="35">
        <f t="shared" si="13"/>
        <v>101.8</v>
      </c>
    </row>
    <row r="412" spans="1:6" x14ac:dyDescent="0.25">
      <c r="A412">
        <v>49.625</v>
      </c>
      <c r="B412">
        <v>1</v>
      </c>
      <c r="C412" s="2">
        <v>0.29160000000000003</v>
      </c>
      <c r="D412">
        <v>101.7</v>
      </c>
      <c r="E412" s="35">
        <f t="shared" si="12"/>
        <v>1</v>
      </c>
      <c r="F412" s="35">
        <f t="shared" si="13"/>
        <v>101.7</v>
      </c>
    </row>
    <row r="413" spans="1:6" x14ac:dyDescent="0.25">
      <c r="A413">
        <v>50.648000000000003</v>
      </c>
      <c r="B413">
        <v>1</v>
      </c>
      <c r="C413" s="2">
        <v>0.2918</v>
      </c>
      <c r="D413">
        <v>101.5</v>
      </c>
      <c r="E413" s="35">
        <f t="shared" si="12"/>
        <v>1</v>
      </c>
      <c r="F413" s="35">
        <f t="shared" si="13"/>
        <v>101.5</v>
      </c>
    </row>
    <row r="414" spans="1:6" x14ac:dyDescent="0.25">
      <c r="A414">
        <v>51.673000000000002</v>
      </c>
      <c r="B414">
        <v>1</v>
      </c>
      <c r="C414" s="2">
        <v>0.28670000000000001</v>
      </c>
      <c r="D414">
        <v>101.4</v>
      </c>
      <c r="E414" s="35">
        <f t="shared" si="12"/>
        <v>1</v>
      </c>
      <c r="F414" s="35">
        <f t="shared" si="13"/>
        <v>101.4</v>
      </c>
    </row>
    <row r="415" spans="1:6" x14ac:dyDescent="0.25">
      <c r="A415">
        <v>52.695999999999998</v>
      </c>
      <c r="B415">
        <v>1</v>
      </c>
      <c r="C415" s="2">
        <v>0.2863</v>
      </c>
      <c r="D415">
        <v>101.3</v>
      </c>
      <c r="E415" s="35">
        <f t="shared" si="12"/>
        <v>1</v>
      </c>
      <c r="F415" s="35">
        <f t="shared" si="13"/>
        <v>101.3</v>
      </c>
    </row>
    <row r="416" spans="1:6" x14ac:dyDescent="0.25">
      <c r="A416">
        <v>53.720999999999997</v>
      </c>
      <c r="B416">
        <v>1</v>
      </c>
      <c r="C416" s="2">
        <v>0.28510000000000002</v>
      </c>
      <c r="D416">
        <v>101.2</v>
      </c>
      <c r="E416" s="35">
        <f t="shared" si="12"/>
        <v>1</v>
      </c>
      <c r="F416" s="35">
        <f t="shared" si="13"/>
        <v>101.2</v>
      </c>
    </row>
    <row r="417" spans="1:6" x14ac:dyDescent="0.25">
      <c r="A417">
        <v>54.744</v>
      </c>
      <c r="B417">
        <v>1</v>
      </c>
      <c r="C417" s="2">
        <v>0.28310000000000002</v>
      </c>
      <c r="D417">
        <v>101</v>
      </c>
      <c r="E417" s="35">
        <f t="shared" si="12"/>
        <v>1</v>
      </c>
      <c r="F417" s="35">
        <f t="shared" si="13"/>
        <v>101</v>
      </c>
    </row>
    <row r="418" spans="1:6" x14ac:dyDescent="0.25">
      <c r="A418">
        <v>55.768999999999998</v>
      </c>
      <c r="B418">
        <v>1</v>
      </c>
      <c r="C418" s="2">
        <v>0.28189999999999998</v>
      </c>
      <c r="D418">
        <v>100.9</v>
      </c>
      <c r="E418" s="35">
        <f t="shared" si="12"/>
        <v>1</v>
      </c>
      <c r="F418" s="35">
        <f t="shared" si="13"/>
        <v>100.9</v>
      </c>
    </row>
    <row r="419" spans="1:6" x14ac:dyDescent="0.25">
      <c r="A419">
        <v>56.792000000000002</v>
      </c>
      <c r="B419">
        <v>1</v>
      </c>
      <c r="C419" s="2">
        <v>0.28189999999999998</v>
      </c>
      <c r="D419">
        <v>100.8</v>
      </c>
      <c r="E419" s="35">
        <f t="shared" si="12"/>
        <v>1</v>
      </c>
      <c r="F419" s="35">
        <f t="shared" si="13"/>
        <v>100.8</v>
      </c>
    </row>
    <row r="420" spans="1:6" x14ac:dyDescent="0.25">
      <c r="A420">
        <v>57.817</v>
      </c>
      <c r="B420">
        <v>1</v>
      </c>
      <c r="C420" s="2">
        <v>0.27910000000000001</v>
      </c>
      <c r="D420">
        <v>100.6</v>
      </c>
      <c r="E420" s="35">
        <f t="shared" si="12"/>
        <v>1</v>
      </c>
      <c r="F420" s="35">
        <f t="shared" si="13"/>
        <v>100.6</v>
      </c>
    </row>
    <row r="421" spans="1:6" x14ac:dyDescent="0.25">
      <c r="A421">
        <v>58.84</v>
      </c>
      <c r="B421">
        <v>1</v>
      </c>
      <c r="C421" s="2">
        <v>0.2787</v>
      </c>
      <c r="D421">
        <v>100.5</v>
      </c>
      <c r="E421" s="35">
        <f t="shared" si="12"/>
        <v>1</v>
      </c>
      <c r="F421" s="35">
        <f t="shared" si="13"/>
        <v>100.5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Fracture">
                <anchor moveWithCells="1" sizeWithCells="1">
                  <from>
                    <xdr:col>7</xdr:col>
                    <xdr:colOff>1009650</xdr:colOff>
                    <xdr:row>9</xdr:row>
                    <xdr:rowOff>28575</xdr:rowOff>
                  </from>
                  <to>
                    <xdr:col>8</xdr:col>
                    <xdr:colOff>495300</xdr:colOff>
                    <xdr:row>11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R285"/>
  <sheetViews>
    <sheetView workbookViewId="0">
      <selection activeCell="I263" sqref="A1:I263"/>
    </sheetView>
  </sheetViews>
  <sheetFormatPr defaultRowHeight="15" x14ac:dyDescent="0.25"/>
  <cols>
    <col min="1" max="1" width="23.5703125" style="35" bestFit="1" customWidth="1"/>
    <col min="2" max="2" width="32" style="35" bestFit="1" customWidth="1"/>
    <col min="3" max="3" width="27" style="35" bestFit="1" customWidth="1"/>
    <col min="4" max="4" width="14.42578125" style="35" bestFit="1" customWidth="1"/>
    <col min="5" max="5" width="17.28515625" style="35" bestFit="1" customWidth="1"/>
    <col min="6" max="16384" width="9.140625" style="35"/>
  </cols>
  <sheetData>
    <row r="1" spans="1:70" ht="30" customHeight="1" x14ac:dyDescent="0.25">
      <c r="A1" s="66" t="s">
        <v>74</v>
      </c>
      <c r="B1" s="66" t="s">
        <v>73</v>
      </c>
      <c r="C1" s="66" t="s">
        <v>72</v>
      </c>
      <c r="D1" s="66" t="s">
        <v>75</v>
      </c>
      <c r="E1" s="66" t="s">
        <v>85</v>
      </c>
      <c r="F1" s="66" t="s">
        <v>76</v>
      </c>
      <c r="G1" s="66" t="s">
        <v>77</v>
      </c>
      <c r="H1" s="66" t="s">
        <v>78</v>
      </c>
      <c r="I1" s="66" t="s">
        <v>79</v>
      </c>
      <c r="J1" s="26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</row>
    <row r="2" spans="1:70" ht="15" customHeight="1" x14ac:dyDescent="0.25">
      <c r="A2" s="35" t="s">
        <v>67</v>
      </c>
      <c r="B2" s="35" t="s">
        <v>173</v>
      </c>
      <c r="C2" s="35" t="s">
        <v>117</v>
      </c>
      <c r="D2" s="72">
        <v>42107</v>
      </c>
      <c r="E2" s="35">
        <v>29664</v>
      </c>
      <c r="F2" s="16">
        <v>4.3878533208301436E-2</v>
      </c>
      <c r="G2" s="30">
        <v>4.0705846337374507E-2</v>
      </c>
      <c r="H2" s="16">
        <v>1.9600031904578007E-2</v>
      </c>
      <c r="I2" s="30">
        <v>1.7417881052851983E-2</v>
      </c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</row>
    <row r="3" spans="1:70" ht="15" customHeight="1" x14ac:dyDescent="0.25">
      <c r="A3" s="35" t="s">
        <v>67</v>
      </c>
      <c r="B3" s="35" t="s">
        <v>173</v>
      </c>
      <c r="C3" s="35" t="s">
        <v>118</v>
      </c>
      <c r="D3" s="72">
        <v>42107</v>
      </c>
      <c r="E3" s="35">
        <v>29664</v>
      </c>
      <c r="F3" s="30">
        <v>4.2718004432232322</v>
      </c>
      <c r="G3" s="30">
        <v>4.3277655817778538</v>
      </c>
      <c r="H3" s="30">
        <v>4.4514138924432691</v>
      </c>
      <c r="I3" s="30">
        <v>4.2357003223584426</v>
      </c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</row>
    <row r="4" spans="1:70" ht="15" customHeight="1" x14ac:dyDescent="0.25">
      <c r="A4" s="35" t="s">
        <v>67</v>
      </c>
      <c r="B4" s="35" t="s">
        <v>173</v>
      </c>
      <c r="C4" s="35" t="s">
        <v>119</v>
      </c>
      <c r="D4" s="72">
        <v>42107</v>
      </c>
      <c r="E4" s="35">
        <v>29664</v>
      </c>
      <c r="F4" s="16">
        <v>0.35757608646462036</v>
      </c>
      <c r="G4" s="53">
        <v>0.346454778666201</v>
      </c>
      <c r="H4" s="30">
        <v>0.30089009781721471</v>
      </c>
      <c r="I4" s="30">
        <v>0.29192000206607482</v>
      </c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</row>
    <row r="5" spans="1:70" ht="15" customHeight="1" x14ac:dyDescent="0.25">
      <c r="A5" s="35" t="s">
        <v>67</v>
      </c>
      <c r="B5" s="35" t="s">
        <v>173</v>
      </c>
      <c r="C5" s="35" t="s">
        <v>120</v>
      </c>
      <c r="D5" s="72">
        <v>42107</v>
      </c>
      <c r="E5" s="35">
        <v>29664</v>
      </c>
      <c r="F5" s="16">
        <v>3.0092281220957626</v>
      </c>
      <c r="G5" s="53">
        <v>3.2281811670989491</v>
      </c>
      <c r="H5" s="30">
        <v>3.0224265936704717</v>
      </c>
      <c r="I5" s="30">
        <v>2.8400078104493343</v>
      </c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</row>
    <row r="6" spans="1:70" ht="15" customHeight="1" x14ac:dyDescent="0.25">
      <c r="A6" s="35" t="s">
        <v>67</v>
      </c>
      <c r="B6" s="35" t="s">
        <v>173</v>
      </c>
      <c r="C6" s="35" t="s">
        <v>121</v>
      </c>
      <c r="D6" s="72">
        <v>42107</v>
      </c>
      <c r="E6" s="35">
        <v>29664</v>
      </c>
      <c r="F6" s="35">
        <v>9.0148418038485421</v>
      </c>
      <c r="G6" s="35">
        <v>9.6707665071575004</v>
      </c>
      <c r="H6" s="35">
        <v>9.0543808911064776</v>
      </c>
      <c r="I6" s="35">
        <v>8.5079030549084731</v>
      </c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</row>
    <row r="7" spans="1:70" ht="15" customHeight="1" x14ac:dyDescent="0.25">
      <c r="A7" s="35" t="s">
        <v>67</v>
      </c>
      <c r="B7" s="35" t="s">
        <v>173</v>
      </c>
      <c r="C7" s="35" t="s">
        <v>82</v>
      </c>
      <c r="D7" s="72">
        <v>42107</v>
      </c>
      <c r="E7" s="35">
        <v>29664</v>
      </c>
      <c r="F7" s="52">
        <v>-6.59</v>
      </c>
      <c r="G7" s="52">
        <v>-7.0309999999999997</v>
      </c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</row>
    <row r="8" spans="1:70" ht="15" customHeight="1" x14ac:dyDescent="0.25">
      <c r="A8" s="35" t="s">
        <v>67</v>
      </c>
      <c r="B8" s="35" t="s">
        <v>173</v>
      </c>
      <c r="C8" s="35" t="s">
        <v>83</v>
      </c>
      <c r="D8" s="72">
        <v>42107</v>
      </c>
      <c r="E8" s="35">
        <v>29664</v>
      </c>
      <c r="F8" s="52">
        <v>0.73599999999999999</v>
      </c>
      <c r="G8" s="52">
        <v>1</v>
      </c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</row>
    <row r="9" spans="1:70" ht="15" customHeight="1" x14ac:dyDescent="0.25">
      <c r="A9" s="35" t="s">
        <v>67</v>
      </c>
      <c r="B9" s="35" t="s">
        <v>173</v>
      </c>
      <c r="C9" s="35" t="s">
        <v>80</v>
      </c>
      <c r="D9" s="72">
        <v>42107</v>
      </c>
      <c r="E9" s="35">
        <v>29664</v>
      </c>
      <c r="F9" s="43">
        <v>-7.3719999999999999</v>
      </c>
      <c r="G9" s="43">
        <v>-7.5570000000000004</v>
      </c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</row>
    <row r="10" spans="1:70" ht="15" customHeight="1" x14ac:dyDescent="0.25">
      <c r="A10" s="35" t="s">
        <v>67</v>
      </c>
      <c r="B10" s="35" t="s">
        <v>173</v>
      </c>
      <c r="C10" s="35" t="s">
        <v>81</v>
      </c>
      <c r="D10" s="72">
        <v>42107</v>
      </c>
      <c r="E10" s="35">
        <v>29664</v>
      </c>
      <c r="F10" s="43">
        <v>0.78</v>
      </c>
      <c r="G10" s="43">
        <v>0.72799999999999998</v>
      </c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</row>
    <row r="11" spans="1:70" ht="15" customHeight="1" x14ac:dyDescent="0.25">
      <c r="A11" s="35" t="s">
        <v>67</v>
      </c>
      <c r="B11" s="35" t="s">
        <v>173</v>
      </c>
      <c r="C11" s="35" t="s">
        <v>38</v>
      </c>
      <c r="D11" s="72">
        <v>42107</v>
      </c>
      <c r="E11" s="35">
        <v>29664</v>
      </c>
      <c r="F11" s="38">
        <v>34.114496300777247</v>
      </c>
      <c r="G11" s="64">
        <v>33.27468203354271</v>
      </c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</row>
    <row r="12" spans="1:70" ht="15" customHeight="1" x14ac:dyDescent="0.25">
      <c r="A12" s="35" t="s">
        <v>67</v>
      </c>
      <c r="B12" s="35" t="s">
        <v>173</v>
      </c>
      <c r="C12" s="35" t="s">
        <v>39</v>
      </c>
      <c r="D12" s="72">
        <v>42107</v>
      </c>
      <c r="E12" s="35">
        <v>29664</v>
      </c>
      <c r="F12" s="38">
        <v>6.3315396155736239E-2</v>
      </c>
      <c r="G12" s="64">
        <v>6.1733230377036742E-2</v>
      </c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</row>
    <row r="13" spans="1:70" ht="15" customHeight="1" x14ac:dyDescent="0.25">
      <c r="A13" s="35" t="s">
        <v>67</v>
      </c>
      <c r="B13" s="35" t="s">
        <v>173</v>
      </c>
      <c r="C13" s="35" t="s">
        <v>40</v>
      </c>
      <c r="D13" s="72">
        <v>42107</v>
      </c>
      <c r="E13" s="35">
        <v>29664</v>
      </c>
      <c r="F13" s="38">
        <v>110.64286871666468</v>
      </c>
      <c r="G13" s="64">
        <v>112.40486832015156</v>
      </c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</row>
    <row r="14" spans="1:70" ht="15" customHeight="1" x14ac:dyDescent="0.25">
      <c r="A14" s="35" t="s">
        <v>67</v>
      </c>
      <c r="B14" s="35" t="s">
        <v>173</v>
      </c>
      <c r="C14" s="35" t="s">
        <v>41</v>
      </c>
      <c r="D14" s="72">
        <v>42107</v>
      </c>
      <c r="E14" s="35">
        <v>29664</v>
      </c>
      <c r="F14" s="38">
        <v>0.53639345152522988</v>
      </c>
      <c r="G14" s="64">
        <v>0.53449899830704017</v>
      </c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</row>
    <row r="15" spans="1:70" ht="15" customHeight="1" x14ac:dyDescent="0.25">
      <c r="A15" s="35" t="s">
        <v>67</v>
      </c>
      <c r="B15" s="35" t="s">
        <v>173</v>
      </c>
      <c r="C15" s="35" t="s">
        <v>46</v>
      </c>
      <c r="D15" s="72">
        <v>42107</v>
      </c>
      <c r="E15" s="35">
        <v>29664</v>
      </c>
      <c r="F15" s="55">
        <v>119.51250000000007</v>
      </c>
      <c r="G15" s="55">
        <v>118.99455782312903</v>
      </c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</row>
    <row r="16" spans="1:70" ht="15" customHeight="1" x14ac:dyDescent="0.25">
      <c r="A16" s="35" t="s">
        <v>67</v>
      </c>
      <c r="B16" s="35" t="s">
        <v>173</v>
      </c>
      <c r="C16" s="35" t="s">
        <v>47</v>
      </c>
      <c r="D16" s="72">
        <v>42107</v>
      </c>
      <c r="E16" s="35">
        <v>29664</v>
      </c>
      <c r="F16" s="55">
        <v>0.62126999999999999</v>
      </c>
      <c r="G16" s="55">
        <v>0.63776591836734775</v>
      </c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</row>
    <row r="17" spans="1:70" ht="15" customHeight="1" x14ac:dyDescent="0.25">
      <c r="A17" s="35" t="s">
        <v>67</v>
      </c>
      <c r="B17" s="35" t="s">
        <v>173</v>
      </c>
      <c r="C17" s="35" t="s">
        <v>54</v>
      </c>
      <c r="D17" s="72">
        <v>42107</v>
      </c>
      <c r="E17" s="35">
        <v>29664</v>
      </c>
      <c r="F17" s="55">
        <v>656.08</v>
      </c>
      <c r="G17" s="55">
        <v>673.66</v>
      </c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</row>
    <row r="18" spans="1:70" ht="15" customHeight="1" x14ac:dyDescent="0.25">
      <c r="A18" s="35" t="s">
        <v>67</v>
      </c>
      <c r="B18" s="35" t="s">
        <v>173</v>
      </c>
      <c r="C18" s="35" t="s">
        <v>55</v>
      </c>
      <c r="D18" s="72">
        <v>42107</v>
      </c>
      <c r="E18" s="35">
        <v>29664</v>
      </c>
      <c r="F18" s="55">
        <v>89.655999999999992</v>
      </c>
      <c r="G18" s="55">
        <v>93.083999999999989</v>
      </c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</row>
    <row r="19" spans="1:70" ht="15" customHeight="1" x14ac:dyDescent="0.25">
      <c r="A19" s="35" t="s">
        <v>67</v>
      </c>
      <c r="B19" s="35" t="s">
        <v>173</v>
      </c>
      <c r="C19" s="35" t="s">
        <v>68</v>
      </c>
      <c r="D19" s="72">
        <v>42107</v>
      </c>
      <c r="E19" s="35">
        <v>29664</v>
      </c>
      <c r="F19" s="50">
        <v>1</v>
      </c>
      <c r="G19" s="35">
        <v>1</v>
      </c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</row>
    <row r="20" spans="1:70" ht="15" customHeight="1" x14ac:dyDescent="0.25">
      <c r="A20" s="35" t="s">
        <v>67</v>
      </c>
      <c r="B20" s="35" t="s">
        <v>173</v>
      </c>
      <c r="C20" s="35" t="s">
        <v>70</v>
      </c>
      <c r="D20" s="72">
        <v>42107</v>
      </c>
      <c r="E20" s="35">
        <v>29664</v>
      </c>
      <c r="F20" s="46">
        <v>95.09</v>
      </c>
      <c r="G20" s="46">
        <v>98.68</v>
      </c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</row>
    <row r="21" spans="1:70" ht="15" customHeight="1" x14ac:dyDescent="0.25">
      <c r="A21" s="35" t="s">
        <v>67</v>
      </c>
      <c r="B21" s="35" t="s">
        <v>173</v>
      </c>
      <c r="C21" s="35" t="s">
        <v>71</v>
      </c>
      <c r="D21" s="72">
        <v>42107</v>
      </c>
      <c r="E21" s="35">
        <v>29664</v>
      </c>
      <c r="F21" s="46">
        <v>91.9</v>
      </c>
      <c r="G21" s="46">
        <v>94.64</v>
      </c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</row>
    <row r="22" spans="1:70" ht="15" customHeight="1" x14ac:dyDescent="0.25">
      <c r="A22" s="35" t="s">
        <v>67</v>
      </c>
      <c r="B22" s="35" t="s">
        <v>173</v>
      </c>
      <c r="C22" s="35" t="s">
        <v>84</v>
      </c>
      <c r="D22" s="72">
        <v>42107</v>
      </c>
      <c r="E22" s="35">
        <v>29664</v>
      </c>
      <c r="F22" s="46">
        <v>-3.1899999999999977</v>
      </c>
      <c r="G22" s="46">
        <v>-4.0400000000000063</v>
      </c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</row>
    <row r="23" spans="1:70" ht="15" customHeight="1" thickBot="1" x14ac:dyDescent="0.3">
      <c r="A23" s="40" t="s">
        <v>67</v>
      </c>
      <c r="B23" s="40" t="s">
        <v>173</v>
      </c>
      <c r="C23" s="40" t="s">
        <v>69</v>
      </c>
      <c r="D23" s="73">
        <v>42107</v>
      </c>
      <c r="E23" s="40">
        <v>29664</v>
      </c>
      <c r="F23" s="65">
        <v>98.43</v>
      </c>
      <c r="G23" s="65">
        <v>104.1</v>
      </c>
      <c r="H23" s="40"/>
      <c r="I23" s="40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</row>
    <row r="24" spans="1:70" x14ac:dyDescent="0.25">
      <c r="A24" s="35" t="s">
        <v>67</v>
      </c>
      <c r="B24" s="35" t="s">
        <v>173</v>
      </c>
      <c r="C24" s="35" t="s">
        <v>117</v>
      </c>
      <c r="D24" s="72">
        <v>42107</v>
      </c>
      <c r="E24" s="35">
        <v>29674</v>
      </c>
      <c r="F24" s="16">
        <v>1.8617846701595706E-3</v>
      </c>
      <c r="G24" s="30">
        <v>2.2325360486935238E-3</v>
      </c>
      <c r="H24" s="30">
        <v>6.4934454940451681E-3</v>
      </c>
      <c r="I24" s="30">
        <v>4.6322717748331658E-3</v>
      </c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</row>
    <row r="25" spans="1:70" x14ac:dyDescent="0.25">
      <c r="A25" s="35" t="s">
        <v>67</v>
      </c>
      <c r="B25" s="35" t="s">
        <v>173</v>
      </c>
      <c r="C25" s="35" t="s">
        <v>118</v>
      </c>
      <c r="D25" s="72">
        <v>42107</v>
      </c>
      <c r="E25" s="35">
        <v>29674</v>
      </c>
      <c r="F25" s="30">
        <v>6.4718280829103181</v>
      </c>
      <c r="G25" s="30">
        <v>1.4735038478069393</v>
      </c>
      <c r="H25" s="30">
        <v>9.0492236753854556</v>
      </c>
      <c r="I25" s="30">
        <v>10.040690278236788</v>
      </c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</row>
    <row r="26" spans="1:70" x14ac:dyDescent="0.25">
      <c r="A26" s="35" t="s">
        <v>67</v>
      </c>
      <c r="B26" s="35" t="s">
        <v>173</v>
      </c>
      <c r="C26" s="35" t="s">
        <v>119</v>
      </c>
      <c r="D26" s="72">
        <v>42107</v>
      </c>
      <c r="E26" s="35">
        <v>29674</v>
      </c>
      <c r="F26" s="30">
        <v>0.25827502027303595</v>
      </c>
      <c r="G26" s="30">
        <v>0.27566021984824968</v>
      </c>
      <c r="H26" s="30">
        <v>0.18270974771944432</v>
      </c>
      <c r="I26" s="30">
        <v>0.20490556056147824</v>
      </c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</row>
    <row r="27" spans="1:70" x14ac:dyDescent="0.25">
      <c r="A27" s="35" t="s">
        <v>67</v>
      </c>
      <c r="B27" s="35" t="s">
        <v>173</v>
      </c>
      <c r="C27" s="35" t="s">
        <v>120</v>
      </c>
      <c r="D27" s="72">
        <v>42107</v>
      </c>
      <c r="E27" s="35">
        <v>29674</v>
      </c>
      <c r="F27" s="30">
        <v>1.4051255335890414</v>
      </c>
      <c r="G27" s="30">
        <v>1.5240399790127148</v>
      </c>
      <c r="H27" s="30">
        <v>1.1082538988504584</v>
      </c>
      <c r="I27" s="30">
        <v>1.1089513181090918</v>
      </c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</row>
    <row r="28" spans="1:70" x14ac:dyDescent="0.25">
      <c r="A28" s="35" t="s">
        <v>67</v>
      </c>
      <c r="B28" s="35" t="s">
        <v>173</v>
      </c>
      <c r="C28" s="35" t="s">
        <v>121</v>
      </c>
      <c r="D28" s="72">
        <v>42107</v>
      </c>
      <c r="E28" s="35">
        <v>29674</v>
      </c>
      <c r="F28">
        <v>4.2093799093674651</v>
      </c>
      <c r="G28">
        <v>4.5656157513149349</v>
      </c>
      <c r="H28">
        <v>3.3200319720783575</v>
      </c>
      <c r="I28">
        <v>3.3221212534596409</v>
      </c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</row>
    <row r="29" spans="1:70" x14ac:dyDescent="0.25">
      <c r="A29" s="35" t="s">
        <v>67</v>
      </c>
      <c r="B29" s="35" t="s">
        <v>173</v>
      </c>
      <c r="C29" s="35" t="s">
        <v>82</v>
      </c>
      <c r="D29" s="72">
        <v>42107</v>
      </c>
      <c r="E29" s="35">
        <v>29674</v>
      </c>
      <c r="F29" s="52">
        <v>-5.5439999999999996</v>
      </c>
      <c r="G29" s="52">
        <v>-5.4690000000000003</v>
      </c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</row>
    <row r="30" spans="1:70" x14ac:dyDescent="0.25">
      <c r="A30" s="35" t="s">
        <v>67</v>
      </c>
      <c r="B30" s="35" t="s">
        <v>173</v>
      </c>
      <c r="C30" s="35" t="s">
        <v>83</v>
      </c>
      <c r="D30" s="72">
        <v>42107</v>
      </c>
      <c r="E30" s="35">
        <v>29674</v>
      </c>
      <c r="F30" s="52">
        <v>0.70399999999999996</v>
      </c>
      <c r="G30" s="52">
        <v>0.72399999999999998</v>
      </c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</row>
    <row r="31" spans="1:70" x14ac:dyDescent="0.25">
      <c r="A31" s="35" t="s">
        <v>67</v>
      </c>
      <c r="B31" s="35" t="s">
        <v>173</v>
      </c>
      <c r="C31" s="35" t="s">
        <v>80</v>
      </c>
      <c r="D31" s="72">
        <v>42107</v>
      </c>
      <c r="E31" s="35">
        <v>29674</v>
      </c>
      <c r="F31" s="43">
        <v>-4.8710000000000004</v>
      </c>
      <c r="G31" s="43">
        <v>-4.8319999999999999</v>
      </c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</row>
    <row r="32" spans="1:70" x14ac:dyDescent="0.25">
      <c r="A32" s="35" t="s">
        <v>67</v>
      </c>
      <c r="B32" s="35" t="s">
        <v>173</v>
      </c>
      <c r="C32" s="35" t="s">
        <v>81</v>
      </c>
      <c r="D32" s="72">
        <v>42107</v>
      </c>
      <c r="E32" s="35">
        <v>29674</v>
      </c>
      <c r="F32" s="43">
        <v>0.97199999999999998</v>
      </c>
      <c r="G32" s="43">
        <v>0.72799999999999998</v>
      </c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</row>
    <row r="33" spans="1:70" x14ac:dyDescent="0.25">
      <c r="A33" s="35" t="s">
        <v>67</v>
      </c>
      <c r="B33" s="35" t="s">
        <v>173</v>
      </c>
      <c r="C33" s="35" t="s">
        <v>38</v>
      </c>
      <c r="D33" s="72">
        <v>42107</v>
      </c>
      <c r="E33" s="35">
        <v>29674</v>
      </c>
      <c r="F33" s="38">
        <v>16.827591301921288</v>
      </c>
      <c r="G33" s="64">
        <v>16.72988170960917</v>
      </c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</row>
    <row r="34" spans="1:70" x14ac:dyDescent="0.25">
      <c r="A34" s="35" t="s">
        <v>67</v>
      </c>
      <c r="B34" s="35" t="s">
        <v>173</v>
      </c>
      <c r="C34" s="35" t="s">
        <v>39</v>
      </c>
      <c r="D34" s="72">
        <v>42107</v>
      </c>
      <c r="E34" s="35">
        <v>29674</v>
      </c>
      <c r="F34" s="38">
        <v>4.1031879583479675E-2</v>
      </c>
      <c r="G34" s="64">
        <v>3.9773630342528656E-2</v>
      </c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</row>
    <row r="35" spans="1:70" x14ac:dyDescent="0.25">
      <c r="A35" s="35" t="s">
        <v>67</v>
      </c>
      <c r="B35" s="35" t="s">
        <v>173</v>
      </c>
      <c r="C35" s="35" t="s">
        <v>40</v>
      </c>
      <c r="D35" s="72">
        <v>42107</v>
      </c>
      <c r="E35" s="35">
        <v>29674</v>
      </c>
      <c r="F35" s="38">
        <v>70.791779758702603</v>
      </c>
      <c r="G35" s="64">
        <v>71.684168192611423</v>
      </c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</row>
    <row r="36" spans="1:70" x14ac:dyDescent="0.25">
      <c r="A36" s="35" t="s">
        <v>67</v>
      </c>
      <c r="B36" s="35" t="s">
        <v>173</v>
      </c>
      <c r="C36" s="35" t="s">
        <v>41</v>
      </c>
      <c r="D36" s="72">
        <v>42107</v>
      </c>
      <c r="E36" s="35">
        <v>29674</v>
      </c>
      <c r="F36" s="38">
        <v>0.44149901044244833</v>
      </c>
      <c r="G36" s="64">
        <v>0.43061575133688323</v>
      </c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</row>
    <row r="37" spans="1:70" x14ac:dyDescent="0.25">
      <c r="A37" s="35" t="s">
        <v>67</v>
      </c>
      <c r="B37" s="35" t="s">
        <v>173</v>
      </c>
      <c r="C37" s="35" t="s">
        <v>46</v>
      </c>
      <c r="D37" s="72">
        <v>42107</v>
      </c>
      <c r="E37" s="35">
        <v>29674</v>
      </c>
      <c r="F37" s="55">
        <v>115.8416666666667</v>
      </c>
      <c r="G37" s="55">
        <v>121.3825396825397</v>
      </c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</row>
    <row r="38" spans="1:70" x14ac:dyDescent="0.25">
      <c r="A38" s="35" t="s">
        <v>67</v>
      </c>
      <c r="B38" s="35" t="s">
        <v>173</v>
      </c>
      <c r="C38" s="35" t="s">
        <v>47</v>
      </c>
      <c r="D38" s="72">
        <v>42107</v>
      </c>
      <c r="E38" s="35">
        <v>29674</v>
      </c>
      <c r="F38" s="55">
        <v>0.37787291666666645</v>
      </c>
      <c r="G38" s="55">
        <v>0.3672055026455025</v>
      </c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</row>
    <row r="39" spans="1:70" x14ac:dyDescent="0.25">
      <c r="A39" s="35" t="s">
        <v>67</v>
      </c>
      <c r="B39" s="35" t="s">
        <v>173</v>
      </c>
      <c r="C39" s="35" t="s">
        <v>54</v>
      </c>
      <c r="D39" s="72">
        <v>42107</v>
      </c>
      <c r="E39" s="35">
        <v>29674</v>
      </c>
      <c r="F39" s="55">
        <v>463.6</v>
      </c>
      <c r="G39" s="55">
        <v>475.56000000000006</v>
      </c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</row>
    <row r="40" spans="1:70" x14ac:dyDescent="0.25">
      <c r="A40" s="35" t="s">
        <v>67</v>
      </c>
      <c r="B40" s="35" t="s">
        <v>173</v>
      </c>
      <c r="C40" s="35" t="s">
        <v>55</v>
      </c>
      <c r="D40" s="72">
        <v>42107</v>
      </c>
      <c r="E40" s="35">
        <v>29674</v>
      </c>
      <c r="F40" s="55">
        <v>81.341999999999985</v>
      </c>
      <c r="G40" s="55">
        <v>84.08</v>
      </c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</row>
    <row r="41" spans="1:70" x14ac:dyDescent="0.25">
      <c r="A41" s="35" t="s">
        <v>67</v>
      </c>
      <c r="B41" s="35" t="s">
        <v>173</v>
      </c>
      <c r="C41" s="35" t="s">
        <v>68</v>
      </c>
      <c r="D41" s="72">
        <v>42107</v>
      </c>
      <c r="E41" s="35">
        <v>29674</v>
      </c>
      <c r="F41" s="50">
        <v>1</v>
      </c>
      <c r="G41" s="35">
        <v>1</v>
      </c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</row>
    <row r="42" spans="1:70" x14ac:dyDescent="0.25">
      <c r="A42" s="35" t="s">
        <v>67</v>
      </c>
      <c r="B42" s="35" t="s">
        <v>173</v>
      </c>
      <c r="C42" s="35" t="s">
        <v>70</v>
      </c>
      <c r="D42" s="72">
        <v>42107</v>
      </c>
      <c r="E42" s="35">
        <v>29674</v>
      </c>
      <c r="F42" s="46">
        <v>39.65</v>
      </c>
      <c r="G42" s="46">
        <v>44.82</v>
      </c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</row>
    <row r="43" spans="1:70" x14ac:dyDescent="0.25">
      <c r="A43" s="35" t="s">
        <v>67</v>
      </c>
      <c r="B43" s="35" t="s">
        <v>173</v>
      </c>
      <c r="C43" s="35" t="s">
        <v>71</v>
      </c>
      <c r="D43" s="72">
        <v>42107</v>
      </c>
      <c r="E43" s="35">
        <v>29674</v>
      </c>
      <c r="F43" s="46">
        <v>51.17</v>
      </c>
      <c r="G43" s="46">
        <v>54.84</v>
      </c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</row>
    <row r="44" spans="1:70" x14ac:dyDescent="0.25">
      <c r="A44" s="35" t="s">
        <v>67</v>
      </c>
      <c r="B44" s="35" t="s">
        <v>173</v>
      </c>
      <c r="C44" s="35" t="s">
        <v>84</v>
      </c>
      <c r="D44" s="72">
        <v>42107</v>
      </c>
      <c r="E44" s="35">
        <v>29674</v>
      </c>
      <c r="F44" s="46">
        <v>11.520000000000003</v>
      </c>
      <c r="G44" s="46">
        <v>10.020000000000003</v>
      </c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</row>
    <row r="45" spans="1:70" ht="15.75" thickBot="1" x14ac:dyDescent="0.3">
      <c r="A45" s="40" t="s">
        <v>67</v>
      </c>
      <c r="B45" s="40" t="s">
        <v>173</v>
      </c>
      <c r="C45" s="40" t="s">
        <v>69</v>
      </c>
      <c r="D45" s="73">
        <v>42107</v>
      </c>
      <c r="E45" s="40">
        <v>29674</v>
      </c>
      <c r="F45" s="65">
        <v>51.17</v>
      </c>
      <c r="G45" s="65">
        <v>60.28</v>
      </c>
      <c r="H45" s="40"/>
      <c r="I45" s="40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</row>
    <row r="46" spans="1:70" x14ac:dyDescent="0.25">
      <c r="A46" s="35" t="s">
        <v>67</v>
      </c>
      <c r="B46" s="35" t="s">
        <v>173</v>
      </c>
      <c r="C46" s="35" t="s">
        <v>117</v>
      </c>
      <c r="D46" s="72">
        <v>42107</v>
      </c>
      <c r="E46" s="35">
        <v>29684</v>
      </c>
      <c r="F46" s="16">
        <v>9.892613008260609E-2</v>
      </c>
      <c r="G46" s="30">
        <v>0.24481818377206985</v>
      </c>
      <c r="H46" s="16">
        <v>0.1437482734183024</v>
      </c>
      <c r="I46" s="30">
        <v>0.14781705401645875</v>
      </c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</row>
    <row r="47" spans="1:70" x14ac:dyDescent="0.25">
      <c r="A47" s="35" t="s">
        <v>67</v>
      </c>
      <c r="B47" s="35" t="s">
        <v>173</v>
      </c>
      <c r="C47" s="35" t="s">
        <v>118</v>
      </c>
      <c r="D47" s="72">
        <v>42107</v>
      </c>
      <c r="E47" s="35">
        <v>29684</v>
      </c>
      <c r="F47" s="30">
        <v>2.6426191659150065</v>
      </c>
      <c r="G47" s="30">
        <v>2.8717098794110916</v>
      </c>
      <c r="H47" s="30">
        <v>4.0233126519422395</v>
      </c>
      <c r="I47" s="30">
        <v>3.2146565928224797</v>
      </c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</row>
    <row r="48" spans="1:70" x14ac:dyDescent="0.25">
      <c r="A48" s="35" t="s">
        <v>67</v>
      </c>
      <c r="B48" s="35" t="s">
        <v>173</v>
      </c>
      <c r="C48" s="35" t="s">
        <v>119</v>
      </c>
      <c r="D48" s="72">
        <v>42107</v>
      </c>
      <c r="E48" s="35">
        <v>29684</v>
      </c>
      <c r="F48" s="16">
        <v>0.34779187625352287</v>
      </c>
      <c r="G48" s="53">
        <v>0.34350230196324794</v>
      </c>
      <c r="H48" s="30">
        <v>0.32090433502864163</v>
      </c>
      <c r="I48" s="30">
        <v>0.28086501709836786</v>
      </c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</row>
    <row r="49" spans="1:70" x14ac:dyDescent="0.25">
      <c r="A49" s="35" t="s">
        <v>67</v>
      </c>
      <c r="B49" s="35" t="s">
        <v>173</v>
      </c>
      <c r="C49" s="35" t="s">
        <v>120</v>
      </c>
      <c r="D49" s="72">
        <v>42107</v>
      </c>
      <c r="E49" s="35">
        <v>29684</v>
      </c>
      <c r="F49" s="16">
        <v>3.7298480836462558</v>
      </c>
      <c r="G49" s="53">
        <v>3.9003359946863063</v>
      </c>
      <c r="H49" s="30">
        <v>3.1937805512665522</v>
      </c>
      <c r="I49" s="30">
        <v>3.6855125856708111</v>
      </c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</row>
    <row r="50" spans="1:70" x14ac:dyDescent="0.25">
      <c r="A50" s="35" t="s">
        <v>67</v>
      </c>
      <c r="B50" s="35" t="s">
        <v>173</v>
      </c>
      <c r="C50" s="35" t="s">
        <v>121</v>
      </c>
      <c r="D50" s="72">
        <v>42107</v>
      </c>
      <c r="E50" s="35">
        <v>29684</v>
      </c>
      <c r="F50">
        <v>11.17362627963259</v>
      </c>
      <c r="G50">
        <v>11.684362416986071</v>
      </c>
      <c r="H50">
        <v>9.5677114720782566</v>
      </c>
      <c r="I50">
        <v>11.040808997483463</v>
      </c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</row>
    <row r="51" spans="1:70" x14ac:dyDescent="0.25">
      <c r="A51" s="35" t="s">
        <v>67</v>
      </c>
      <c r="B51" s="35" t="s">
        <v>173</v>
      </c>
      <c r="C51" s="35" t="s">
        <v>82</v>
      </c>
      <c r="D51" s="72">
        <v>42107</v>
      </c>
      <c r="E51" s="35">
        <v>29684</v>
      </c>
      <c r="F51" s="52">
        <v>-7.8570000000000002</v>
      </c>
      <c r="G51" s="52">
        <v>-7.3159999999999998</v>
      </c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</row>
    <row r="52" spans="1:70" x14ac:dyDescent="0.25">
      <c r="A52" s="35" t="s">
        <v>67</v>
      </c>
      <c r="B52" s="35" t="s">
        <v>173</v>
      </c>
      <c r="C52" s="35" t="s">
        <v>83</v>
      </c>
      <c r="D52" s="72">
        <v>42107</v>
      </c>
      <c r="E52" s="35">
        <v>29684</v>
      </c>
      <c r="F52" s="52">
        <v>0.74</v>
      </c>
      <c r="G52" s="52">
        <v>1.016</v>
      </c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</row>
    <row r="53" spans="1:70" x14ac:dyDescent="0.25">
      <c r="A53" s="35" t="s">
        <v>67</v>
      </c>
      <c r="B53" s="35" t="s">
        <v>173</v>
      </c>
      <c r="C53" s="35" t="s">
        <v>80</v>
      </c>
      <c r="D53" s="72">
        <v>42107</v>
      </c>
      <c r="E53" s="35">
        <v>29684</v>
      </c>
      <c r="F53" s="43">
        <v>-8.3629999999999995</v>
      </c>
      <c r="G53" s="43">
        <v>-8.4589999999999996</v>
      </c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</row>
    <row r="54" spans="1:70" x14ac:dyDescent="0.25">
      <c r="A54" s="35" t="s">
        <v>67</v>
      </c>
      <c r="B54" s="35" t="s">
        <v>173</v>
      </c>
      <c r="C54" s="35" t="s">
        <v>81</v>
      </c>
      <c r="D54" s="72">
        <v>42107</v>
      </c>
      <c r="E54" s="35">
        <v>29684</v>
      </c>
      <c r="F54" s="43">
        <v>0.71199999999999997</v>
      </c>
      <c r="G54" s="43">
        <v>0.69199999999999995</v>
      </c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</row>
    <row r="55" spans="1:70" x14ac:dyDescent="0.25">
      <c r="A55" s="35" t="s">
        <v>67</v>
      </c>
      <c r="B55" s="35" t="s">
        <v>173</v>
      </c>
      <c r="C55" s="35" t="s">
        <v>38</v>
      </c>
      <c r="D55" s="72">
        <v>42107</v>
      </c>
      <c r="E55" s="35">
        <v>29684</v>
      </c>
      <c r="F55" s="38">
        <v>36.198711972590139</v>
      </c>
      <c r="G55" s="64">
        <v>34.989416567871992</v>
      </c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</row>
    <row r="56" spans="1:70" x14ac:dyDescent="0.25">
      <c r="A56" s="35" t="s">
        <v>67</v>
      </c>
      <c r="B56" s="35" t="s">
        <v>173</v>
      </c>
      <c r="C56" s="35" t="s">
        <v>39</v>
      </c>
      <c r="D56" s="72">
        <v>42107</v>
      </c>
      <c r="E56" s="35">
        <v>29684</v>
      </c>
      <c r="F56" s="38">
        <v>6.281716822685858E-2</v>
      </c>
      <c r="G56" s="64">
        <v>6.267768848920055E-2</v>
      </c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</row>
    <row r="57" spans="1:70" x14ac:dyDescent="0.25">
      <c r="A57" s="35" t="s">
        <v>67</v>
      </c>
      <c r="B57" s="35" t="s">
        <v>173</v>
      </c>
      <c r="C57" s="35" t="s">
        <v>40</v>
      </c>
      <c r="D57" s="72">
        <v>42107</v>
      </c>
      <c r="E57" s="35">
        <v>29684</v>
      </c>
      <c r="F57" s="38">
        <v>122.11422291966966</v>
      </c>
      <c r="G57" s="64">
        <v>115.00247656117801</v>
      </c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</row>
    <row r="58" spans="1:70" x14ac:dyDescent="0.25">
      <c r="A58" s="35" t="s">
        <v>67</v>
      </c>
      <c r="B58" s="35" t="s">
        <v>173</v>
      </c>
      <c r="C58" s="35" t="s">
        <v>41</v>
      </c>
      <c r="D58" s="72">
        <v>42107</v>
      </c>
      <c r="E58" s="35">
        <v>29684</v>
      </c>
      <c r="F58" s="38">
        <v>0.54387570499985627</v>
      </c>
      <c r="G58" s="64">
        <v>0.48386706230628967</v>
      </c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</row>
    <row r="59" spans="1:70" x14ac:dyDescent="0.25">
      <c r="A59" s="35" t="s">
        <v>67</v>
      </c>
      <c r="B59" s="35" t="s">
        <v>173</v>
      </c>
      <c r="C59" s="35" t="s">
        <v>46</v>
      </c>
      <c r="D59" s="72">
        <v>42107</v>
      </c>
      <c r="E59" s="35">
        <v>29684</v>
      </c>
      <c r="F59" s="55">
        <v>135.01785714285705</v>
      </c>
      <c r="G59" s="55">
        <v>126.11443850267385</v>
      </c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</row>
    <row r="60" spans="1:70" x14ac:dyDescent="0.25">
      <c r="A60" s="35" t="s">
        <v>67</v>
      </c>
      <c r="B60" s="35" t="s">
        <v>173</v>
      </c>
      <c r="C60" s="35" t="s">
        <v>47</v>
      </c>
      <c r="D60" s="72">
        <v>42107</v>
      </c>
      <c r="E60" s="35">
        <v>29684</v>
      </c>
      <c r="F60" s="55">
        <v>0.60880589285714315</v>
      </c>
      <c r="G60" s="55">
        <v>0.63657240641711188</v>
      </c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</row>
    <row r="61" spans="1:70" x14ac:dyDescent="0.25">
      <c r="A61" s="35" t="s">
        <v>67</v>
      </c>
      <c r="B61" s="35" t="s">
        <v>173</v>
      </c>
      <c r="C61" s="35" t="s">
        <v>54</v>
      </c>
      <c r="D61" s="72">
        <v>42107</v>
      </c>
      <c r="E61" s="35">
        <v>29684</v>
      </c>
      <c r="F61" s="55">
        <v>717.04000000000008</v>
      </c>
      <c r="G61" s="55">
        <v>692.83999999999992</v>
      </c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</row>
    <row r="62" spans="1:70" x14ac:dyDescent="0.25">
      <c r="A62" s="35" t="s">
        <v>67</v>
      </c>
      <c r="B62" s="35" t="s">
        <v>173</v>
      </c>
      <c r="C62" s="35" t="s">
        <v>55</v>
      </c>
      <c r="D62" s="72">
        <v>42107</v>
      </c>
      <c r="E62" s="35">
        <v>29684</v>
      </c>
      <c r="F62" s="55">
        <v>92.908000000000001</v>
      </c>
      <c r="G62" s="55">
        <v>94.216000000000008</v>
      </c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</row>
    <row r="63" spans="1:70" x14ac:dyDescent="0.25">
      <c r="A63" s="35" t="s">
        <v>67</v>
      </c>
      <c r="B63" s="35" t="s">
        <v>173</v>
      </c>
      <c r="C63" s="35" t="s">
        <v>68</v>
      </c>
      <c r="D63" s="72">
        <v>42107</v>
      </c>
      <c r="E63" s="35">
        <v>29684</v>
      </c>
      <c r="F63" s="50">
        <v>1</v>
      </c>
      <c r="G63" s="35">
        <v>1</v>
      </c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</row>
    <row r="64" spans="1:70" x14ac:dyDescent="0.25">
      <c r="A64" s="35" t="s">
        <v>67</v>
      </c>
      <c r="B64" s="35" t="s">
        <v>173</v>
      </c>
      <c r="C64" s="35" t="s">
        <v>70</v>
      </c>
      <c r="D64" s="72">
        <v>42107</v>
      </c>
      <c r="E64" s="35">
        <v>29684</v>
      </c>
      <c r="F64" s="46">
        <v>109.7</v>
      </c>
      <c r="G64" s="46">
        <v>105.6</v>
      </c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</row>
    <row r="65" spans="1:70" x14ac:dyDescent="0.25">
      <c r="A65" s="35" t="s">
        <v>67</v>
      </c>
      <c r="B65" s="35" t="s">
        <v>173</v>
      </c>
      <c r="C65" s="35" t="s">
        <v>71</v>
      </c>
      <c r="D65" s="72">
        <v>42107</v>
      </c>
      <c r="E65" s="35">
        <v>29684</v>
      </c>
      <c r="F65" s="46">
        <v>106</v>
      </c>
      <c r="G65" s="46">
        <v>104.2</v>
      </c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</row>
    <row r="66" spans="1:70" x14ac:dyDescent="0.25">
      <c r="A66" s="35" t="s">
        <v>67</v>
      </c>
      <c r="B66" s="35" t="s">
        <v>173</v>
      </c>
      <c r="C66" s="35" t="s">
        <v>84</v>
      </c>
      <c r="D66" s="72">
        <v>42107</v>
      </c>
      <c r="E66" s="35">
        <v>29684</v>
      </c>
      <c r="F66" s="46">
        <v>-3.7000000000000028</v>
      </c>
      <c r="G66" s="46">
        <v>-1.3999999999999915</v>
      </c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</row>
    <row r="67" spans="1:70" ht="15.75" thickBot="1" x14ac:dyDescent="0.3">
      <c r="A67" s="40" t="s">
        <v>67</v>
      </c>
      <c r="B67" s="40" t="s">
        <v>173</v>
      </c>
      <c r="C67" s="40" t="s">
        <v>69</v>
      </c>
      <c r="D67" s="73">
        <v>42107</v>
      </c>
      <c r="E67" s="40">
        <v>29684</v>
      </c>
      <c r="F67" s="65">
        <v>113.8</v>
      </c>
      <c r="G67" s="65">
        <v>107.3</v>
      </c>
      <c r="H67" s="40"/>
      <c r="I67" s="40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</row>
    <row r="68" spans="1:70" x14ac:dyDescent="0.25">
      <c r="A68" s="35" t="s">
        <v>67</v>
      </c>
      <c r="B68" s="35" t="s">
        <v>173</v>
      </c>
      <c r="C68" s="35" t="s">
        <v>117</v>
      </c>
      <c r="D68" s="72">
        <v>42107</v>
      </c>
      <c r="E68" s="35">
        <v>29694</v>
      </c>
      <c r="F68" s="16">
        <v>4.9792360724490491E-3</v>
      </c>
      <c r="G68" s="30">
        <v>3.8343720744969537E-3</v>
      </c>
      <c r="H68" s="30">
        <v>1.1382479777675661E-2</v>
      </c>
      <c r="I68" s="30">
        <v>4.6715967250082783E-3</v>
      </c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</row>
    <row r="69" spans="1:70" x14ac:dyDescent="0.25">
      <c r="A69" s="35" t="s">
        <v>67</v>
      </c>
      <c r="B69" s="35" t="s">
        <v>173</v>
      </c>
      <c r="C69" s="35" t="s">
        <v>118</v>
      </c>
      <c r="D69" s="72">
        <v>42107</v>
      </c>
      <c r="E69" s="35">
        <v>29694</v>
      </c>
      <c r="F69" s="30">
        <v>8.1681214390884467</v>
      </c>
      <c r="G69" s="30">
        <v>9.7815637419059662</v>
      </c>
      <c r="H69" s="30">
        <v>8.6895434003498195</v>
      </c>
      <c r="I69" s="30">
        <v>1.2163187373050848</v>
      </c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</row>
    <row r="70" spans="1:70" x14ac:dyDescent="0.25">
      <c r="A70" s="35" t="s">
        <v>67</v>
      </c>
      <c r="B70" s="35" t="s">
        <v>173</v>
      </c>
      <c r="C70" s="35" t="s">
        <v>119</v>
      </c>
      <c r="D70" s="72">
        <v>42107</v>
      </c>
      <c r="E70" s="35">
        <v>29694</v>
      </c>
      <c r="F70" s="30">
        <v>0.28513214545148452</v>
      </c>
      <c r="G70" s="30">
        <v>0.31230380869823382</v>
      </c>
      <c r="H70" s="30">
        <v>0.22312989174016723</v>
      </c>
      <c r="I70" s="30">
        <v>0.25116041928082622</v>
      </c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</row>
    <row r="71" spans="1:70" x14ac:dyDescent="0.25">
      <c r="A71" s="35" t="s">
        <v>67</v>
      </c>
      <c r="B71" s="35" t="s">
        <v>173</v>
      </c>
      <c r="C71" s="35" t="s">
        <v>120</v>
      </c>
      <c r="D71" s="72">
        <v>42107</v>
      </c>
      <c r="E71" s="35">
        <v>29694</v>
      </c>
      <c r="F71" s="30">
        <v>1.3469394375660926</v>
      </c>
      <c r="G71" s="30">
        <v>1.2890389682856995</v>
      </c>
      <c r="H71" s="30">
        <v>1.2215313917520585</v>
      </c>
      <c r="I71" s="30">
        <v>1.9055211370055694</v>
      </c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</row>
    <row r="72" spans="1:70" x14ac:dyDescent="0.25">
      <c r="A72" s="35" t="s">
        <v>67</v>
      </c>
      <c r="B72" s="35" t="s">
        <v>173</v>
      </c>
      <c r="C72" s="35" t="s">
        <v>121</v>
      </c>
      <c r="D72" s="72">
        <v>42107</v>
      </c>
      <c r="E72" s="35">
        <v>29694</v>
      </c>
      <c r="F72">
        <v>4.0350699436394057</v>
      </c>
      <c r="G72">
        <v>3.8616156391622081</v>
      </c>
      <c r="H72">
        <v>3.6593810134309637</v>
      </c>
      <c r="I72">
        <v>5.7084311680668742</v>
      </c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</row>
    <row r="73" spans="1:70" x14ac:dyDescent="0.25">
      <c r="A73" s="35" t="s">
        <v>67</v>
      </c>
      <c r="B73" s="35" t="s">
        <v>173</v>
      </c>
      <c r="C73" s="35" t="s">
        <v>82</v>
      </c>
      <c r="D73" s="72">
        <v>42107</v>
      </c>
      <c r="E73" s="35">
        <v>29694</v>
      </c>
      <c r="F73" s="52">
        <v>-5.2640000000000002</v>
      </c>
      <c r="G73" s="52">
        <v>-5.5579999999999998</v>
      </c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</row>
    <row r="74" spans="1:70" x14ac:dyDescent="0.25">
      <c r="A74" s="35" t="s">
        <v>67</v>
      </c>
      <c r="B74" s="35" t="s">
        <v>173</v>
      </c>
      <c r="C74" s="35" t="s">
        <v>83</v>
      </c>
      <c r="D74" s="72">
        <v>42107</v>
      </c>
      <c r="E74" s="35">
        <v>29694</v>
      </c>
      <c r="F74" s="52">
        <v>0.82399999999999995</v>
      </c>
      <c r="G74" s="52">
        <v>0.85199999999999998</v>
      </c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</row>
    <row r="75" spans="1:70" x14ac:dyDescent="0.25">
      <c r="A75" s="35" t="s">
        <v>67</v>
      </c>
      <c r="B75" s="35" t="s">
        <v>173</v>
      </c>
      <c r="C75" s="35" t="s">
        <v>80</v>
      </c>
      <c r="D75" s="72">
        <v>42107</v>
      </c>
      <c r="E75" s="35">
        <v>29694</v>
      </c>
      <c r="F75" s="43">
        <v>-5.4539999999999997</v>
      </c>
      <c r="G75" s="43">
        <v>-5.6909999999999998</v>
      </c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</row>
    <row r="76" spans="1:70" x14ac:dyDescent="0.25">
      <c r="A76" s="35" t="s">
        <v>67</v>
      </c>
      <c r="B76" s="35" t="s">
        <v>173</v>
      </c>
      <c r="C76" s="35" t="s">
        <v>81</v>
      </c>
      <c r="D76" s="72">
        <v>42107</v>
      </c>
      <c r="E76" s="35">
        <v>29694</v>
      </c>
      <c r="F76" s="43">
        <v>0.82799999999999996</v>
      </c>
      <c r="G76" s="43">
        <v>0.65200000000000002</v>
      </c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</row>
    <row r="77" spans="1:70" x14ac:dyDescent="0.25">
      <c r="A77" s="35" t="s">
        <v>67</v>
      </c>
      <c r="B77" s="35" t="s">
        <v>173</v>
      </c>
      <c r="C77" s="35" t="s">
        <v>38</v>
      </c>
      <c r="D77" s="72">
        <v>42107</v>
      </c>
      <c r="E77" s="35">
        <v>29694</v>
      </c>
      <c r="F77" s="38">
        <v>19.89379893408535</v>
      </c>
      <c r="G77" s="64">
        <v>22.962104610103285</v>
      </c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</row>
    <row r="78" spans="1:70" x14ac:dyDescent="0.25">
      <c r="A78" s="35" t="s">
        <v>67</v>
      </c>
      <c r="B78" s="35" t="s">
        <v>173</v>
      </c>
      <c r="C78" s="35" t="s">
        <v>39</v>
      </c>
      <c r="D78" s="72">
        <v>42107</v>
      </c>
      <c r="E78" s="35">
        <v>29694</v>
      </c>
      <c r="F78" s="38">
        <v>5.810474912461458E-2</v>
      </c>
      <c r="G78" s="64">
        <v>6.7933046740783709E-2</v>
      </c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</row>
    <row r="79" spans="1:70" x14ac:dyDescent="0.25">
      <c r="A79" s="35" t="s">
        <v>67</v>
      </c>
      <c r="B79" s="35" t="s">
        <v>173</v>
      </c>
      <c r="C79" s="35" t="s">
        <v>40</v>
      </c>
      <c r="D79" s="72">
        <v>42107</v>
      </c>
      <c r="E79" s="35">
        <v>29694</v>
      </c>
      <c r="F79" s="38">
        <v>73.307768535494148</v>
      </c>
      <c r="G79" s="64">
        <v>77.928762982300128</v>
      </c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</row>
    <row r="80" spans="1:70" x14ac:dyDescent="0.25">
      <c r="A80" s="35" t="s">
        <v>67</v>
      </c>
      <c r="B80" s="35" t="s">
        <v>173</v>
      </c>
      <c r="C80" s="35" t="s">
        <v>41</v>
      </c>
      <c r="D80" s="72">
        <v>42107</v>
      </c>
      <c r="E80" s="35">
        <v>29694</v>
      </c>
      <c r="F80" s="38">
        <v>0.45605992532082529</v>
      </c>
      <c r="G80" s="64">
        <v>0.48718321014172628</v>
      </c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</row>
    <row r="81" spans="1:70" x14ac:dyDescent="0.25">
      <c r="A81" s="35" t="s">
        <v>67</v>
      </c>
      <c r="B81" s="35" t="s">
        <v>173</v>
      </c>
      <c r="C81" s="35" t="s">
        <v>46</v>
      </c>
      <c r="D81" s="72">
        <v>42107</v>
      </c>
      <c r="E81" s="35">
        <v>29694</v>
      </c>
      <c r="F81" s="55">
        <v>122.72359550561796</v>
      </c>
      <c r="G81" s="55">
        <v>124.85135135135137</v>
      </c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</row>
    <row r="82" spans="1:70" x14ac:dyDescent="0.25">
      <c r="A82" s="35" t="s">
        <v>67</v>
      </c>
      <c r="B82" s="35" t="s">
        <v>173</v>
      </c>
      <c r="C82" s="35" t="s">
        <v>47</v>
      </c>
      <c r="D82" s="72">
        <v>42107</v>
      </c>
      <c r="E82" s="35">
        <v>29694</v>
      </c>
      <c r="F82" s="55">
        <v>0.36511741573033696</v>
      </c>
      <c r="G82" s="55">
        <v>0.37506232432432429</v>
      </c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</row>
    <row r="83" spans="1:70" x14ac:dyDescent="0.25">
      <c r="A83" s="35" t="s">
        <v>67</v>
      </c>
      <c r="B83" s="35" t="s">
        <v>173</v>
      </c>
      <c r="C83" s="35" t="s">
        <v>54</v>
      </c>
      <c r="D83" s="72">
        <v>42107</v>
      </c>
      <c r="E83" s="35">
        <v>29694</v>
      </c>
      <c r="F83" s="55">
        <v>368.12</v>
      </c>
      <c r="G83" s="55">
        <v>371.22000000000008</v>
      </c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</row>
    <row r="84" spans="1:70" x14ac:dyDescent="0.25">
      <c r="A84" s="35" t="s">
        <v>67</v>
      </c>
      <c r="B84" s="35" t="s">
        <v>173</v>
      </c>
      <c r="C84" s="35" t="s">
        <v>55</v>
      </c>
      <c r="D84" s="72">
        <v>42107</v>
      </c>
      <c r="E84" s="35">
        <v>29694</v>
      </c>
      <c r="F84" s="55">
        <v>94.09</v>
      </c>
      <c r="G84" s="55">
        <v>92.568000000000012</v>
      </c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</row>
    <row r="85" spans="1:70" x14ac:dyDescent="0.25">
      <c r="A85" s="35" t="s">
        <v>67</v>
      </c>
      <c r="B85" s="35" t="s">
        <v>173</v>
      </c>
      <c r="C85" s="35" t="s">
        <v>68</v>
      </c>
      <c r="D85" s="72">
        <v>42107</v>
      </c>
      <c r="E85" s="35">
        <v>29694</v>
      </c>
      <c r="F85" s="50">
        <v>1</v>
      </c>
      <c r="G85" s="35">
        <v>1</v>
      </c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</row>
    <row r="86" spans="1:70" x14ac:dyDescent="0.25">
      <c r="A86" s="35" t="s">
        <v>67</v>
      </c>
      <c r="B86" s="35" t="s">
        <v>173</v>
      </c>
      <c r="C86" s="35" t="s">
        <v>70</v>
      </c>
      <c r="D86" s="72">
        <v>42107</v>
      </c>
      <c r="E86" s="35">
        <v>29694</v>
      </c>
      <c r="F86" s="46">
        <v>44.91</v>
      </c>
      <c r="G86" s="46">
        <v>48.57</v>
      </c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</row>
    <row r="87" spans="1:70" x14ac:dyDescent="0.25">
      <c r="A87" s="35" t="s">
        <v>67</v>
      </c>
      <c r="B87" s="35" t="s">
        <v>173</v>
      </c>
      <c r="C87" s="35" t="s">
        <v>71</v>
      </c>
      <c r="D87" s="72">
        <v>42107</v>
      </c>
      <c r="E87" s="35">
        <v>29694</v>
      </c>
      <c r="F87" s="46">
        <v>46.22</v>
      </c>
      <c r="G87" s="46">
        <v>49.66</v>
      </c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</row>
    <row r="88" spans="1:70" x14ac:dyDescent="0.25">
      <c r="A88" s="35" t="s">
        <v>67</v>
      </c>
      <c r="B88" s="35" t="s">
        <v>173</v>
      </c>
      <c r="C88" s="35" t="s">
        <v>84</v>
      </c>
      <c r="D88" s="72">
        <v>42107</v>
      </c>
      <c r="E88" s="35">
        <v>29694</v>
      </c>
      <c r="F88" s="46">
        <v>1.3100000000000023</v>
      </c>
      <c r="G88" s="46">
        <v>1.0899999999999963</v>
      </c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</row>
    <row r="89" spans="1:70" ht="15.75" thickBot="1" x14ac:dyDescent="0.3">
      <c r="A89" s="40" t="s">
        <v>67</v>
      </c>
      <c r="B89" s="40" t="s">
        <v>173</v>
      </c>
      <c r="C89" s="40" t="s">
        <v>69</v>
      </c>
      <c r="D89" s="73">
        <v>42107</v>
      </c>
      <c r="E89" s="40">
        <v>29694</v>
      </c>
      <c r="F89" s="65">
        <v>51.87</v>
      </c>
      <c r="G89" s="65">
        <v>56.11</v>
      </c>
      <c r="H89" s="40"/>
      <c r="I89" s="40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</row>
    <row r="90" spans="1:70" x14ac:dyDescent="0.25">
      <c r="A90" s="35" t="s">
        <v>67</v>
      </c>
      <c r="B90" s="35" t="s">
        <v>173</v>
      </c>
      <c r="C90" s="35" t="s">
        <v>117</v>
      </c>
      <c r="D90" s="72">
        <v>42107</v>
      </c>
      <c r="E90" s="35">
        <v>29704</v>
      </c>
      <c r="F90" s="16">
        <v>2.3104343749944516E-2</v>
      </c>
      <c r="G90" s="30">
        <v>6.0843138205608129E-3</v>
      </c>
      <c r="H90" s="16">
        <v>1.135693014312196E-2</v>
      </c>
      <c r="I90" s="30">
        <v>4.4415984322602221E-3</v>
      </c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</row>
    <row r="91" spans="1:70" x14ac:dyDescent="0.25">
      <c r="A91" s="35" t="s">
        <v>67</v>
      </c>
      <c r="B91" s="35" t="s">
        <v>173</v>
      </c>
      <c r="C91" s="35" t="s">
        <v>118</v>
      </c>
      <c r="D91" s="72">
        <v>42107</v>
      </c>
      <c r="E91" s="35">
        <v>29704</v>
      </c>
      <c r="F91" s="30">
        <v>5.5945600065096972</v>
      </c>
      <c r="G91" s="30">
        <v>6.7735935189458765</v>
      </c>
      <c r="H91" s="30">
        <v>8.2080568785557144</v>
      </c>
      <c r="I91" s="30">
        <v>14.166469827292863</v>
      </c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</row>
    <row r="92" spans="1:70" x14ac:dyDescent="0.25">
      <c r="A92" s="35" t="s">
        <v>67</v>
      </c>
      <c r="B92" s="35" t="s">
        <v>173</v>
      </c>
      <c r="C92" s="35" t="s">
        <v>119</v>
      </c>
      <c r="D92" s="72">
        <v>42107</v>
      </c>
      <c r="E92" s="35">
        <v>29704</v>
      </c>
      <c r="F92" s="16">
        <v>0.25650629379440359</v>
      </c>
      <c r="G92" s="53">
        <v>0.27515741034200453</v>
      </c>
      <c r="H92" s="30">
        <v>0.23426341108672485</v>
      </c>
      <c r="I92" s="30">
        <v>0.21886545941044047</v>
      </c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</row>
    <row r="93" spans="1:70" x14ac:dyDescent="0.25">
      <c r="A93" s="35" t="s">
        <v>67</v>
      </c>
      <c r="B93" s="35" t="s">
        <v>173</v>
      </c>
      <c r="C93" s="35" t="s">
        <v>120</v>
      </c>
      <c r="D93" s="72">
        <v>42107</v>
      </c>
      <c r="E93" s="35">
        <v>29704</v>
      </c>
      <c r="F93" s="16">
        <v>1.3929754150405742</v>
      </c>
      <c r="G93" s="53">
        <v>1.2639691664654942</v>
      </c>
      <c r="H93" s="30">
        <v>1.1478200213816774</v>
      </c>
      <c r="I93" s="30">
        <v>0.93446392900475017</v>
      </c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</row>
    <row r="94" spans="1:70" x14ac:dyDescent="0.25">
      <c r="A94" s="35" t="s">
        <v>67</v>
      </c>
      <c r="B94" s="35" t="s">
        <v>173</v>
      </c>
      <c r="C94" s="35" t="s">
        <v>121</v>
      </c>
      <c r="D94" s="72">
        <v>42107</v>
      </c>
      <c r="E94" s="35">
        <v>29704</v>
      </c>
      <c r="F94">
        <v>4.1729814071043094</v>
      </c>
      <c r="G94">
        <v>3.7865132247578166</v>
      </c>
      <c r="H94">
        <v>3.4385614822845243</v>
      </c>
      <c r="I94">
        <v>2.7994037505915945</v>
      </c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</row>
    <row r="95" spans="1:70" x14ac:dyDescent="0.25">
      <c r="A95" s="35" t="s">
        <v>67</v>
      </c>
      <c r="B95" s="35" t="s">
        <v>173</v>
      </c>
      <c r="C95" s="35" t="s">
        <v>82</v>
      </c>
      <c r="D95" s="72">
        <v>42107</v>
      </c>
      <c r="E95" s="35">
        <v>29704</v>
      </c>
      <c r="F95" s="52">
        <v>-5.8319999999999999</v>
      </c>
      <c r="G95" s="52">
        <v>-5.6609999999999996</v>
      </c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</row>
    <row r="96" spans="1:70" x14ac:dyDescent="0.25">
      <c r="A96" s="35" t="s">
        <v>67</v>
      </c>
      <c r="B96" s="35" t="s">
        <v>173</v>
      </c>
      <c r="C96" s="35" t="s">
        <v>83</v>
      </c>
      <c r="D96" s="72">
        <v>42107</v>
      </c>
      <c r="E96" s="35">
        <v>29704</v>
      </c>
      <c r="F96" s="52">
        <v>0.72799999999999998</v>
      </c>
      <c r="G96" s="52">
        <v>0.77200000000000002</v>
      </c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</row>
    <row r="97" spans="1:70" x14ac:dyDescent="0.25">
      <c r="A97" s="35" t="s">
        <v>67</v>
      </c>
      <c r="B97" s="35" t="s">
        <v>173</v>
      </c>
      <c r="C97" s="35" t="s">
        <v>80</v>
      </c>
      <c r="D97" s="72">
        <v>42107</v>
      </c>
      <c r="E97" s="35">
        <v>29704</v>
      </c>
      <c r="F97" s="43">
        <v>-5.9630000000000001</v>
      </c>
      <c r="G97" s="43">
        <v>-5.7839999999999998</v>
      </c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</row>
    <row r="98" spans="1:70" x14ac:dyDescent="0.25">
      <c r="A98" s="35" t="s">
        <v>67</v>
      </c>
      <c r="B98" s="35" t="s">
        <v>173</v>
      </c>
      <c r="C98" s="35" t="s">
        <v>81</v>
      </c>
      <c r="D98" s="72">
        <v>42107</v>
      </c>
      <c r="E98" s="35">
        <v>29704</v>
      </c>
      <c r="F98" s="43">
        <v>0.64400000000000002</v>
      </c>
      <c r="G98" s="43">
        <v>0.74</v>
      </c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</row>
    <row r="99" spans="1:70" x14ac:dyDescent="0.25">
      <c r="A99" s="35" t="s">
        <v>67</v>
      </c>
      <c r="B99" s="35" t="s">
        <v>173</v>
      </c>
      <c r="C99" s="35" t="s">
        <v>38</v>
      </c>
      <c r="D99" s="72">
        <v>42107</v>
      </c>
      <c r="E99" s="35">
        <v>29704</v>
      </c>
      <c r="F99" s="38">
        <v>29.545361894698832</v>
      </c>
      <c r="G99" s="64">
        <v>28.618448801934964</v>
      </c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</row>
    <row r="100" spans="1:70" x14ac:dyDescent="0.25">
      <c r="A100" s="35" t="s">
        <v>67</v>
      </c>
      <c r="B100" s="35" t="s">
        <v>173</v>
      </c>
      <c r="C100" s="35" t="s">
        <v>39</v>
      </c>
      <c r="D100" s="72">
        <v>42107</v>
      </c>
      <c r="E100" s="35">
        <v>29704</v>
      </c>
      <c r="F100" s="38">
        <v>6.2662839335071885E-2</v>
      </c>
      <c r="G100" s="64">
        <v>6.2142266881499326E-2</v>
      </c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</row>
    <row r="101" spans="1:70" x14ac:dyDescent="0.25">
      <c r="A101" s="35" t="s">
        <v>67</v>
      </c>
      <c r="B101" s="35" t="s">
        <v>173</v>
      </c>
      <c r="C101" s="35" t="s">
        <v>40</v>
      </c>
      <c r="D101" s="72">
        <v>42107</v>
      </c>
      <c r="E101" s="35">
        <v>29704</v>
      </c>
      <c r="F101" s="38">
        <v>92.976813158687108</v>
      </c>
      <c r="G101" s="64">
        <v>89.652272441658795</v>
      </c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</row>
    <row r="102" spans="1:70" x14ac:dyDescent="0.25">
      <c r="A102" s="35" t="s">
        <v>67</v>
      </c>
      <c r="B102" s="35" t="s">
        <v>173</v>
      </c>
      <c r="C102" s="35" t="s">
        <v>41</v>
      </c>
      <c r="D102" s="72">
        <v>42107</v>
      </c>
      <c r="E102" s="35">
        <v>29704</v>
      </c>
      <c r="F102" s="38">
        <v>0.46661887325097673</v>
      </c>
      <c r="G102" s="64">
        <v>0.47243304019733495</v>
      </c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</row>
    <row r="103" spans="1:70" x14ac:dyDescent="0.25">
      <c r="A103" s="35" t="s">
        <v>67</v>
      </c>
      <c r="B103" s="35" t="s">
        <v>173</v>
      </c>
      <c r="C103" s="35" t="s">
        <v>46</v>
      </c>
      <c r="D103" s="72">
        <v>42107</v>
      </c>
      <c r="E103" s="35">
        <v>29704</v>
      </c>
      <c r="F103" s="55">
        <v>132.10000000000005</v>
      </c>
      <c r="G103" s="55">
        <v>119.01818181818189</v>
      </c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</row>
    <row r="104" spans="1:70" x14ac:dyDescent="0.25">
      <c r="A104" s="35" t="s">
        <v>67</v>
      </c>
      <c r="B104" s="35" t="s">
        <v>173</v>
      </c>
      <c r="C104" s="35" t="s">
        <v>47</v>
      </c>
      <c r="D104" s="72">
        <v>42107</v>
      </c>
      <c r="E104" s="35">
        <v>29704</v>
      </c>
      <c r="F104" s="55">
        <v>0.46298128205128186</v>
      </c>
      <c r="G104" s="55">
        <v>0.49103909090909059</v>
      </c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</row>
    <row r="105" spans="1:70" x14ac:dyDescent="0.25">
      <c r="A105" s="35" t="s">
        <v>67</v>
      </c>
      <c r="B105" s="35" t="s">
        <v>173</v>
      </c>
      <c r="C105" s="35" t="s">
        <v>54</v>
      </c>
      <c r="D105" s="72">
        <v>42107</v>
      </c>
      <c r="E105" s="35">
        <v>29704</v>
      </c>
      <c r="F105" s="55">
        <v>565.82000000000005</v>
      </c>
      <c r="G105" s="55">
        <v>558.5</v>
      </c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</row>
    <row r="106" spans="1:70" x14ac:dyDescent="0.25">
      <c r="A106" s="35" t="s">
        <v>67</v>
      </c>
      <c r="B106" s="35" t="s">
        <v>173</v>
      </c>
      <c r="C106" s="35" t="s">
        <v>55</v>
      </c>
      <c r="D106" s="72">
        <v>42107</v>
      </c>
      <c r="E106" s="35">
        <v>29704</v>
      </c>
      <c r="F106" s="55">
        <v>70.882000000000005</v>
      </c>
      <c r="G106" s="55">
        <v>75.534000000000006</v>
      </c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</row>
    <row r="107" spans="1:70" x14ac:dyDescent="0.25">
      <c r="A107" s="35" t="s">
        <v>67</v>
      </c>
      <c r="B107" s="35" t="s">
        <v>173</v>
      </c>
      <c r="C107" s="35" t="s">
        <v>68</v>
      </c>
      <c r="D107" s="72">
        <v>42107</v>
      </c>
      <c r="E107" s="35">
        <v>29704</v>
      </c>
      <c r="F107" s="50">
        <v>1</v>
      </c>
      <c r="G107" s="35">
        <v>1</v>
      </c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</row>
    <row r="108" spans="1:70" x14ac:dyDescent="0.25">
      <c r="A108" s="35" t="s">
        <v>67</v>
      </c>
      <c r="B108" s="35" t="s">
        <v>173</v>
      </c>
      <c r="C108" s="35" t="s">
        <v>70</v>
      </c>
      <c r="D108" s="72">
        <v>42107</v>
      </c>
      <c r="E108" s="35">
        <v>29704</v>
      </c>
      <c r="F108" s="46">
        <v>77.28</v>
      </c>
      <c r="G108" s="46">
        <v>69.89</v>
      </c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</row>
    <row r="109" spans="1:70" x14ac:dyDescent="0.25">
      <c r="A109" s="35" t="s">
        <v>67</v>
      </c>
      <c r="B109" s="35" t="s">
        <v>173</v>
      </c>
      <c r="C109" s="35" t="s">
        <v>71</v>
      </c>
      <c r="D109" s="72">
        <v>42107</v>
      </c>
      <c r="E109" s="35">
        <v>29704</v>
      </c>
      <c r="F109" s="46">
        <v>75.33</v>
      </c>
      <c r="G109" s="46">
        <v>70.98</v>
      </c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</row>
    <row r="110" spans="1:70" x14ac:dyDescent="0.25">
      <c r="A110" s="35" t="s">
        <v>67</v>
      </c>
      <c r="B110" s="35" t="s">
        <v>173</v>
      </c>
      <c r="C110" s="35" t="s">
        <v>84</v>
      </c>
      <c r="D110" s="72">
        <v>42107</v>
      </c>
      <c r="E110" s="35">
        <v>29704</v>
      </c>
      <c r="F110" s="46">
        <v>-1.9500000000000028</v>
      </c>
      <c r="G110" s="46">
        <v>1.0900000000000034</v>
      </c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</row>
    <row r="111" spans="1:70" ht="15.75" thickBot="1" x14ac:dyDescent="0.3">
      <c r="A111" s="40" t="s">
        <v>67</v>
      </c>
      <c r="B111" s="40" t="s">
        <v>173</v>
      </c>
      <c r="C111" s="40" t="s">
        <v>69</v>
      </c>
      <c r="D111" s="73">
        <v>42107</v>
      </c>
      <c r="E111" s="40">
        <v>29704</v>
      </c>
      <c r="F111" s="65">
        <v>84.6</v>
      </c>
      <c r="G111" s="65">
        <v>74.19</v>
      </c>
      <c r="H111" s="40"/>
      <c r="I111" s="40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</row>
    <row r="112" spans="1:70" x14ac:dyDescent="0.25">
      <c r="A112" s="35" t="s">
        <v>67</v>
      </c>
      <c r="B112" s="35" t="s">
        <v>173</v>
      </c>
      <c r="C112" s="35" t="s">
        <v>117</v>
      </c>
      <c r="D112" s="72">
        <v>42107</v>
      </c>
      <c r="E112" s="35">
        <v>29714</v>
      </c>
      <c r="F112" s="16">
        <v>4.6322718124363668E-3</v>
      </c>
      <c r="G112" s="30">
        <v>6.5528646723170408E-3</v>
      </c>
      <c r="H112" s="30">
        <v>2.3147039740978766E-2</v>
      </c>
      <c r="I112" s="30">
        <v>1.3022144750858604E-2</v>
      </c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</row>
    <row r="113" spans="1:70" x14ac:dyDescent="0.25">
      <c r="A113" s="35" t="s">
        <v>67</v>
      </c>
      <c r="B113" s="35" t="s">
        <v>173</v>
      </c>
      <c r="C113" s="35" t="s">
        <v>118</v>
      </c>
      <c r="D113" s="72">
        <v>42107</v>
      </c>
      <c r="E113" s="35">
        <v>29714</v>
      </c>
      <c r="F113" s="30">
        <v>10.040931101711578</v>
      </c>
      <c r="G113" s="30">
        <v>5.4810492868018095</v>
      </c>
      <c r="H113" s="30">
        <v>5.8073553045413364</v>
      </c>
      <c r="I113" s="30">
        <v>6.7845174264823793</v>
      </c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</row>
    <row r="114" spans="1:70" x14ac:dyDescent="0.25">
      <c r="A114" s="35" t="s">
        <v>67</v>
      </c>
      <c r="B114" s="35" t="s">
        <v>173</v>
      </c>
      <c r="C114" s="35" t="s">
        <v>119</v>
      </c>
      <c r="D114" s="72">
        <v>42107</v>
      </c>
      <c r="E114" s="35">
        <v>29714</v>
      </c>
      <c r="F114" s="30">
        <v>0.20490568931477149</v>
      </c>
      <c r="G114" s="30">
        <v>0.39942156222519704</v>
      </c>
      <c r="H114" s="30">
        <v>0.34076576249859819</v>
      </c>
      <c r="I114" s="30">
        <v>0.33985718540696425</v>
      </c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</row>
    <row r="115" spans="1:70" x14ac:dyDescent="0.25">
      <c r="A115" s="35" t="s">
        <v>67</v>
      </c>
      <c r="B115" s="35" t="s">
        <v>173</v>
      </c>
      <c r="C115" s="35" t="s">
        <v>120</v>
      </c>
      <c r="D115" s="72">
        <v>42107</v>
      </c>
      <c r="E115" s="35">
        <v>29714</v>
      </c>
      <c r="F115" s="30">
        <v>1.1089413005231337</v>
      </c>
      <c r="G115" s="30">
        <v>2.0990167601733534</v>
      </c>
      <c r="H115" s="30">
        <v>1.6493809824359043</v>
      </c>
      <c r="I115" s="30">
        <v>1.699445034973279</v>
      </c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</row>
    <row r="116" spans="1:70" x14ac:dyDescent="0.25">
      <c r="A116" s="35" t="s">
        <v>67</v>
      </c>
      <c r="B116" s="35" t="s">
        <v>173</v>
      </c>
      <c r="C116" s="35" t="s">
        <v>121</v>
      </c>
      <c r="D116" s="72">
        <v>42107</v>
      </c>
      <c r="E116" s="35">
        <v>29714</v>
      </c>
      <c r="F116">
        <v>3.3220912434540857</v>
      </c>
      <c r="G116">
        <v>6.2880922511820501</v>
      </c>
      <c r="H116">
        <v>4.9411038404694247</v>
      </c>
      <c r="I116">
        <v>5.0910823384005415</v>
      </c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</row>
    <row r="117" spans="1:70" x14ac:dyDescent="0.25">
      <c r="A117" s="35" t="s">
        <v>67</v>
      </c>
      <c r="B117" s="35" t="s">
        <v>173</v>
      </c>
      <c r="C117" s="35" t="s">
        <v>82</v>
      </c>
      <c r="D117" s="72">
        <v>42107</v>
      </c>
      <c r="E117" s="35">
        <v>29714</v>
      </c>
      <c r="F117" s="52">
        <v>-7.4690000000000003</v>
      </c>
      <c r="G117" s="52">
        <v>-7.4</v>
      </c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</row>
    <row r="118" spans="1:70" x14ac:dyDescent="0.25">
      <c r="A118" s="35" t="s">
        <v>67</v>
      </c>
      <c r="B118" s="35" t="s">
        <v>173</v>
      </c>
      <c r="C118" s="35" t="s">
        <v>83</v>
      </c>
      <c r="D118" s="72">
        <v>42107</v>
      </c>
      <c r="E118" s="35">
        <v>29714</v>
      </c>
      <c r="F118" s="52">
        <v>0.71599999999999997</v>
      </c>
      <c r="G118" s="52">
        <v>0.82399999999999995</v>
      </c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</row>
    <row r="119" spans="1:70" x14ac:dyDescent="0.25">
      <c r="A119" s="35" t="s">
        <v>67</v>
      </c>
      <c r="B119" s="35" t="s">
        <v>173</v>
      </c>
      <c r="C119" s="35" t="s">
        <v>80</v>
      </c>
      <c r="D119" s="72">
        <v>42107</v>
      </c>
      <c r="E119" s="35">
        <v>29714</v>
      </c>
      <c r="F119" s="43">
        <v>-7.5519999999999996</v>
      </c>
      <c r="G119" s="43">
        <v>-7.19</v>
      </c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</row>
    <row r="120" spans="1:70" x14ac:dyDescent="0.25">
      <c r="A120" s="35" t="s">
        <v>67</v>
      </c>
      <c r="B120" s="35" t="s">
        <v>173</v>
      </c>
      <c r="C120" s="35" t="s">
        <v>81</v>
      </c>
      <c r="D120" s="72">
        <v>42107</v>
      </c>
      <c r="E120" s="35">
        <v>29714</v>
      </c>
      <c r="F120" s="43">
        <v>0.62</v>
      </c>
      <c r="G120" s="43">
        <v>0.98</v>
      </c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</row>
    <row r="121" spans="1:70" x14ac:dyDescent="0.25">
      <c r="A121" s="35" t="s">
        <v>67</v>
      </c>
      <c r="B121" s="35" t="s">
        <v>173</v>
      </c>
      <c r="C121" s="35" t="s">
        <v>38</v>
      </c>
      <c r="D121" s="72">
        <v>42107</v>
      </c>
      <c r="E121" s="35">
        <v>29714</v>
      </c>
      <c r="F121" s="38">
        <v>35.497271489233711</v>
      </c>
      <c r="G121" s="64">
        <v>34.810620210709935</v>
      </c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</row>
    <row r="122" spans="1:70" x14ac:dyDescent="0.25">
      <c r="A122" s="35" t="s">
        <v>67</v>
      </c>
      <c r="B122" s="35" t="s">
        <v>173</v>
      </c>
      <c r="C122" s="35" t="s">
        <v>39</v>
      </c>
      <c r="D122" s="72">
        <v>42107</v>
      </c>
      <c r="E122" s="35">
        <v>29714</v>
      </c>
      <c r="F122" s="38">
        <v>6.371811197005392E-2</v>
      </c>
      <c r="G122" s="64">
        <v>6.2106009774131478E-2</v>
      </c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</row>
    <row r="123" spans="1:70" x14ac:dyDescent="0.25">
      <c r="A123" s="35" t="s">
        <v>67</v>
      </c>
      <c r="B123" s="35" t="s">
        <v>173</v>
      </c>
      <c r="C123" s="35" t="s">
        <v>40</v>
      </c>
      <c r="D123" s="72">
        <v>42107</v>
      </c>
      <c r="E123" s="35">
        <v>29714</v>
      </c>
      <c r="F123" s="38">
        <v>114.75483145306914</v>
      </c>
      <c r="G123" s="64">
        <v>114.71011485327595</v>
      </c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</row>
    <row r="124" spans="1:70" x14ac:dyDescent="0.25">
      <c r="A124" s="35" t="s">
        <v>67</v>
      </c>
      <c r="B124" s="35" t="s">
        <v>173</v>
      </c>
      <c r="C124" s="35" t="s">
        <v>41</v>
      </c>
      <c r="D124" s="72">
        <v>42107</v>
      </c>
      <c r="E124" s="35">
        <v>29714</v>
      </c>
      <c r="F124" s="38">
        <v>0.51061696412703961</v>
      </c>
      <c r="G124" s="64">
        <v>0.52144063957056308</v>
      </c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</row>
    <row r="125" spans="1:70" x14ac:dyDescent="0.25">
      <c r="A125" s="35" t="s">
        <v>67</v>
      </c>
      <c r="B125" s="35" t="s">
        <v>173</v>
      </c>
      <c r="C125" s="35" t="s">
        <v>46</v>
      </c>
      <c r="D125" s="72">
        <v>42107</v>
      </c>
      <c r="E125" s="35">
        <v>29714</v>
      </c>
      <c r="F125" s="55">
        <v>155.03619631901839</v>
      </c>
      <c r="G125" s="55">
        <v>152.24936708860764</v>
      </c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</row>
    <row r="126" spans="1:70" x14ac:dyDescent="0.25">
      <c r="A126" s="35" t="s">
        <v>67</v>
      </c>
      <c r="B126" s="35" t="s">
        <v>173</v>
      </c>
      <c r="C126" s="35" t="s">
        <v>47</v>
      </c>
      <c r="D126" s="72">
        <v>42107</v>
      </c>
      <c r="E126" s="35">
        <v>29714</v>
      </c>
      <c r="F126" s="55">
        <v>0.46633644171779137</v>
      </c>
      <c r="G126" s="55">
        <v>0.46779632911392394</v>
      </c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</row>
    <row r="127" spans="1:70" x14ac:dyDescent="0.25">
      <c r="A127" s="35" t="s">
        <v>67</v>
      </c>
      <c r="B127" s="35" t="s">
        <v>173</v>
      </c>
      <c r="C127" s="35" t="s">
        <v>54</v>
      </c>
      <c r="D127" s="72">
        <v>42107</v>
      </c>
      <c r="E127" s="35">
        <v>29714</v>
      </c>
      <c r="F127" s="55">
        <v>666.83999999999992</v>
      </c>
      <c r="G127" s="55">
        <v>673.28</v>
      </c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</row>
    <row r="128" spans="1:70" x14ac:dyDescent="0.25">
      <c r="A128" s="35" t="s">
        <v>67</v>
      </c>
      <c r="B128" s="35" t="s">
        <v>173</v>
      </c>
      <c r="C128" s="35" t="s">
        <v>55</v>
      </c>
      <c r="D128" s="72">
        <v>42107</v>
      </c>
      <c r="E128" s="35">
        <v>29714</v>
      </c>
      <c r="F128" s="55">
        <v>88.331999999999994</v>
      </c>
      <c r="G128" s="55">
        <v>89.027999999999992</v>
      </c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</row>
    <row r="129" spans="1:70" x14ac:dyDescent="0.25">
      <c r="A129" s="35" t="s">
        <v>67</v>
      </c>
      <c r="B129" s="35" t="s">
        <v>173</v>
      </c>
      <c r="C129" s="35" t="s">
        <v>68</v>
      </c>
      <c r="D129" s="72">
        <v>42107</v>
      </c>
      <c r="E129" s="35">
        <v>29714</v>
      </c>
      <c r="F129" s="50">
        <v>1</v>
      </c>
      <c r="G129" s="35">
        <v>1</v>
      </c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</row>
    <row r="130" spans="1:70" x14ac:dyDescent="0.25">
      <c r="A130" s="35" t="s">
        <v>67</v>
      </c>
      <c r="B130" s="35" t="s">
        <v>173</v>
      </c>
      <c r="C130" s="35" t="s">
        <v>70</v>
      </c>
      <c r="D130" s="72">
        <v>42107</v>
      </c>
      <c r="E130" s="35">
        <v>29714</v>
      </c>
      <c r="F130" s="46">
        <v>92.84</v>
      </c>
      <c r="G130" s="46">
        <v>93.63</v>
      </c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</row>
    <row r="131" spans="1:70" x14ac:dyDescent="0.25">
      <c r="A131" s="35" t="s">
        <v>67</v>
      </c>
      <c r="B131" s="35" t="s">
        <v>173</v>
      </c>
      <c r="C131" s="35" t="s">
        <v>71</v>
      </c>
      <c r="D131" s="72">
        <v>42107</v>
      </c>
      <c r="E131" s="35">
        <v>29714</v>
      </c>
      <c r="F131" s="46">
        <v>90.72</v>
      </c>
      <c r="G131" s="46">
        <v>90.26</v>
      </c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</row>
    <row r="132" spans="1:70" x14ac:dyDescent="0.25">
      <c r="A132" s="35" t="s">
        <v>67</v>
      </c>
      <c r="B132" s="35" t="s">
        <v>173</v>
      </c>
      <c r="C132" s="35" t="s">
        <v>84</v>
      </c>
      <c r="D132" s="72">
        <v>42107</v>
      </c>
      <c r="E132" s="35">
        <v>29714</v>
      </c>
      <c r="F132" s="46">
        <v>-2.1200000000000045</v>
      </c>
      <c r="G132" s="46">
        <v>-3.3699999999999903</v>
      </c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</row>
    <row r="133" spans="1:70" ht="15.75" thickBot="1" x14ac:dyDescent="0.3">
      <c r="A133" s="40" t="s">
        <v>67</v>
      </c>
      <c r="B133" s="40" t="s">
        <v>173</v>
      </c>
      <c r="C133" s="40" t="s">
        <v>69</v>
      </c>
      <c r="D133" s="73">
        <v>42107</v>
      </c>
      <c r="E133" s="40">
        <v>29714</v>
      </c>
      <c r="F133" s="65">
        <v>96.44</v>
      </c>
      <c r="G133" s="65">
        <v>98.03</v>
      </c>
      <c r="H133" s="40"/>
      <c r="I133" s="40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</row>
    <row r="134" spans="1:70" x14ac:dyDescent="0.25">
      <c r="A134" s="35" t="s">
        <v>67</v>
      </c>
      <c r="B134" s="35" t="s">
        <v>173</v>
      </c>
      <c r="C134" s="35" t="s">
        <v>117</v>
      </c>
      <c r="D134" s="72">
        <v>42107</v>
      </c>
      <c r="E134" s="35">
        <v>29724</v>
      </c>
      <c r="F134" s="16">
        <v>0.24343559630785377</v>
      </c>
      <c r="G134" s="30">
        <v>0.11442025257263794</v>
      </c>
      <c r="H134" s="16">
        <v>0.24468147472702984</v>
      </c>
      <c r="I134" s="30">
        <v>0.13679449739715049</v>
      </c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</row>
    <row r="135" spans="1:70" x14ac:dyDescent="0.25">
      <c r="A135" s="35" t="s">
        <v>67</v>
      </c>
      <c r="B135" s="35" t="s">
        <v>173</v>
      </c>
      <c r="C135" s="35" t="s">
        <v>118</v>
      </c>
      <c r="D135" s="72">
        <v>42107</v>
      </c>
      <c r="E135" s="35">
        <v>29724</v>
      </c>
      <c r="F135" s="30">
        <v>3.4386476718021308</v>
      </c>
      <c r="G135" s="30">
        <v>2.3340090760617134</v>
      </c>
      <c r="H135" s="30">
        <v>3.0457516229060668</v>
      </c>
      <c r="I135" s="30">
        <v>2.2817188216672561</v>
      </c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</row>
    <row r="136" spans="1:70" x14ac:dyDescent="0.25">
      <c r="A136" s="35" t="s">
        <v>67</v>
      </c>
      <c r="B136" s="35" t="s">
        <v>173</v>
      </c>
      <c r="C136" s="35" t="s">
        <v>119</v>
      </c>
      <c r="D136" s="72">
        <v>42107</v>
      </c>
      <c r="E136" s="35">
        <v>29724</v>
      </c>
      <c r="F136" s="16">
        <v>0.35957705050699057</v>
      </c>
      <c r="G136" s="53">
        <v>0.40742292556125703</v>
      </c>
      <c r="H136" s="30">
        <v>0.29881124759236338</v>
      </c>
      <c r="I136" s="30">
        <v>0.32342509544094922</v>
      </c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</row>
    <row r="137" spans="1:70" x14ac:dyDescent="0.25">
      <c r="A137" s="35" t="s">
        <v>67</v>
      </c>
      <c r="B137" s="35" t="s">
        <v>173</v>
      </c>
      <c r="C137" s="35" t="s">
        <v>120</v>
      </c>
      <c r="D137" s="72">
        <v>42107</v>
      </c>
      <c r="E137" s="35">
        <v>29724</v>
      </c>
      <c r="F137" s="16">
        <v>4.38669755070788</v>
      </c>
      <c r="G137" s="53">
        <v>5.0955839000139846</v>
      </c>
      <c r="H137" s="30">
        <v>4.3805386669276505</v>
      </c>
      <c r="I137" s="30">
        <v>5.8816691112828785</v>
      </c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</row>
    <row r="138" spans="1:70" x14ac:dyDescent="0.25">
      <c r="A138" s="35" t="s">
        <v>67</v>
      </c>
      <c r="B138" s="35" t="s">
        <v>173</v>
      </c>
      <c r="C138" s="35" t="s">
        <v>121</v>
      </c>
      <c r="D138" s="72">
        <v>42107</v>
      </c>
      <c r="E138" s="35">
        <v>29724</v>
      </c>
      <c r="F138">
        <v>13.141371426975846</v>
      </c>
      <c r="G138">
        <v>15.265005141874001</v>
      </c>
      <c r="H138">
        <v>13.122921060066345</v>
      </c>
      <c r="I138">
        <v>17.619905979035732</v>
      </c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</row>
    <row r="139" spans="1:70" x14ac:dyDescent="0.25">
      <c r="A139" s="35" t="s">
        <v>67</v>
      </c>
      <c r="B139" s="35" t="s">
        <v>173</v>
      </c>
      <c r="C139" s="35" t="s">
        <v>82</v>
      </c>
      <c r="D139" s="72">
        <v>42107</v>
      </c>
      <c r="E139" s="35">
        <v>29724</v>
      </c>
      <c r="F139" s="52">
        <v>-9.0909999999999993</v>
      </c>
      <c r="G139" s="52">
        <v>-8.7889999999999997</v>
      </c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</row>
    <row r="140" spans="1:70" x14ac:dyDescent="0.25">
      <c r="A140" s="35" t="s">
        <v>67</v>
      </c>
      <c r="B140" s="35" t="s">
        <v>173</v>
      </c>
      <c r="C140" s="35" t="s">
        <v>83</v>
      </c>
      <c r="D140" s="72">
        <v>42107</v>
      </c>
      <c r="E140" s="35">
        <v>29724</v>
      </c>
      <c r="F140" s="52">
        <v>0.73199999999999998</v>
      </c>
      <c r="G140" s="52">
        <v>0.91600000000000004</v>
      </c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</row>
    <row r="141" spans="1:70" x14ac:dyDescent="0.25">
      <c r="A141" s="35" t="s">
        <v>67</v>
      </c>
      <c r="B141" s="35" t="s">
        <v>173</v>
      </c>
      <c r="C141" s="35" t="s">
        <v>80</v>
      </c>
      <c r="D141" s="72">
        <v>42107</v>
      </c>
      <c r="E141" s="35">
        <v>29724</v>
      </c>
      <c r="F141" s="43">
        <v>-8.4269999999999996</v>
      </c>
      <c r="G141" s="43">
        <v>-7.8579999999999997</v>
      </c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</row>
    <row r="142" spans="1:70" x14ac:dyDescent="0.25">
      <c r="A142" s="35" t="s">
        <v>67</v>
      </c>
      <c r="B142" s="35" t="s">
        <v>173</v>
      </c>
      <c r="C142" s="35" t="s">
        <v>81</v>
      </c>
      <c r="D142" s="72">
        <v>42107</v>
      </c>
      <c r="E142" s="35">
        <v>29724</v>
      </c>
      <c r="F142" s="43">
        <v>0.79600000000000004</v>
      </c>
      <c r="G142" s="43">
        <v>1.008</v>
      </c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</row>
    <row r="143" spans="1:70" x14ac:dyDescent="0.25">
      <c r="A143" s="35" t="s">
        <v>67</v>
      </c>
      <c r="B143" s="35" t="s">
        <v>173</v>
      </c>
      <c r="C143" s="35" t="s">
        <v>38</v>
      </c>
      <c r="D143" s="72">
        <v>42107</v>
      </c>
      <c r="E143" s="35">
        <v>29724</v>
      </c>
      <c r="F143" s="38">
        <v>49.323585520286358</v>
      </c>
      <c r="G143" s="64">
        <v>37.873191282547864</v>
      </c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</row>
    <row r="144" spans="1:70" x14ac:dyDescent="0.25">
      <c r="A144" s="35" t="s">
        <v>67</v>
      </c>
      <c r="B144" s="35" t="s">
        <v>173</v>
      </c>
      <c r="C144" s="35" t="s">
        <v>39</v>
      </c>
      <c r="D144" s="72">
        <v>42107</v>
      </c>
      <c r="E144" s="35">
        <v>29724</v>
      </c>
      <c r="F144" s="38">
        <v>7.8164374401909514E-2</v>
      </c>
      <c r="G144" s="64">
        <v>6.1212622871360541E-2</v>
      </c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</row>
    <row r="145" spans="1:70" x14ac:dyDescent="0.25">
      <c r="A145" s="35" t="s">
        <v>67</v>
      </c>
      <c r="B145" s="35" t="s">
        <v>173</v>
      </c>
      <c r="C145" s="35" t="s">
        <v>40</v>
      </c>
      <c r="D145" s="72">
        <v>42107</v>
      </c>
      <c r="E145" s="35">
        <v>29724</v>
      </c>
      <c r="F145" s="38">
        <v>145.21851273891343</v>
      </c>
      <c r="G145" s="64">
        <v>128.88843664383228</v>
      </c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</row>
    <row r="146" spans="1:70" x14ac:dyDescent="0.25">
      <c r="A146" s="35" t="s">
        <v>67</v>
      </c>
      <c r="B146" s="35" t="s">
        <v>173</v>
      </c>
      <c r="C146" s="35" t="s">
        <v>41</v>
      </c>
      <c r="D146" s="72">
        <v>42107</v>
      </c>
      <c r="E146" s="35">
        <v>29724</v>
      </c>
      <c r="F146" s="38">
        <v>0.52114038362290382</v>
      </c>
      <c r="G146" s="64">
        <v>0.51575825302149125</v>
      </c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</row>
    <row r="147" spans="1:70" x14ac:dyDescent="0.25">
      <c r="A147" s="35" t="s">
        <v>67</v>
      </c>
      <c r="B147" s="35" t="s">
        <v>173</v>
      </c>
      <c r="C147" s="35" t="s">
        <v>46</v>
      </c>
      <c r="D147" s="72">
        <v>42107</v>
      </c>
      <c r="E147" s="35">
        <v>29724</v>
      </c>
      <c r="F147" s="55">
        <v>179.33609022556391</v>
      </c>
      <c r="G147" s="55">
        <v>158.78407960198999</v>
      </c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</row>
    <row r="148" spans="1:70" x14ac:dyDescent="0.25">
      <c r="A148" s="35" t="s">
        <v>67</v>
      </c>
      <c r="B148" s="35" t="s">
        <v>173</v>
      </c>
      <c r="C148" s="35" t="s">
        <v>47</v>
      </c>
      <c r="D148" s="72">
        <v>42107</v>
      </c>
      <c r="E148" s="35">
        <v>29724</v>
      </c>
      <c r="F148" s="55">
        <v>0.5029267293233084</v>
      </c>
      <c r="G148" s="55">
        <v>0.50789203980099518</v>
      </c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</row>
    <row r="149" spans="1:70" x14ac:dyDescent="0.25">
      <c r="A149" s="35" t="s">
        <v>67</v>
      </c>
      <c r="B149" s="35" t="s">
        <v>173</v>
      </c>
      <c r="C149" s="35" t="s">
        <v>54</v>
      </c>
      <c r="D149" s="72">
        <v>42107</v>
      </c>
      <c r="E149" s="35">
        <v>29724</v>
      </c>
      <c r="F149" s="55">
        <v>752.68000000000006</v>
      </c>
      <c r="G149" s="55">
        <v>747.99999999999989</v>
      </c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</row>
    <row r="150" spans="1:70" x14ac:dyDescent="0.25">
      <c r="A150" s="35" t="s">
        <v>67</v>
      </c>
      <c r="B150" s="35" t="s">
        <v>173</v>
      </c>
      <c r="C150" s="35" t="s">
        <v>55</v>
      </c>
      <c r="D150" s="72">
        <v>42107</v>
      </c>
      <c r="E150" s="35">
        <v>29724</v>
      </c>
      <c r="F150" s="55">
        <v>84.531999999999996</v>
      </c>
      <c r="G150" s="55">
        <v>86.055999999999997</v>
      </c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</row>
    <row r="151" spans="1:70" x14ac:dyDescent="0.25">
      <c r="A151" s="35" t="s">
        <v>67</v>
      </c>
      <c r="B151" s="35" t="s">
        <v>173</v>
      </c>
      <c r="C151" s="35" t="s">
        <v>68</v>
      </c>
      <c r="D151" s="72">
        <v>42107</v>
      </c>
      <c r="E151" s="35">
        <v>29724</v>
      </c>
      <c r="F151" s="50">
        <v>0</v>
      </c>
      <c r="G151" s="35">
        <v>0</v>
      </c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</row>
    <row r="152" spans="1:70" x14ac:dyDescent="0.25">
      <c r="A152" s="35" t="s">
        <v>67</v>
      </c>
      <c r="B152" s="35" t="s">
        <v>173</v>
      </c>
      <c r="C152" s="35" t="s">
        <v>70</v>
      </c>
      <c r="D152" s="72">
        <v>42107</v>
      </c>
      <c r="E152" s="35">
        <v>29724</v>
      </c>
      <c r="F152" s="46">
        <v>120.1</v>
      </c>
      <c r="G152" s="46">
        <v>117.5</v>
      </c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</row>
    <row r="153" spans="1:70" x14ac:dyDescent="0.25">
      <c r="A153" s="35" t="s">
        <v>67</v>
      </c>
      <c r="B153" s="35" t="s">
        <v>173</v>
      </c>
      <c r="C153" s="35" t="s">
        <v>71</v>
      </c>
      <c r="D153" s="72">
        <v>42107</v>
      </c>
      <c r="E153" s="35">
        <v>29724</v>
      </c>
      <c r="F153" s="46">
        <v>122.6</v>
      </c>
      <c r="G153" s="46">
        <v>119.6</v>
      </c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</row>
    <row r="154" spans="1:70" ht="15.75" thickBot="1" x14ac:dyDescent="0.3">
      <c r="A154" s="40" t="s">
        <v>67</v>
      </c>
      <c r="B154" s="40" t="s">
        <v>173</v>
      </c>
      <c r="C154" s="40" t="s">
        <v>84</v>
      </c>
      <c r="D154" s="73">
        <v>42107</v>
      </c>
      <c r="E154" s="40">
        <v>29724</v>
      </c>
      <c r="F154" s="65">
        <v>2.5</v>
      </c>
      <c r="G154" s="65">
        <v>2.0999999999999943</v>
      </c>
      <c r="H154" s="40"/>
      <c r="I154" s="40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</row>
    <row r="155" spans="1:70" x14ac:dyDescent="0.25">
      <c r="A155" s="35" t="s">
        <v>67</v>
      </c>
      <c r="B155" s="35" t="s">
        <v>173</v>
      </c>
      <c r="C155" s="35" t="s">
        <v>117</v>
      </c>
      <c r="D155" s="72">
        <v>42107</v>
      </c>
      <c r="E155" s="35">
        <v>29734</v>
      </c>
      <c r="F155" s="16">
        <v>8.6071621212914937E-2</v>
      </c>
      <c r="G155" s="30">
        <v>3.6536847488221218E-2</v>
      </c>
      <c r="H155" s="30">
        <v>6.4730514112658219E-2</v>
      </c>
      <c r="I155" s="30">
        <v>3.2376360182955824E-2</v>
      </c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</row>
    <row r="156" spans="1:70" x14ac:dyDescent="0.25">
      <c r="A156" s="35" t="s">
        <v>67</v>
      </c>
      <c r="B156" s="35" t="s">
        <v>173</v>
      </c>
      <c r="C156" s="35" t="s">
        <v>118</v>
      </c>
      <c r="D156" s="72">
        <v>42107</v>
      </c>
      <c r="E156" s="35">
        <v>29734</v>
      </c>
      <c r="F156" s="30">
        <v>2.1359881077877771</v>
      </c>
      <c r="G156" s="30">
        <v>3.0749612950445924</v>
      </c>
      <c r="H156" s="30">
        <v>2.872150719610739</v>
      </c>
      <c r="I156" s="30">
        <v>2.9636963270823791</v>
      </c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</row>
    <row r="157" spans="1:70" x14ac:dyDescent="0.25">
      <c r="A157" s="35" t="s">
        <v>67</v>
      </c>
      <c r="B157" s="35" t="s">
        <v>173</v>
      </c>
      <c r="C157" s="35" t="s">
        <v>119</v>
      </c>
      <c r="D157" s="72">
        <v>42107</v>
      </c>
      <c r="E157" s="35">
        <v>29734</v>
      </c>
      <c r="F157" s="30">
        <v>0.36123217331311142</v>
      </c>
      <c r="G157" s="30">
        <v>0.39928606642566622</v>
      </c>
      <c r="H157" s="30">
        <v>0.28087247490539669</v>
      </c>
      <c r="I157" s="30">
        <v>0.3212521434855245</v>
      </c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</row>
    <row r="158" spans="1:70" x14ac:dyDescent="0.25">
      <c r="A158" s="35" t="s">
        <v>67</v>
      </c>
      <c r="B158" s="35" t="s">
        <v>173</v>
      </c>
      <c r="C158" s="35" t="s">
        <v>120</v>
      </c>
      <c r="D158" s="72">
        <v>42107</v>
      </c>
      <c r="E158" s="35">
        <v>29734</v>
      </c>
      <c r="F158" s="30">
        <v>5.2395976626025647</v>
      </c>
      <c r="G158" s="30">
        <v>3.391040725773645</v>
      </c>
      <c r="H158" s="30">
        <v>4.4894237015435525</v>
      </c>
      <c r="I158" s="30">
        <v>3.6424527236567772</v>
      </c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</row>
    <row r="159" spans="1:70" x14ac:dyDescent="0.25">
      <c r="A159" s="35" t="s">
        <v>67</v>
      </c>
      <c r="B159" s="35" t="s">
        <v>173</v>
      </c>
      <c r="C159" s="35" t="s">
        <v>121</v>
      </c>
      <c r="D159" s="72">
        <v>42107</v>
      </c>
      <c r="E159" s="35">
        <v>29734</v>
      </c>
      <c r="F159">
        <v>15.69643181829654</v>
      </c>
      <c r="G159">
        <v>10.158650143136054</v>
      </c>
      <c r="H159">
        <v>13.449111472372225</v>
      </c>
      <c r="I159">
        <v>10.911813179153231</v>
      </c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</row>
    <row r="160" spans="1:70" x14ac:dyDescent="0.25">
      <c r="A160" s="35" t="s">
        <v>67</v>
      </c>
      <c r="B160" s="35" t="s">
        <v>173</v>
      </c>
      <c r="C160" s="35" t="s">
        <v>82</v>
      </c>
      <c r="D160" s="72">
        <v>42107</v>
      </c>
      <c r="E160" s="35">
        <v>29734</v>
      </c>
      <c r="F160" s="52">
        <v>-7.4029999999999996</v>
      </c>
      <c r="G160" s="52">
        <v>-8.1340000000000003</v>
      </c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</row>
    <row r="161" spans="1:70" x14ac:dyDescent="0.25">
      <c r="A161" s="35" t="s">
        <v>67</v>
      </c>
      <c r="B161" s="35" t="s">
        <v>173</v>
      </c>
      <c r="C161" s="35" t="s">
        <v>83</v>
      </c>
      <c r="D161" s="72">
        <v>42107</v>
      </c>
      <c r="E161" s="35">
        <v>29734</v>
      </c>
      <c r="F161" s="52">
        <v>1</v>
      </c>
      <c r="G161" s="52">
        <v>0.65200000000000002</v>
      </c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</row>
    <row r="162" spans="1:70" x14ac:dyDescent="0.25">
      <c r="A162" s="35" t="s">
        <v>67</v>
      </c>
      <c r="B162" s="35" t="s">
        <v>173</v>
      </c>
      <c r="C162" s="35" t="s">
        <v>80</v>
      </c>
      <c r="D162" s="72">
        <v>42107</v>
      </c>
      <c r="E162" s="35">
        <v>29734</v>
      </c>
      <c r="F162" s="43">
        <v>-8.1590000000000007</v>
      </c>
      <c r="G162" s="43">
        <v>-8.4920000000000009</v>
      </c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</row>
    <row r="163" spans="1:70" x14ac:dyDescent="0.25">
      <c r="A163" s="35" t="s">
        <v>67</v>
      </c>
      <c r="B163" s="35" t="s">
        <v>173</v>
      </c>
      <c r="C163" s="35" t="s">
        <v>81</v>
      </c>
      <c r="D163" s="72">
        <v>42107</v>
      </c>
      <c r="E163" s="35">
        <v>29734</v>
      </c>
      <c r="F163" s="43">
        <v>0.61599999999999999</v>
      </c>
      <c r="G163" s="43">
        <v>0.82799999999999996</v>
      </c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</row>
    <row r="164" spans="1:70" x14ac:dyDescent="0.25">
      <c r="A164" s="35" t="s">
        <v>67</v>
      </c>
      <c r="B164" s="35" t="s">
        <v>173</v>
      </c>
      <c r="C164" s="35" t="s">
        <v>38</v>
      </c>
      <c r="D164" s="72">
        <v>42107</v>
      </c>
      <c r="E164" s="35">
        <v>29734</v>
      </c>
      <c r="F164" s="38">
        <v>39.370518001481109</v>
      </c>
      <c r="G164" s="64">
        <v>42.472423361021121</v>
      </c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</row>
    <row r="165" spans="1:70" x14ac:dyDescent="0.25">
      <c r="A165" s="35" t="s">
        <v>67</v>
      </c>
      <c r="B165" s="35" t="s">
        <v>173</v>
      </c>
      <c r="C165" s="35" t="s">
        <v>39</v>
      </c>
      <c r="D165" s="72">
        <v>42107</v>
      </c>
      <c r="E165" s="35">
        <v>29734</v>
      </c>
      <c r="F165" s="38">
        <v>6.3032838686108913E-2</v>
      </c>
      <c r="G165" s="64">
        <v>6.661730293203208E-2</v>
      </c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</row>
    <row r="166" spans="1:70" x14ac:dyDescent="0.25">
      <c r="A166" s="35" t="s">
        <v>67</v>
      </c>
      <c r="B166" s="35" t="s">
        <v>173</v>
      </c>
      <c r="C166" s="35" t="s">
        <v>40</v>
      </c>
      <c r="D166" s="72">
        <v>42107</v>
      </c>
      <c r="E166" s="35">
        <v>29734</v>
      </c>
      <c r="F166" s="38">
        <v>122.84539162799412</v>
      </c>
      <c r="G166" s="64">
        <v>131.34478833403486</v>
      </c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</row>
    <row r="167" spans="1:70" x14ac:dyDescent="0.25">
      <c r="A167" s="35" t="s">
        <v>67</v>
      </c>
      <c r="B167" s="35" t="s">
        <v>173</v>
      </c>
      <c r="C167" s="35" t="s">
        <v>41</v>
      </c>
      <c r="D167" s="72">
        <v>42107</v>
      </c>
      <c r="E167" s="35">
        <v>29734</v>
      </c>
      <c r="F167" s="38">
        <v>0.52002892016098867</v>
      </c>
      <c r="G167" s="64">
        <v>0.50658562362031789</v>
      </c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</row>
    <row r="168" spans="1:70" x14ac:dyDescent="0.25">
      <c r="A168" s="35" t="s">
        <v>67</v>
      </c>
      <c r="B168" s="35" t="s">
        <v>173</v>
      </c>
      <c r="C168" s="35" t="s">
        <v>46</v>
      </c>
      <c r="D168" s="72">
        <v>42107</v>
      </c>
      <c r="E168" s="35">
        <v>29734</v>
      </c>
      <c r="F168" s="55">
        <v>160.58415300546454</v>
      </c>
      <c r="G168" s="55">
        <v>184.08144329896899</v>
      </c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</row>
    <row r="169" spans="1:70" x14ac:dyDescent="0.25">
      <c r="A169" s="35" t="s">
        <v>67</v>
      </c>
      <c r="B169" s="35" t="s">
        <v>173</v>
      </c>
      <c r="C169" s="35" t="s">
        <v>47</v>
      </c>
      <c r="D169" s="72">
        <v>42107</v>
      </c>
      <c r="E169" s="35">
        <v>29734</v>
      </c>
      <c r="F169" s="55">
        <v>0.46879803278688492</v>
      </c>
      <c r="G169" s="55">
        <v>0.44447783505154653</v>
      </c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</row>
    <row r="170" spans="1:70" x14ac:dyDescent="0.25">
      <c r="A170" s="35" t="s">
        <v>67</v>
      </c>
      <c r="B170" s="35" t="s">
        <v>173</v>
      </c>
      <c r="C170" s="35" t="s">
        <v>54</v>
      </c>
      <c r="D170" s="72">
        <v>42107</v>
      </c>
      <c r="E170" s="35">
        <v>29734</v>
      </c>
      <c r="F170" s="55">
        <v>765.76</v>
      </c>
      <c r="G170" s="55">
        <v>777.30000000000007</v>
      </c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</row>
    <row r="171" spans="1:70" x14ac:dyDescent="0.25">
      <c r="A171" s="35" t="s">
        <v>67</v>
      </c>
      <c r="B171" s="35" t="s">
        <v>173</v>
      </c>
      <c r="C171" s="35" t="s">
        <v>55</v>
      </c>
      <c r="D171" s="72">
        <v>42107</v>
      </c>
      <c r="E171" s="35">
        <v>29734</v>
      </c>
      <c r="F171" s="55">
        <v>87.122</v>
      </c>
      <c r="G171" s="55">
        <v>88.85799999999999</v>
      </c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</row>
    <row r="172" spans="1:70" x14ac:dyDescent="0.25">
      <c r="A172" s="35" t="s">
        <v>67</v>
      </c>
      <c r="B172" s="35" t="s">
        <v>173</v>
      </c>
      <c r="C172" s="35" t="s">
        <v>68</v>
      </c>
      <c r="D172" s="72">
        <v>42107</v>
      </c>
      <c r="E172" s="35">
        <v>29734</v>
      </c>
      <c r="F172" s="50">
        <v>1</v>
      </c>
      <c r="G172" s="35">
        <v>1</v>
      </c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</row>
    <row r="173" spans="1:70" x14ac:dyDescent="0.25">
      <c r="A173" s="35" t="s">
        <v>67</v>
      </c>
      <c r="B173" s="35" t="s">
        <v>173</v>
      </c>
      <c r="C173" s="35" t="s">
        <v>70</v>
      </c>
      <c r="D173" s="72">
        <v>42107</v>
      </c>
      <c r="E173" s="35">
        <v>29734</v>
      </c>
      <c r="F173" s="46">
        <v>110.4</v>
      </c>
      <c r="G173" s="46">
        <v>111.5</v>
      </c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</row>
    <row r="174" spans="1:70" x14ac:dyDescent="0.25">
      <c r="A174" s="35" t="s">
        <v>67</v>
      </c>
      <c r="B174" s="35" t="s">
        <v>173</v>
      </c>
      <c r="C174" s="35" t="s">
        <v>71</v>
      </c>
      <c r="D174" s="72">
        <v>42107</v>
      </c>
      <c r="E174" s="35">
        <v>29734</v>
      </c>
      <c r="F174" s="46">
        <v>106.9</v>
      </c>
      <c r="G174" s="46">
        <v>108.5</v>
      </c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</row>
    <row r="175" spans="1:70" x14ac:dyDescent="0.25">
      <c r="A175" s="35" t="s">
        <v>67</v>
      </c>
      <c r="B175" s="35" t="s">
        <v>173</v>
      </c>
      <c r="C175" s="35" t="s">
        <v>84</v>
      </c>
      <c r="D175" s="72">
        <v>42107</v>
      </c>
      <c r="E175" s="35">
        <v>29734</v>
      </c>
      <c r="F175" s="46">
        <v>-3.5</v>
      </c>
      <c r="G175" s="46">
        <v>-3</v>
      </c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</row>
    <row r="176" spans="1:70" ht="15.75" thickBot="1" x14ac:dyDescent="0.3">
      <c r="A176" s="40" t="s">
        <v>67</v>
      </c>
      <c r="B176" s="40" t="s">
        <v>173</v>
      </c>
      <c r="C176" s="40" t="s">
        <v>69</v>
      </c>
      <c r="D176" s="73">
        <v>42107</v>
      </c>
      <c r="E176" s="40">
        <v>29734</v>
      </c>
      <c r="F176" s="65">
        <v>111.7</v>
      </c>
      <c r="G176" s="65">
        <v>112.9</v>
      </c>
      <c r="H176" s="40"/>
      <c r="I176" s="40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</row>
    <row r="177" spans="1:70" x14ac:dyDescent="0.25">
      <c r="A177" s="35" t="s">
        <v>67</v>
      </c>
      <c r="B177" s="35" t="s">
        <v>173</v>
      </c>
      <c r="C177" s="35" t="s">
        <v>117</v>
      </c>
      <c r="D177" s="72">
        <v>42107</v>
      </c>
      <c r="E177" s="35">
        <v>29744</v>
      </c>
      <c r="F177" s="16">
        <v>0.21749062795426913</v>
      </c>
      <c r="G177" s="30">
        <v>0.22155457609478249</v>
      </c>
      <c r="H177" s="16">
        <v>0.24846604451930171</v>
      </c>
      <c r="I177" s="30">
        <v>0.31880105888873456</v>
      </c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</row>
    <row r="178" spans="1:70" x14ac:dyDescent="0.25">
      <c r="A178" s="35" t="s">
        <v>67</v>
      </c>
      <c r="B178" s="35" t="s">
        <v>173</v>
      </c>
      <c r="C178" s="35" t="s">
        <v>118</v>
      </c>
      <c r="D178" s="72">
        <v>42107</v>
      </c>
      <c r="E178" s="35">
        <v>29744</v>
      </c>
      <c r="F178" s="30">
        <v>2.8640165132895419</v>
      </c>
      <c r="G178" s="30">
        <v>2.8085085443480127</v>
      </c>
      <c r="H178" s="30">
        <v>3.0544367092596065</v>
      </c>
      <c r="I178" s="30">
        <v>3.4431752533440494</v>
      </c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</row>
    <row r="179" spans="1:70" x14ac:dyDescent="0.25">
      <c r="A179" s="35" t="s">
        <v>67</v>
      </c>
      <c r="B179" s="35" t="s">
        <v>173</v>
      </c>
      <c r="C179" s="35" t="s">
        <v>119</v>
      </c>
      <c r="D179" s="72">
        <v>42107</v>
      </c>
      <c r="E179" s="35">
        <v>29744</v>
      </c>
      <c r="F179" s="16">
        <v>0.39261076001171025</v>
      </c>
      <c r="G179" s="53">
        <v>0.3999968078678196</v>
      </c>
      <c r="H179" s="30">
        <v>0.34630981013133105</v>
      </c>
      <c r="I179" s="30">
        <v>0.33596627748170066</v>
      </c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</row>
    <row r="180" spans="1:70" x14ac:dyDescent="0.25">
      <c r="A180" s="35" t="s">
        <v>67</v>
      </c>
      <c r="B180" s="35" t="s">
        <v>173</v>
      </c>
      <c r="C180" s="35" t="s">
        <v>120</v>
      </c>
      <c r="D180" s="72">
        <v>42107</v>
      </c>
      <c r="E180" s="35">
        <v>29744</v>
      </c>
      <c r="F180" s="16">
        <v>3.9514498821429913</v>
      </c>
      <c r="G180" s="53">
        <v>4.401930261052625</v>
      </c>
      <c r="H180" s="30">
        <v>4.8979939280488178</v>
      </c>
      <c r="I180" s="30">
        <v>4.3507353461757328</v>
      </c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</row>
    <row r="181" spans="1:70" x14ac:dyDescent="0.25">
      <c r="A181" s="35" t="s">
        <v>67</v>
      </c>
      <c r="B181" s="35" t="s">
        <v>173</v>
      </c>
      <c r="C181" s="35" t="s">
        <v>121</v>
      </c>
      <c r="D181" s="72">
        <v>42107</v>
      </c>
      <c r="E181" s="35">
        <v>29744</v>
      </c>
      <c r="F181">
        <v>11.83748593926687</v>
      </c>
      <c r="G181">
        <v>13.18700454896929</v>
      </c>
      <c r="H181">
        <v>14.673078485927324</v>
      </c>
      <c r="I181">
        <v>13.033638290230734</v>
      </c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</row>
    <row r="182" spans="1:70" x14ac:dyDescent="0.25">
      <c r="A182" s="35" t="s">
        <v>67</v>
      </c>
      <c r="B182" s="35" t="s">
        <v>173</v>
      </c>
      <c r="C182" s="35" t="s">
        <v>82</v>
      </c>
      <c r="D182" s="72">
        <v>42107</v>
      </c>
      <c r="E182" s="35">
        <v>29744</v>
      </c>
      <c r="F182" s="52">
        <v>-7.8</v>
      </c>
      <c r="G182" s="52">
        <v>-7.3289999999999997</v>
      </c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</row>
    <row r="183" spans="1:70" x14ac:dyDescent="0.25">
      <c r="A183" s="35" t="s">
        <v>67</v>
      </c>
      <c r="B183" s="35" t="s">
        <v>173</v>
      </c>
      <c r="C183" s="35" t="s">
        <v>83</v>
      </c>
      <c r="D183" s="72">
        <v>42107</v>
      </c>
      <c r="E183" s="35">
        <v>29744</v>
      </c>
      <c r="F183" s="52">
        <v>1.016</v>
      </c>
      <c r="G183" s="52">
        <v>0.95199999999999996</v>
      </c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</row>
    <row r="184" spans="1:70" x14ac:dyDescent="0.25">
      <c r="A184" s="35" t="s">
        <v>67</v>
      </c>
      <c r="B184" s="35" t="s">
        <v>173</v>
      </c>
      <c r="C184" s="35" t="s">
        <v>80</v>
      </c>
      <c r="D184" s="72">
        <v>42107</v>
      </c>
      <c r="E184" s="35">
        <v>29744</v>
      </c>
      <c r="F184" s="43">
        <v>-8.4160000000000004</v>
      </c>
      <c r="G184" s="43">
        <v>-6.7560000000000002</v>
      </c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</row>
    <row r="185" spans="1:70" x14ac:dyDescent="0.25">
      <c r="A185" s="35" t="s">
        <v>67</v>
      </c>
      <c r="B185" s="35" t="s">
        <v>173</v>
      </c>
      <c r="C185" s="35" t="s">
        <v>81</v>
      </c>
      <c r="D185" s="72">
        <v>42107</v>
      </c>
      <c r="E185" s="35">
        <v>29744</v>
      </c>
      <c r="F185" s="43">
        <v>0.75600000000000001</v>
      </c>
      <c r="G185" s="43">
        <v>0.624</v>
      </c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</row>
    <row r="186" spans="1:70" x14ac:dyDescent="0.25">
      <c r="A186" s="35" t="s">
        <v>67</v>
      </c>
      <c r="B186" s="35" t="s">
        <v>173</v>
      </c>
      <c r="C186" s="35" t="s">
        <v>38</v>
      </c>
      <c r="D186" s="72">
        <v>42107</v>
      </c>
      <c r="E186" s="35">
        <v>29744</v>
      </c>
      <c r="F186" s="38">
        <v>38.963320600999687</v>
      </c>
      <c r="G186" s="64">
        <v>30.362502168211364</v>
      </c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</row>
    <row r="187" spans="1:70" x14ac:dyDescent="0.25">
      <c r="A187" s="35" t="s">
        <v>67</v>
      </c>
      <c r="B187" s="35" t="s">
        <v>173</v>
      </c>
      <c r="C187" s="35" t="s">
        <v>39</v>
      </c>
      <c r="D187" s="72">
        <v>42107</v>
      </c>
      <c r="E187" s="35">
        <v>29744</v>
      </c>
      <c r="F187" s="38">
        <v>5.9994701874591695E-2</v>
      </c>
      <c r="G187" s="64">
        <v>5.109332298583559E-2</v>
      </c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</row>
    <row r="188" spans="1:70" x14ac:dyDescent="0.25">
      <c r="A188" s="35" t="s">
        <v>67</v>
      </c>
      <c r="B188" s="35" t="s">
        <v>173</v>
      </c>
      <c r="C188" s="35" t="s">
        <v>40</v>
      </c>
      <c r="D188" s="72">
        <v>42107</v>
      </c>
      <c r="E188" s="35">
        <v>29744</v>
      </c>
      <c r="F188" s="38">
        <v>129.46037866691211</v>
      </c>
      <c r="G188" s="64">
        <v>87.399688212627595</v>
      </c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</row>
    <row r="189" spans="1:70" x14ac:dyDescent="0.25">
      <c r="A189" s="35" t="s">
        <v>67</v>
      </c>
      <c r="B189" s="35" t="s">
        <v>173</v>
      </c>
      <c r="C189" s="35" t="s">
        <v>41</v>
      </c>
      <c r="D189" s="72">
        <v>42107</v>
      </c>
      <c r="E189" s="35">
        <v>29744</v>
      </c>
      <c r="F189" s="38">
        <v>0.5154545456064572</v>
      </c>
      <c r="G189" s="64">
        <v>0.32779887188970414</v>
      </c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</row>
    <row r="190" spans="1:70" x14ac:dyDescent="0.25">
      <c r="A190" s="35" t="s">
        <v>67</v>
      </c>
      <c r="B190" s="35" t="s">
        <v>173</v>
      </c>
      <c r="C190" s="35" t="s">
        <v>46</v>
      </c>
      <c r="D190" s="72">
        <v>42107</v>
      </c>
      <c r="E190" s="35">
        <v>29744</v>
      </c>
      <c r="F190" s="55">
        <v>134.64472049689431</v>
      </c>
      <c r="G190" s="55">
        <v>88.4658227848102</v>
      </c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</row>
    <row r="191" spans="1:70" x14ac:dyDescent="0.25">
      <c r="A191" s="35" t="s">
        <v>67</v>
      </c>
      <c r="B191" s="35" t="s">
        <v>173</v>
      </c>
      <c r="C191" s="35" t="s">
        <v>47</v>
      </c>
      <c r="D191" s="72">
        <v>42107</v>
      </c>
      <c r="E191" s="35">
        <v>29744</v>
      </c>
      <c r="F191" s="55">
        <v>0.64194987577639784</v>
      </c>
      <c r="G191" s="55">
        <v>0.82120120253164519</v>
      </c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</row>
    <row r="192" spans="1:70" x14ac:dyDescent="0.25">
      <c r="A192" s="35" t="s">
        <v>67</v>
      </c>
      <c r="B192" s="35" t="s">
        <v>173</v>
      </c>
      <c r="C192" s="35" t="s">
        <v>54</v>
      </c>
      <c r="D192" s="72">
        <v>42107</v>
      </c>
      <c r="E192" s="35">
        <v>29744</v>
      </c>
      <c r="F192" s="55">
        <v>820.8</v>
      </c>
      <c r="G192" s="55">
        <v>762.66000000000008</v>
      </c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</row>
    <row r="193" spans="1:70" x14ac:dyDescent="0.25">
      <c r="A193" s="35" t="s">
        <v>67</v>
      </c>
      <c r="B193" s="35" t="s">
        <v>173</v>
      </c>
      <c r="C193" s="35" t="s">
        <v>55</v>
      </c>
      <c r="D193" s="72">
        <v>42107</v>
      </c>
      <c r="E193" s="35">
        <v>29744</v>
      </c>
      <c r="F193" s="55">
        <v>100.45399999999999</v>
      </c>
      <c r="G193" s="55">
        <v>107.52000000000001</v>
      </c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</row>
    <row r="194" spans="1:70" x14ac:dyDescent="0.25">
      <c r="A194" s="35" t="s">
        <v>67</v>
      </c>
      <c r="B194" s="35" t="s">
        <v>173</v>
      </c>
      <c r="C194" s="35" t="s">
        <v>68</v>
      </c>
      <c r="D194" s="72">
        <v>42107</v>
      </c>
      <c r="E194" s="35">
        <v>29744</v>
      </c>
      <c r="F194" s="50">
        <v>1</v>
      </c>
      <c r="G194" s="35">
        <v>1</v>
      </c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</row>
    <row r="195" spans="1:70" x14ac:dyDescent="0.25">
      <c r="A195" s="35" t="s">
        <v>67</v>
      </c>
      <c r="B195" s="35" t="s">
        <v>173</v>
      </c>
      <c r="C195" s="35" t="s">
        <v>70</v>
      </c>
      <c r="D195" s="72">
        <v>42107</v>
      </c>
      <c r="E195" s="35">
        <v>29744</v>
      </c>
      <c r="F195" s="46">
        <v>114.2</v>
      </c>
      <c r="G195" s="46">
        <v>109.1</v>
      </c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</row>
    <row r="196" spans="1:70" x14ac:dyDescent="0.25">
      <c r="A196" s="35" t="s">
        <v>67</v>
      </c>
      <c r="B196" s="35" t="s">
        <v>173</v>
      </c>
      <c r="C196" s="35" t="s">
        <v>71</v>
      </c>
      <c r="D196" s="72">
        <v>42107</v>
      </c>
      <c r="E196" s="35">
        <v>29744</v>
      </c>
      <c r="F196" s="46">
        <v>112.6</v>
      </c>
      <c r="G196" s="46">
        <v>108.7</v>
      </c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</row>
    <row r="197" spans="1:70" x14ac:dyDescent="0.25">
      <c r="A197" s="35" t="s">
        <v>67</v>
      </c>
      <c r="B197" s="35" t="s">
        <v>173</v>
      </c>
      <c r="C197" s="35" t="s">
        <v>84</v>
      </c>
      <c r="D197" s="72">
        <v>42107</v>
      </c>
      <c r="E197" s="35">
        <v>29744</v>
      </c>
      <c r="F197" s="46">
        <v>-1.6000000000000085</v>
      </c>
      <c r="G197" s="46">
        <v>-0.39999999999999147</v>
      </c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</row>
    <row r="198" spans="1:70" ht="15.75" thickBot="1" x14ac:dyDescent="0.3">
      <c r="A198" s="40" t="s">
        <v>67</v>
      </c>
      <c r="B198" s="40" t="s">
        <v>173</v>
      </c>
      <c r="C198" s="40" t="s">
        <v>69</v>
      </c>
      <c r="D198" s="73">
        <v>42107</v>
      </c>
      <c r="E198" s="40">
        <v>29744</v>
      </c>
      <c r="F198" s="65">
        <v>115.2</v>
      </c>
      <c r="G198" s="65">
        <v>109.9</v>
      </c>
      <c r="H198" s="40"/>
      <c r="I198" s="40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</row>
    <row r="199" spans="1:70" x14ac:dyDescent="0.25">
      <c r="A199" s="35" t="s">
        <v>67</v>
      </c>
      <c r="B199" s="35" t="s">
        <v>173</v>
      </c>
      <c r="C199" s="35" t="s">
        <v>117</v>
      </c>
      <c r="D199" s="72">
        <v>42107</v>
      </c>
      <c r="E199" s="35">
        <v>29754</v>
      </c>
      <c r="F199" s="16">
        <v>0.72112707973066559</v>
      </c>
      <c r="G199" s="30">
        <v>0.44559755959378189</v>
      </c>
      <c r="H199" s="30">
        <v>0.16963031114341034</v>
      </c>
      <c r="I199" s="30">
        <v>0.42165154808351518</v>
      </c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</row>
    <row r="200" spans="1:70" x14ac:dyDescent="0.25">
      <c r="A200" s="35" t="s">
        <v>67</v>
      </c>
      <c r="B200" s="35" t="s">
        <v>173</v>
      </c>
      <c r="C200" s="35" t="s">
        <v>118</v>
      </c>
      <c r="D200" s="72">
        <v>42107</v>
      </c>
      <c r="E200" s="35">
        <v>29754</v>
      </c>
      <c r="F200" s="30">
        <v>2.744335687161791</v>
      </c>
      <c r="G200" s="30">
        <v>3.415717099110736</v>
      </c>
      <c r="H200" s="30">
        <v>2.9649860131810897</v>
      </c>
      <c r="I200" s="30">
        <v>3.9362681896972624</v>
      </c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</row>
    <row r="201" spans="1:70" x14ac:dyDescent="0.25">
      <c r="A201" s="35" t="s">
        <v>67</v>
      </c>
      <c r="B201" s="35" t="s">
        <v>173</v>
      </c>
      <c r="C201" s="35" t="s">
        <v>119</v>
      </c>
      <c r="D201" s="72">
        <v>42107</v>
      </c>
      <c r="E201" s="35">
        <v>29754</v>
      </c>
      <c r="F201" s="30">
        <v>0.38371662233232684</v>
      </c>
      <c r="G201" s="30">
        <v>0.42981724674000898</v>
      </c>
      <c r="H201" s="30">
        <v>0.32096891646176284</v>
      </c>
      <c r="I201" s="30">
        <v>0.36259827782987547</v>
      </c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</row>
    <row r="202" spans="1:70" x14ac:dyDescent="0.25">
      <c r="A202" s="35" t="s">
        <v>67</v>
      </c>
      <c r="B202" s="35" t="s">
        <v>173</v>
      </c>
      <c r="C202" s="35" t="s">
        <v>120</v>
      </c>
      <c r="D202" s="72">
        <v>42107</v>
      </c>
      <c r="E202" s="35">
        <v>29754</v>
      </c>
      <c r="F202" s="30">
        <v>5.5193533801144481</v>
      </c>
      <c r="G202" s="30">
        <v>4.0543494897043333</v>
      </c>
      <c r="H202" s="30">
        <v>4.2429924879031953</v>
      </c>
      <c r="I202" s="30">
        <v>3.6754195302208146</v>
      </c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</row>
    <row r="203" spans="1:70" x14ac:dyDescent="0.25">
      <c r="A203" s="35" t="s">
        <v>67</v>
      </c>
      <c r="B203" s="35" t="s">
        <v>173</v>
      </c>
      <c r="C203" s="35" t="s">
        <v>121</v>
      </c>
      <c r="D203" s="72">
        <v>42107</v>
      </c>
      <c r="E203" s="35">
        <v>29754</v>
      </c>
      <c r="F203">
        <v>16.534505049958142</v>
      </c>
      <c r="G203">
        <v>12.145745614574421</v>
      </c>
      <c r="H203">
        <v>12.71086953245875</v>
      </c>
      <c r="I203">
        <v>11.010572905533138</v>
      </c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</row>
    <row r="204" spans="1:70" x14ac:dyDescent="0.25">
      <c r="A204" s="35" t="s">
        <v>67</v>
      </c>
      <c r="B204" s="35" t="s">
        <v>173</v>
      </c>
      <c r="C204" s="35" t="s">
        <v>82</v>
      </c>
      <c r="D204" s="72">
        <v>42107</v>
      </c>
      <c r="E204" s="35">
        <v>29754</v>
      </c>
      <c r="F204" s="52">
        <v>-8.3620000000000001</v>
      </c>
      <c r="G204" s="52">
        <v>-7.9749999999999996</v>
      </c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</row>
    <row r="205" spans="1:70" x14ac:dyDescent="0.25">
      <c r="A205" s="35" t="s">
        <v>67</v>
      </c>
      <c r="B205" s="35" t="s">
        <v>173</v>
      </c>
      <c r="C205" s="35" t="s">
        <v>83</v>
      </c>
      <c r="D205" s="72">
        <v>42107</v>
      </c>
      <c r="E205" s="35">
        <v>29754</v>
      </c>
      <c r="F205" s="52">
        <v>0.73599999999999999</v>
      </c>
      <c r="G205" s="52">
        <v>0.99199999999999999</v>
      </c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</row>
    <row r="206" spans="1:70" x14ac:dyDescent="0.25">
      <c r="A206" s="35" t="s">
        <v>67</v>
      </c>
      <c r="B206" s="35" t="s">
        <v>173</v>
      </c>
      <c r="C206" s="35" t="s">
        <v>80</v>
      </c>
      <c r="D206" s="72">
        <v>42107</v>
      </c>
      <c r="E206" s="35">
        <v>29754</v>
      </c>
      <c r="F206" s="43">
        <v>-7.7889999999999997</v>
      </c>
      <c r="G206" s="43">
        <v>-8.2119999999999997</v>
      </c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</row>
    <row r="207" spans="1:70" x14ac:dyDescent="0.25">
      <c r="A207" s="35" t="s">
        <v>67</v>
      </c>
      <c r="B207" s="35" t="s">
        <v>173</v>
      </c>
      <c r="C207" s="35" t="s">
        <v>81</v>
      </c>
      <c r="D207" s="72">
        <v>42107</v>
      </c>
      <c r="E207" s="35">
        <v>29754</v>
      </c>
      <c r="F207" s="43">
        <v>0.66400000000000003</v>
      </c>
      <c r="G207" s="43">
        <v>0.69599999999999995</v>
      </c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</row>
    <row r="208" spans="1:70" x14ac:dyDescent="0.25">
      <c r="A208" s="35" t="s">
        <v>67</v>
      </c>
      <c r="B208" s="35" t="s">
        <v>173</v>
      </c>
      <c r="C208" s="35" t="s">
        <v>38</v>
      </c>
      <c r="D208" s="72">
        <v>42107</v>
      </c>
      <c r="E208" s="35">
        <v>29754</v>
      </c>
      <c r="F208" s="38">
        <v>47.438859356590726</v>
      </c>
      <c r="G208" s="64">
        <v>44.4663787630925</v>
      </c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</row>
    <row r="209" spans="1:70" x14ac:dyDescent="0.25">
      <c r="A209" s="35" t="s">
        <v>67</v>
      </c>
      <c r="B209" s="35" t="s">
        <v>173</v>
      </c>
      <c r="C209" s="35" t="s">
        <v>39</v>
      </c>
      <c r="D209" s="72">
        <v>42107</v>
      </c>
      <c r="E209" s="35">
        <v>29754</v>
      </c>
      <c r="F209" s="38">
        <v>7.6721956526745239E-2</v>
      </c>
      <c r="G209" s="64">
        <v>7.0048971654045208E-2</v>
      </c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</row>
    <row r="210" spans="1:70" x14ac:dyDescent="0.25">
      <c r="A210" s="35" t="s">
        <v>67</v>
      </c>
      <c r="B210" s="35" t="s">
        <v>173</v>
      </c>
      <c r="C210" s="35" t="s">
        <v>40</v>
      </c>
      <c r="D210" s="72">
        <v>42107</v>
      </c>
      <c r="E210" s="35">
        <v>29754</v>
      </c>
      <c r="F210" s="38">
        <v>142.4914154282325</v>
      </c>
      <c r="G210" s="64">
        <v>143.00605119886228</v>
      </c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</row>
    <row r="211" spans="1:70" x14ac:dyDescent="0.25">
      <c r="A211" s="35" t="s">
        <v>67</v>
      </c>
      <c r="B211" s="35" t="s">
        <v>173</v>
      </c>
      <c r="C211" s="35" t="s">
        <v>41</v>
      </c>
      <c r="D211" s="72">
        <v>42107</v>
      </c>
      <c r="E211" s="35">
        <v>29754</v>
      </c>
      <c r="F211" s="38">
        <v>0.56898931203936198</v>
      </c>
      <c r="G211" s="64">
        <v>0.55980016558391765</v>
      </c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</row>
    <row r="212" spans="1:70" x14ac:dyDescent="0.25">
      <c r="A212" s="35" t="s">
        <v>67</v>
      </c>
      <c r="B212" s="35" t="s">
        <v>173</v>
      </c>
      <c r="C212" s="35" t="s">
        <v>46</v>
      </c>
      <c r="D212" s="72">
        <v>42107</v>
      </c>
      <c r="E212" s="35">
        <v>29754</v>
      </c>
      <c r="F212" s="55">
        <v>174.62175925925936</v>
      </c>
      <c r="G212" s="55">
        <v>177.4874999999999</v>
      </c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</row>
    <row r="213" spans="1:70" x14ac:dyDescent="0.25">
      <c r="A213" s="35" t="s">
        <v>67</v>
      </c>
      <c r="B213" s="35" t="s">
        <v>173</v>
      </c>
      <c r="C213" s="35" t="s">
        <v>47</v>
      </c>
      <c r="D213" s="72">
        <v>42107</v>
      </c>
      <c r="E213" s="35">
        <v>29754</v>
      </c>
      <c r="F213" s="55">
        <v>0.48490435185185149</v>
      </c>
      <c r="G213" s="55">
        <v>0.48606437500000022</v>
      </c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</row>
    <row r="214" spans="1:70" x14ac:dyDescent="0.25">
      <c r="A214" s="35" t="s">
        <v>67</v>
      </c>
      <c r="B214" s="35" t="s">
        <v>173</v>
      </c>
      <c r="C214" s="35" t="s">
        <v>54</v>
      </c>
      <c r="D214" s="72">
        <v>42107</v>
      </c>
      <c r="E214" s="35">
        <v>29754</v>
      </c>
      <c r="F214" s="55">
        <v>753.46</v>
      </c>
      <c r="G214" s="55">
        <v>767.14</v>
      </c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</row>
    <row r="215" spans="1:70" x14ac:dyDescent="0.25">
      <c r="A215" s="35" t="s">
        <v>67</v>
      </c>
      <c r="B215" s="35" t="s">
        <v>173</v>
      </c>
      <c r="C215" s="35" t="s">
        <v>55</v>
      </c>
      <c r="D215" s="72">
        <v>42107</v>
      </c>
      <c r="E215" s="35">
        <v>29754</v>
      </c>
      <c r="F215" s="55">
        <v>86.714000000000013</v>
      </c>
      <c r="G215" s="55">
        <v>90.123999999999995</v>
      </c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</row>
    <row r="216" spans="1:70" x14ac:dyDescent="0.25">
      <c r="A216" s="35" t="s">
        <v>67</v>
      </c>
      <c r="B216" s="35" t="s">
        <v>173</v>
      </c>
      <c r="C216" s="35" t="s">
        <v>68</v>
      </c>
      <c r="D216" s="72">
        <v>42107</v>
      </c>
      <c r="E216" s="35">
        <v>29754</v>
      </c>
      <c r="F216" s="50">
        <v>0</v>
      </c>
      <c r="G216" s="35">
        <v>0</v>
      </c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</row>
    <row r="217" spans="1:70" x14ac:dyDescent="0.25">
      <c r="A217" s="35" t="s">
        <v>67</v>
      </c>
      <c r="B217" s="35" t="s">
        <v>173</v>
      </c>
      <c r="C217" s="35" t="s">
        <v>70</v>
      </c>
      <c r="D217" s="72">
        <v>42107</v>
      </c>
      <c r="E217" s="35">
        <v>29754</v>
      </c>
      <c r="F217" s="46">
        <v>117.3</v>
      </c>
      <c r="G217" s="46">
        <v>112.8</v>
      </c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</row>
    <row r="218" spans="1:70" x14ac:dyDescent="0.25">
      <c r="A218" s="35" t="s">
        <v>67</v>
      </c>
      <c r="B218" s="35" t="s">
        <v>173</v>
      </c>
      <c r="C218" s="35" t="s">
        <v>71</v>
      </c>
      <c r="D218" s="72">
        <v>42107</v>
      </c>
      <c r="E218" s="35">
        <v>29754</v>
      </c>
      <c r="F218" s="46">
        <v>123.5</v>
      </c>
      <c r="G218" s="46">
        <v>117.1</v>
      </c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</row>
    <row r="219" spans="1:70" ht="15.75" thickBot="1" x14ac:dyDescent="0.3">
      <c r="A219" s="40" t="s">
        <v>67</v>
      </c>
      <c r="B219" s="40" t="s">
        <v>173</v>
      </c>
      <c r="C219" s="40" t="s">
        <v>84</v>
      </c>
      <c r="D219" s="73">
        <v>42107</v>
      </c>
      <c r="E219" s="40">
        <v>29754</v>
      </c>
      <c r="F219" s="65">
        <v>6.2000000000000028</v>
      </c>
      <c r="G219" s="65">
        <v>4.2999999999999972</v>
      </c>
      <c r="H219" s="40"/>
      <c r="I219" s="40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</row>
    <row r="220" spans="1:70" x14ac:dyDescent="0.25">
      <c r="A220" s="35" t="s">
        <v>67</v>
      </c>
      <c r="B220" s="35" t="s">
        <v>173</v>
      </c>
      <c r="C220" s="35" t="s">
        <v>117</v>
      </c>
      <c r="D220" s="72">
        <v>42107</v>
      </c>
      <c r="E220" s="35">
        <v>29764</v>
      </c>
      <c r="F220" s="16">
        <v>0.12052237526831081</v>
      </c>
      <c r="G220" s="30">
        <v>0.11079969367704531</v>
      </c>
      <c r="H220" s="16">
        <v>0.12447973398602355</v>
      </c>
      <c r="I220" s="30">
        <v>0.16240105683147987</v>
      </c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</row>
    <row r="221" spans="1:70" x14ac:dyDescent="0.25">
      <c r="A221" s="35" t="s">
        <v>67</v>
      </c>
      <c r="B221" s="35" t="s">
        <v>173</v>
      </c>
      <c r="C221" s="35" t="s">
        <v>118</v>
      </c>
      <c r="D221" s="72">
        <v>42107</v>
      </c>
      <c r="E221" s="35">
        <v>29764</v>
      </c>
      <c r="F221" s="30">
        <v>2.8046322699398338</v>
      </c>
      <c r="G221" s="30">
        <v>2.3066924194624181</v>
      </c>
      <c r="H221" s="30">
        <v>2.2783353366736931</v>
      </c>
      <c r="I221" s="30">
        <v>2.2449241711090751</v>
      </c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</row>
    <row r="222" spans="1:70" x14ac:dyDescent="0.25">
      <c r="A222" s="35" t="s">
        <v>67</v>
      </c>
      <c r="B222" s="35" t="s">
        <v>173</v>
      </c>
      <c r="C222" s="35" t="s">
        <v>119</v>
      </c>
      <c r="D222" s="72">
        <v>42107</v>
      </c>
      <c r="E222" s="35">
        <v>29764</v>
      </c>
      <c r="F222" s="16">
        <v>0.36734781893587831</v>
      </c>
      <c r="G222" s="53">
        <v>0.38582090910829836</v>
      </c>
      <c r="H222" s="30">
        <v>0.28092533264724928</v>
      </c>
      <c r="I222" s="30">
        <v>0.28361430308874597</v>
      </c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</row>
    <row r="223" spans="1:70" x14ac:dyDescent="0.25">
      <c r="A223" s="35" t="s">
        <v>67</v>
      </c>
      <c r="B223" s="35" t="s">
        <v>173</v>
      </c>
      <c r="C223" s="35" t="s">
        <v>120</v>
      </c>
      <c r="D223" s="72">
        <v>42107</v>
      </c>
      <c r="E223" s="35">
        <v>29764</v>
      </c>
      <c r="F223" s="16">
        <v>4.0201833448442459</v>
      </c>
      <c r="G223" s="53">
        <v>5.0255468192553749</v>
      </c>
      <c r="H223" s="30">
        <v>5.0783820228684071</v>
      </c>
      <c r="I223" s="30">
        <v>5.5179088926001221</v>
      </c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</row>
    <row r="224" spans="1:70" x14ac:dyDescent="0.25">
      <c r="A224" s="35" t="s">
        <v>67</v>
      </c>
      <c r="B224" s="35" t="s">
        <v>173</v>
      </c>
      <c r="C224" s="35" t="s">
        <v>121</v>
      </c>
      <c r="D224" s="72">
        <v>42107</v>
      </c>
      <c r="E224" s="35">
        <v>29764</v>
      </c>
      <c r="F224">
        <v>12.043392991754137</v>
      </c>
      <c r="G224">
        <v>15.055192798699938</v>
      </c>
      <c r="H224">
        <v>15.213472923343295</v>
      </c>
      <c r="I224">
        <v>16.530177752092744</v>
      </c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</row>
    <row r="225" spans="1:70" x14ac:dyDescent="0.25">
      <c r="A225" s="35" t="s">
        <v>67</v>
      </c>
      <c r="B225" s="35" t="s">
        <v>173</v>
      </c>
      <c r="C225" s="35" t="s">
        <v>82</v>
      </c>
      <c r="D225" s="72">
        <v>42107</v>
      </c>
      <c r="E225" s="35">
        <v>29764</v>
      </c>
      <c r="F225" s="52">
        <v>-8.0250000000000004</v>
      </c>
      <c r="G225" s="52">
        <v>-8.0350000000000001</v>
      </c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</row>
    <row r="226" spans="1:70" x14ac:dyDescent="0.25">
      <c r="A226" s="35" t="s">
        <v>67</v>
      </c>
      <c r="B226" s="35" t="s">
        <v>173</v>
      </c>
      <c r="C226" s="35" t="s">
        <v>83</v>
      </c>
      <c r="D226" s="72">
        <v>42107</v>
      </c>
      <c r="E226" s="35">
        <v>29764</v>
      </c>
      <c r="F226" s="52">
        <v>0.72399999999999998</v>
      </c>
      <c r="G226" s="52">
        <v>0.86399999999999999</v>
      </c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</row>
    <row r="227" spans="1:70" x14ac:dyDescent="0.25">
      <c r="A227" s="35" t="s">
        <v>67</v>
      </c>
      <c r="B227" s="35" t="s">
        <v>173</v>
      </c>
      <c r="C227" s="35" t="s">
        <v>80</v>
      </c>
      <c r="D227" s="72">
        <v>42107</v>
      </c>
      <c r="E227" s="35">
        <v>29764</v>
      </c>
      <c r="F227" s="43">
        <v>-8.0739999999999998</v>
      </c>
      <c r="G227" s="43">
        <v>-8.4269999999999996</v>
      </c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</row>
    <row r="228" spans="1:70" x14ac:dyDescent="0.25">
      <c r="A228" s="35" t="s">
        <v>67</v>
      </c>
      <c r="B228" s="35" t="s">
        <v>173</v>
      </c>
      <c r="C228" s="35" t="s">
        <v>81</v>
      </c>
      <c r="D228" s="72">
        <v>42107</v>
      </c>
      <c r="E228" s="35">
        <v>29764</v>
      </c>
      <c r="F228" s="43">
        <v>0.94</v>
      </c>
      <c r="G228" s="43">
        <v>0.78400000000000003</v>
      </c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</row>
    <row r="229" spans="1:70" x14ac:dyDescent="0.25">
      <c r="A229" s="35" t="s">
        <v>67</v>
      </c>
      <c r="B229" s="35" t="s">
        <v>173</v>
      </c>
      <c r="C229" s="35" t="s">
        <v>38</v>
      </c>
      <c r="D229" s="72">
        <v>42107</v>
      </c>
      <c r="E229" s="35">
        <v>29764</v>
      </c>
      <c r="F229" s="38">
        <v>38.838325332217977</v>
      </c>
      <c r="G229" s="64">
        <v>41.203062160278357</v>
      </c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</row>
    <row r="230" spans="1:70" x14ac:dyDescent="0.25">
      <c r="A230" s="35" t="s">
        <v>67</v>
      </c>
      <c r="B230" s="35" t="s">
        <v>173</v>
      </c>
      <c r="C230" s="35" t="s">
        <v>39</v>
      </c>
      <c r="D230" s="72">
        <v>42107</v>
      </c>
      <c r="E230" s="35">
        <v>29764</v>
      </c>
      <c r="F230" s="38">
        <v>6.2385197861910269E-2</v>
      </c>
      <c r="G230" s="64">
        <v>6.3632757103962559E-2</v>
      </c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</row>
    <row r="231" spans="1:70" x14ac:dyDescent="0.25">
      <c r="A231" s="35" t="s">
        <v>67</v>
      </c>
      <c r="B231" s="35" t="s">
        <v>173</v>
      </c>
      <c r="C231" s="35" t="s">
        <v>40</v>
      </c>
      <c r="D231" s="72">
        <v>42107</v>
      </c>
      <c r="E231" s="35">
        <v>29764</v>
      </c>
      <c r="F231" s="38">
        <v>124.84203267474352</v>
      </c>
      <c r="G231" s="64">
        <v>132.82570846217146</v>
      </c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</row>
    <row r="232" spans="1:70" x14ac:dyDescent="0.25">
      <c r="A232" s="35" t="s">
        <v>67</v>
      </c>
      <c r="B232" s="35" t="s">
        <v>173</v>
      </c>
      <c r="C232" s="35" t="s">
        <v>41</v>
      </c>
      <c r="D232" s="72">
        <v>42107</v>
      </c>
      <c r="E232" s="35">
        <v>29764</v>
      </c>
      <c r="F232" s="38">
        <v>0.50006430180964612</v>
      </c>
      <c r="G232" s="64">
        <v>0.52028844005664798</v>
      </c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</row>
    <row r="233" spans="1:70" x14ac:dyDescent="0.25">
      <c r="A233" s="35" t="s">
        <v>67</v>
      </c>
      <c r="B233" s="35" t="s">
        <v>173</v>
      </c>
      <c r="C233" s="35" t="s">
        <v>46</v>
      </c>
      <c r="D233" s="72">
        <v>42107</v>
      </c>
      <c r="E233" s="35">
        <v>29764</v>
      </c>
      <c r="F233" s="55">
        <v>157.89473684210535</v>
      </c>
      <c r="G233" s="55">
        <v>172.72187500000001</v>
      </c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</row>
    <row r="234" spans="1:70" x14ac:dyDescent="0.25">
      <c r="A234" s="35" t="s">
        <v>67</v>
      </c>
      <c r="B234" s="35" t="s">
        <v>173</v>
      </c>
      <c r="C234" s="35" t="s">
        <v>47</v>
      </c>
      <c r="D234" s="72">
        <v>42107</v>
      </c>
      <c r="E234" s="35">
        <v>29764</v>
      </c>
      <c r="F234" s="55">
        <v>0.49325399999999986</v>
      </c>
      <c r="G234" s="55">
        <v>0.47355187500000007</v>
      </c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</row>
    <row r="235" spans="1:70" x14ac:dyDescent="0.25">
      <c r="A235" s="35" t="s">
        <v>67</v>
      </c>
      <c r="B235" s="35" t="s">
        <v>173</v>
      </c>
      <c r="C235" s="35" t="s">
        <v>54</v>
      </c>
      <c r="D235" s="72">
        <v>42107</v>
      </c>
      <c r="E235" s="35">
        <v>29764</v>
      </c>
      <c r="F235" s="55">
        <v>761.91999999999985</v>
      </c>
      <c r="G235" s="55">
        <v>783.4799999999999</v>
      </c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</row>
    <row r="236" spans="1:70" x14ac:dyDescent="0.25">
      <c r="A236" s="35" t="s">
        <v>67</v>
      </c>
      <c r="B236" s="35" t="s">
        <v>173</v>
      </c>
      <c r="C236" s="35" t="s">
        <v>55</v>
      </c>
      <c r="D236" s="72">
        <v>42107</v>
      </c>
      <c r="E236" s="35">
        <v>29764</v>
      </c>
      <c r="F236" s="55">
        <v>90.624000000000009</v>
      </c>
      <c r="G236" s="55">
        <v>89.822000000000003</v>
      </c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</row>
    <row r="237" spans="1:70" x14ac:dyDescent="0.25">
      <c r="A237" s="35" t="s">
        <v>67</v>
      </c>
      <c r="B237" s="35" t="s">
        <v>173</v>
      </c>
      <c r="C237" s="35" t="s">
        <v>68</v>
      </c>
      <c r="D237" s="72">
        <v>42107</v>
      </c>
      <c r="E237" s="35">
        <v>29764</v>
      </c>
      <c r="F237" s="50">
        <v>1</v>
      </c>
      <c r="G237" s="35">
        <v>1</v>
      </c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</row>
    <row r="238" spans="1:70" x14ac:dyDescent="0.25">
      <c r="A238" s="35" t="s">
        <v>67</v>
      </c>
      <c r="B238" s="35" t="s">
        <v>173</v>
      </c>
      <c r="C238" s="35" t="s">
        <v>70</v>
      </c>
      <c r="D238" s="72">
        <v>42107</v>
      </c>
      <c r="E238" s="35">
        <v>29764</v>
      </c>
      <c r="F238" s="46">
        <v>113.7</v>
      </c>
      <c r="G238" s="46">
        <v>116.6</v>
      </c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</row>
    <row r="239" spans="1:70" x14ac:dyDescent="0.25">
      <c r="A239" s="35" t="s">
        <v>67</v>
      </c>
      <c r="B239" s="35" t="s">
        <v>173</v>
      </c>
      <c r="C239" s="35" t="s">
        <v>71</v>
      </c>
      <c r="D239" s="72">
        <v>42107</v>
      </c>
      <c r="E239" s="35">
        <v>29764</v>
      </c>
      <c r="F239" s="46">
        <v>113.6</v>
      </c>
      <c r="G239" s="46">
        <v>113.7</v>
      </c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</row>
    <row r="240" spans="1:70" x14ac:dyDescent="0.25">
      <c r="A240" s="35" t="s">
        <v>67</v>
      </c>
      <c r="B240" s="35" t="s">
        <v>173</v>
      </c>
      <c r="C240" s="35" t="s">
        <v>84</v>
      </c>
      <c r="D240" s="72">
        <v>42107</v>
      </c>
      <c r="E240" s="35">
        <v>29764</v>
      </c>
      <c r="F240" s="46">
        <v>-0.10000000000000853</v>
      </c>
      <c r="G240" s="46">
        <v>-2.8999999999999915</v>
      </c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</row>
    <row r="241" spans="1:70" ht="15.75" thickBot="1" x14ac:dyDescent="0.3">
      <c r="A241" s="40" t="s">
        <v>67</v>
      </c>
      <c r="B241" s="40" t="s">
        <v>173</v>
      </c>
      <c r="C241" s="40" t="s">
        <v>69</v>
      </c>
      <c r="D241" s="73">
        <v>42107</v>
      </c>
      <c r="E241" s="40">
        <v>29764</v>
      </c>
      <c r="F241" s="65">
        <v>114.8</v>
      </c>
      <c r="G241" s="65">
        <v>117.4</v>
      </c>
      <c r="H241" s="40"/>
      <c r="I241" s="40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</row>
    <row r="242" spans="1:70" x14ac:dyDescent="0.25">
      <c r="A242" s="35" t="s">
        <v>67</v>
      </c>
      <c r="B242" s="35" t="s">
        <v>173</v>
      </c>
      <c r="C242" s="35" t="s">
        <v>117</v>
      </c>
      <c r="D242" s="72">
        <v>42107</v>
      </c>
      <c r="E242" s="35">
        <v>29774</v>
      </c>
      <c r="F242" s="16">
        <v>1.5640109302444909E-2</v>
      </c>
      <c r="G242" s="30">
        <v>3.5801244270814603E-2</v>
      </c>
      <c r="H242" s="30">
        <v>2.1409895741816391E-2</v>
      </c>
      <c r="I242" s="30">
        <v>2.9583917630093281E-2</v>
      </c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</row>
    <row r="243" spans="1:70" x14ac:dyDescent="0.25">
      <c r="A243" s="35" t="s">
        <v>67</v>
      </c>
      <c r="B243" s="35" t="s">
        <v>173</v>
      </c>
      <c r="C243" s="35" t="s">
        <v>118</v>
      </c>
      <c r="D243" s="72">
        <v>42107</v>
      </c>
      <c r="E243" s="35">
        <v>29774</v>
      </c>
      <c r="F243" s="30">
        <v>3.9764529313085974</v>
      </c>
      <c r="G243" s="30">
        <v>4.3002136861493447</v>
      </c>
      <c r="H243" s="30">
        <v>5.554174699921246</v>
      </c>
      <c r="I243" s="30">
        <v>4.0808792784972807</v>
      </c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</row>
    <row r="244" spans="1:70" x14ac:dyDescent="0.25">
      <c r="A244" s="35" t="s">
        <v>67</v>
      </c>
      <c r="B244" s="35" t="s">
        <v>173</v>
      </c>
      <c r="C244" s="35" t="s">
        <v>119</v>
      </c>
      <c r="D244" s="72">
        <v>42107</v>
      </c>
      <c r="E244" s="35">
        <v>29774</v>
      </c>
      <c r="F244" s="30">
        <v>0.38477431796669642</v>
      </c>
      <c r="G244" s="30">
        <v>0.41506396051441369</v>
      </c>
      <c r="H244" s="30">
        <v>0.36857892947118659</v>
      </c>
      <c r="I244" s="30">
        <v>0.3382210009459351</v>
      </c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</row>
    <row r="245" spans="1:70" x14ac:dyDescent="0.25">
      <c r="A245" s="35" t="s">
        <v>67</v>
      </c>
      <c r="B245" s="35" t="s">
        <v>173</v>
      </c>
      <c r="C245" s="35" t="s">
        <v>120</v>
      </c>
      <c r="D245" s="72">
        <v>42107</v>
      </c>
      <c r="E245" s="35">
        <v>29774</v>
      </c>
      <c r="F245" s="30">
        <v>2.7419240984456588</v>
      </c>
      <c r="G245" s="30">
        <v>2.4699096266958631</v>
      </c>
      <c r="H245" s="30">
        <v>2.0617477054812268</v>
      </c>
      <c r="I245" s="30">
        <v>2.7833520727667636</v>
      </c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</row>
    <row r="246" spans="1:70" x14ac:dyDescent="0.25">
      <c r="A246" s="35" t="s">
        <v>67</v>
      </c>
      <c r="B246" s="35" t="s">
        <v>173</v>
      </c>
      <c r="C246" s="35" t="s">
        <v>121</v>
      </c>
      <c r="D246" s="72">
        <v>42107</v>
      </c>
      <c r="E246" s="35">
        <v>29774</v>
      </c>
      <c r="F246">
        <v>8.2140705133490872</v>
      </c>
      <c r="G246">
        <v>7.399187981454479</v>
      </c>
      <c r="H246">
        <v>6.1764441412359972</v>
      </c>
      <c r="I246">
        <v>8.3381776330507869</v>
      </c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</row>
    <row r="247" spans="1:70" x14ac:dyDescent="0.25">
      <c r="A247" s="35" t="s">
        <v>67</v>
      </c>
      <c r="B247" s="35" t="s">
        <v>173</v>
      </c>
      <c r="C247" s="35" t="s">
        <v>82</v>
      </c>
      <c r="D247" s="72">
        <v>42107</v>
      </c>
      <c r="E247" s="35">
        <v>29774</v>
      </c>
      <c r="F247" s="52">
        <v>-7.6820000000000004</v>
      </c>
      <c r="G247" s="52">
        <v>-7.2839999999999998</v>
      </c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</row>
    <row r="248" spans="1:70" x14ac:dyDescent="0.25">
      <c r="A248" s="35" t="s">
        <v>67</v>
      </c>
      <c r="B248" s="35" t="s">
        <v>173</v>
      </c>
      <c r="C248" s="35" t="s">
        <v>83</v>
      </c>
      <c r="D248" s="72">
        <v>42107</v>
      </c>
      <c r="E248" s="35">
        <v>29774</v>
      </c>
      <c r="F248" s="52">
        <v>0.79600000000000004</v>
      </c>
      <c r="G248" s="52">
        <v>0.71199999999999997</v>
      </c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</row>
    <row r="249" spans="1:70" x14ac:dyDescent="0.25">
      <c r="A249" s="35" t="s">
        <v>67</v>
      </c>
      <c r="B249" s="35" t="s">
        <v>173</v>
      </c>
      <c r="C249" s="35" t="s">
        <v>80</v>
      </c>
      <c r="D249" s="72">
        <v>42107</v>
      </c>
      <c r="E249" s="35">
        <v>29774</v>
      </c>
      <c r="F249" s="43">
        <v>-7.4969999999999999</v>
      </c>
      <c r="G249" s="43">
        <v>-7.4409999999999998</v>
      </c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</row>
    <row r="250" spans="1:70" x14ac:dyDescent="0.25">
      <c r="A250" s="35" t="s">
        <v>67</v>
      </c>
      <c r="B250" s="35" t="s">
        <v>173</v>
      </c>
      <c r="C250" s="35" t="s">
        <v>81</v>
      </c>
      <c r="D250" s="72">
        <v>42107</v>
      </c>
      <c r="E250" s="35">
        <v>29774</v>
      </c>
      <c r="F250" s="43">
        <v>0.96</v>
      </c>
      <c r="G250" s="43">
        <v>0.85599999999999998</v>
      </c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</row>
    <row r="251" spans="1:70" x14ac:dyDescent="0.25">
      <c r="A251" s="35" t="s">
        <v>67</v>
      </c>
      <c r="B251" s="35" t="s">
        <v>173</v>
      </c>
      <c r="C251" s="35" t="s">
        <v>38</v>
      </c>
      <c r="D251" s="72">
        <v>42107</v>
      </c>
      <c r="E251" s="35">
        <v>29774</v>
      </c>
      <c r="F251" s="38">
        <v>37.686223070308138</v>
      </c>
      <c r="G251" s="64">
        <v>38.558618090277328</v>
      </c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</row>
    <row r="252" spans="1:70" x14ac:dyDescent="0.25">
      <c r="A252" s="35" t="s">
        <v>67</v>
      </c>
      <c r="B252" s="35" t="s">
        <v>173</v>
      </c>
      <c r="C252" s="35" t="s">
        <v>39</v>
      </c>
      <c r="D252" s="72">
        <v>42107</v>
      </c>
      <c r="E252" s="35">
        <v>29774</v>
      </c>
      <c r="F252" s="38">
        <v>6.194329309282564E-2</v>
      </c>
      <c r="G252" s="64">
        <v>6.293672951257917E-2</v>
      </c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</row>
    <row r="253" spans="1:70" x14ac:dyDescent="0.25">
      <c r="A253" s="35" t="s">
        <v>67</v>
      </c>
      <c r="B253" s="35" t="s">
        <v>173</v>
      </c>
      <c r="C253" s="35" t="s">
        <v>40</v>
      </c>
      <c r="D253" s="72">
        <v>42107</v>
      </c>
      <c r="E253" s="35">
        <v>29774</v>
      </c>
      <c r="F253" s="38">
        <v>124.53308982624391</v>
      </c>
      <c r="G253" s="64">
        <v>125.17993304655334</v>
      </c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</row>
    <row r="254" spans="1:70" x14ac:dyDescent="0.25">
      <c r="A254" s="35" t="s">
        <v>67</v>
      </c>
      <c r="B254" s="35" t="s">
        <v>173</v>
      </c>
      <c r="C254" s="35" t="s">
        <v>41</v>
      </c>
      <c r="D254" s="72">
        <v>42107</v>
      </c>
      <c r="E254" s="35">
        <v>29774</v>
      </c>
      <c r="F254" s="38">
        <v>0.52761265095779208</v>
      </c>
      <c r="G254" s="64">
        <v>0.53366037766502306</v>
      </c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</row>
    <row r="255" spans="1:70" x14ac:dyDescent="0.25">
      <c r="A255" s="35" t="s">
        <v>67</v>
      </c>
      <c r="B255" s="35" t="s">
        <v>173</v>
      </c>
      <c r="C255" s="35" t="s">
        <v>46</v>
      </c>
      <c r="D255" s="72">
        <v>42107</v>
      </c>
      <c r="E255" s="35">
        <v>29774</v>
      </c>
      <c r="F255" s="55">
        <v>188.41585903083717</v>
      </c>
      <c r="G255" s="55">
        <v>187.49349593495936</v>
      </c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</row>
    <row r="256" spans="1:70" x14ac:dyDescent="0.25">
      <c r="A256" s="35" t="s">
        <v>67</v>
      </c>
      <c r="B256" s="35" t="s">
        <v>173</v>
      </c>
      <c r="C256" s="35" t="s">
        <v>47</v>
      </c>
      <c r="D256" s="72">
        <v>42107</v>
      </c>
      <c r="E256" s="35">
        <v>29774</v>
      </c>
      <c r="F256" s="55">
        <v>0.36039061674008788</v>
      </c>
      <c r="G256" s="55">
        <v>0.36226382113821132</v>
      </c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</row>
    <row r="257" spans="1:70" x14ac:dyDescent="0.25">
      <c r="A257" s="35" t="s">
        <v>67</v>
      </c>
      <c r="B257" s="35" t="s">
        <v>173</v>
      </c>
      <c r="C257" s="35" t="s">
        <v>54</v>
      </c>
      <c r="D257" s="72">
        <v>42107</v>
      </c>
      <c r="E257" s="35">
        <v>29774</v>
      </c>
      <c r="F257" s="55">
        <v>747.1</v>
      </c>
      <c r="G257" s="55">
        <v>733.4</v>
      </c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</row>
    <row r="258" spans="1:70" x14ac:dyDescent="0.25">
      <c r="A258" s="35" t="s">
        <v>67</v>
      </c>
      <c r="B258" s="35" t="s">
        <v>173</v>
      </c>
      <c r="C258" s="35" t="s">
        <v>55</v>
      </c>
      <c r="D258" s="72">
        <v>42107</v>
      </c>
      <c r="E258" s="35">
        <v>29774</v>
      </c>
      <c r="F258" s="55">
        <v>91.065999999999988</v>
      </c>
      <c r="G258" s="55">
        <v>90.5</v>
      </c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</row>
    <row r="259" spans="1:70" x14ac:dyDescent="0.25">
      <c r="A259" s="35" t="s">
        <v>67</v>
      </c>
      <c r="B259" s="35" t="s">
        <v>173</v>
      </c>
      <c r="C259" s="35" t="s">
        <v>68</v>
      </c>
      <c r="D259" s="72">
        <v>42107</v>
      </c>
      <c r="E259" s="35">
        <v>29774</v>
      </c>
      <c r="F259" s="50">
        <v>1</v>
      </c>
      <c r="G259" s="35">
        <v>1</v>
      </c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</row>
    <row r="260" spans="1:70" x14ac:dyDescent="0.25">
      <c r="A260" s="35" t="s">
        <v>67</v>
      </c>
      <c r="B260" s="35" t="s">
        <v>173</v>
      </c>
      <c r="C260" s="35" t="s">
        <v>70</v>
      </c>
      <c r="D260" s="72">
        <v>42107</v>
      </c>
      <c r="E260" s="35">
        <v>29774</v>
      </c>
      <c r="F260" s="46">
        <v>102.4</v>
      </c>
      <c r="G260" s="46">
        <v>105.2</v>
      </c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</row>
    <row r="261" spans="1:70" x14ac:dyDescent="0.25">
      <c r="A261" s="35" t="s">
        <v>67</v>
      </c>
      <c r="B261" s="35" t="s">
        <v>173</v>
      </c>
      <c r="C261" s="35" t="s">
        <v>71</v>
      </c>
      <c r="D261" s="72">
        <v>42107</v>
      </c>
      <c r="E261" s="35">
        <v>29774</v>
      </c>
      <c r="F261" s="46">
        <v>98.96</v>
      </c>
      <c r="G261" s="46">
        <v>100.5</v>
      </c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</row>
    <row r="262" spans="1:70" x14ac:dyDescent="0.25">
      <c r="A262" s="35" t="s">
        <v>67</v>
      </c>
      <c r="B262" s="35" t="s">
        <v>173</v>
      </c>
      <c r="C262" s="35" t="s">
        <v>84</v>
      </c>
      <c r="D262" s="72">
        <v>42107</v>
      </c>
      <c r="E262" s="35">
        <v>29774</v>
      </c>
      <c r="F262" s="46">
        <v>-3.4400000000000119</v>
      </c>
      <c r="G262" s="46">
        <v>-4.7000000000000028</v>
      </c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</row>
    <row r="263" spans="1:70" ht="15.75" thickBot="1" x14ac:dyDescent="0.3">
      <c r="A263" s="40" t="s">
        <v>67</v>
      </c>
      <c r="B263" s="40" t="s">
        <v>173</v>
      </c>
      <c r="C263" s="40" t="s">
        <v>69</v>
      </c>
      <c r="D263" s="73">
        <v>42107</v>
      </c>
      <c r="E263" s="40">
        <v>29774</v>
      </c>
      <c r="F263" s="65">
        <v>105.3</v>
      </c>
      <c r="G263" s="65">
        <v>110.6</v>
      </c>
      <c r="H263" s="40"/>
      <c r="I263" s="40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</row>
    <row r="264" spans="1:70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</row>
    <row r="265" spans="1:70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</row>
    <row r="266" spans="1:70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</row>
    <row r="267" spans="1:70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</row>
    <row r="268" spans="1:70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</row>
    <row r="269" spans="1:70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</row>
    <row r="270" spans="1:70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</row>
    <row r="271" spans="1:70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</row>
    <row r="272" spans="1:70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</row>
    <row r="273" spans="1:70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</row>
    <row r="274" spans="1:70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</row>
    <row r="275" spans="1:70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</row>
    <row r="276" spans="1:70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</row>
    <row r="277" spans="1:70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</row>
    <row r="278" spans="1:70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</row>
    <row r="279" spans="1:70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</row>
    <row r="280" spans="1:70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</row>
    <row r="281" spans="1:70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</row>
    <row r="282" spans="1:70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</row>
    <row r="283" spans="1:70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</row>
    <row r="284" spans="1:70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</row>
    <row r="285" spans="1:70" x14ac:dyDescent="0.25">
      <c r="A285"/>
      <c r="B285"/>
      <c r="C285"/>
    </row>
  </sheetData>
  <sortState ref="A2:I133">
    <sortCondition ref="F2:F133"/>
  </sortState>
  <conditionalFormatting sqref="F3">
    <cfRule type="duplicateValues" dxfId="624" priority="189"/>
  </conditionalFormatting>
  <conditionalFormatting sqref="F4:I4">
    <cfRule type="duplicateValues" dxfId="623" priority="188"/>
  </conditionalFormatting>
  <conditionalFormatting sqref="F5:I5">
    <cfRule type="duplicateValues" dxfId="622" priority="187"/>
  </conditionalFormatting>
  <conditionalFormatting sqref="F3:I3">
    <cfRule type="duplicateValues" dxfId="621" priority="186"/>
  </conditionalFormatting>
  <conditionalFormatting sqref="F7:G7">
    <cfRule type="duplicateValues" dxfId="620" priority="172"/>
  </conditionalFormatting>
  <conditionalFormatting sqref="F7:G7">
    <cfRule type="duplicateValues" dxfId="619" priority="169"/>
    <cfRule type="duplicateValues" dxfId="618" priority="170"/>
    <cfRule type="duplicateValues" dxfId="617" priority="171"/>
  </conditionalFormatting>
  <conditionalFormatting sqref="F10">
    <cfRule type="duplicateValues" dxfId="616" priority="165"/>
  </conditionalFormatting>
  <conditionalFormatting sqref="F9:G9">
    <cfRule type="duplicateValues" dxfId="615" priority="163"/>
    <cfRule type="duplicateValues" dxfId="614" priority="164"/>
  </conditionalFormatting>
  <conditionalFormatting sqref="F9:G9">
    <cfRule type="duplicateValues" dxfId="613" priority="162"/>
  </conditionalFormatting>
  <conditionalFormatting sqref="F9:G9">
    <cfRule type="duplicateValues" dxfId="612" priority="159"/>
    <cfRule type="duplicateValues" dxfId="611" priority="160"/>
    <cfRule type="duplicateValues" dxfId="610" priority="161"/>
  </conditionalFormatting>
  <conditionalFormatting sqref="F11:G11">
    <cfRule type="duplicateValues" dxfId="609" priority="155"/>
  </conditionalFormatting>
  <conditionalFormatting sqref="F13:G13">
    <cfRule type="duplicateValues" dxfId="608" priority="154"/>
  </conditionalFormatting>
  <conditionalFormatting sqref="F15:G15">
    <cfRule type="duplicateValues" dxfId="607" priority="153"/>
  </conditionalFormatting>
  <conditionalFormatting sqref="F16:G16">
    <cfRule type="duplicateValues" dxfId="606" priority="147"/>
  </conditionalFormatting>
  <conditionalFormatting sqref="F18:G18">
    <cfRule type="duplicateValues" dxfId="605" priority="144"/>
    <cfRule type="duplicateValues" dxfId="604" priority="145"/>
  </conditionalFormatting>
  <conditionalFormatting sqref="F21:G21">
    <cfRule type="duplicateValues" dxfId="603" priority="143"/>
  </conditionalFormatting>
  <conditionalFormatting sqref="F25">
    <cfRule type="duplicateValues" dxfId="602" priority="142"/>
  </conditionalFormatting>
  <conditionalFormatting sqref="F25:I25">
    <cfRule type="duplicateValues" dxfId="601" priority="139"/>
  </conditionalFormatting>
  <conditionalFormatting sqref="F27:I27">
    <cfRule type="duplicateValues" dxfId="600" priority="132"/>
  </conditionalFormatting>
  <conditionalFormatting sqref="F26:I26">
    <cfRule type="duplicateValues" dxfId="599" priority="131"/>
  </conditionalFormatting>
  <conditionalFormatting sqref="F29:G29">
    <cfRule type="duplicateValues" dxfId="598" priority="129"/>
  </conditionalFormatting>
  <conditionalFormatting sqref="F30:G30">
    <cfRule type="duplicateValues" dxfId="597" priority="128"/>
  </conditionalFormatting>
  <conditionalFormatting sqref="F29:G29">
    <cfRule type="duplicateValues" dxfId="596" priority="123"/>
    <cfRule type="duplicateValues" dxfId="595" priority="124"/>
    <cfRule type="duplicateValues" dxfId="594" priority="125"/>
    <cfRule type="duplicateValues" dxfId="593" priority="126"/>
    <cfRule type="duplicateValues" dxfId="592" priority="127"/>
  </conditionalFormatting>
  <conditionalFormatting sqref="F29:G29">
    <cfRule type="duplicateValues" dxfId="591" priority="119"/>
    <cfRule type="duplicateValues" dxfId="590" priority="120"/>
    <cfRule type="duplicateValues" dxfId="589" priority="121"/>
  </conditionalFormatting>
  <conditionalFormatting sqref="F32">
    <cfRule type="duplicateValues" dxfId="588" priority="115"/>
  </conditionalFormatting>
  <conditionalFormatting sqref="F31:G31">
    <cfRule type="duplicateValues" dxfId="587" priority="113"/>
    <cfRule type="duplicateValues" dxfId="586" priority="114"/>
  </conditionalFormatting>
  <conditionalFormatting sqref="F31:G31">
    <cfRule type="duplicateValues" dxfId="585" priority="112"/>
  </conditionalFormatting>
  <conditionalFormatting sqref="F31:G31">
    <cfRule type="duplicateValues" dxfId="584" priority="109"/>
    <cfRule type="duplicateValues" dxfId="583" priority="110"/>
    <cfRule type="duplicateValues" dxfId="582" priority="111"/>
  </conditionalFormatting>
  <conditionalFormatting sqref="F33:G33">
    <cfRule type="duplicateValues" dxfId="581" priority="105"/>
  </conditionalFormatting>
  <conditionalFormatting sqref="F36:G36">
    <cfRule type="duplicateValues" dxfId="580" priority="104"/>
  </conditionalFormatting>
  <conditionalFormatting sqref="F35:G35">
    <cfRule type="duplicateValues" dxfId="579" priority="103"/>
  </conditionalFormatting>
  <conditionalFormatting sqref="F37:G37">
    <cfRule type="duplicateValues" dxfId="578" priority="100"/>
  </conditionalFormatting>
  <conditionalFormatting sqref="F38:G38">
    <cfRule type="duplicateValues" dxfId="577" priority="97"/>
  </conditionalFormatting>
  <conditionalFormatting sqref="F38:G38">
    <cfRule type="duplicateValues" dxfId="576" priority="95"/>
    <cfRule type="duplicateValues" dxfId="575" priority="96"/>
  </conditionalFormatting>
  <conditionalFormatting sqref="F40:G40">
    <cfRule type="duplicateValues" dxfId="574" priority="92"/>
    <cfRule type="duplicateValues" dxfId="573" priority="93"/>
  </conditionalFormatting>
  <conditionalFormatting sqref="F43:G43">
    <cfRule type="duplicateValues" dxfId="572" priority="91"/>
  </conditionalFormatting>
  <conditionalFormatting sqref="F47">
    <cfRule type="duplicateValues" dxfId="571" priority="90"/>
  </conditionalFormatting>
  <conditionalFormatting sqref="F48:I48">
    <cfRule type="duplicateValues" dxfId="570" priority="89"/>
  </conditionalFormatting>
  <conditionalFormatting sqref="F49:I49">
    <cfRule type="duplicateValues" dxfId="569" priority="88"/>
  </conditionalFormatting>
  <conditionalFormatting sqref="F47:I47">
    <cfRule type="duplicateValues" dxfId="568" priority="87"/>
  </conditionalFormatting>
  <conditionalFormatting sqref="F54">
    <cfRule type="duplicateValues" dxfId="567" priority="71"/>
  </conditionalFormatting>
  <conditionalFormatting sqref="F53:G53">
    <cfRule type="duplicateValues" dxfId="566" priority="69"/>
    <cfRule type="duplicateValues" dxfId="565" priority="70"/>
  </conditionalFormatting>
  <conditionalFormatting sqref="F53:G53">
    <cfRule type="duplicateValues" dxfId="564" priority="68"/>
  </conditionalFormatting>
  <conditionalFormatting sqref="F53:G53">
    <cfRule type="duplicateValues" dxfId="563" priority="65"/>
    <cfRule type="duplicateValues" dxfId="562" priority="66"/>
    <cfRule type="duplicateValues" dxfId="561" priority="67"/>
  </conditionalFormatting>
  <conditionalFormatting sqref="F55:G55">
    <cfRule type="duplicateValues" dxfId="560" priority="61"/>
  </conditionalFormatting>
  <conditionalFormatting sqref="F57:G57">
    <cfRule type="duplicateValues" dxfId="559" priority="60"/>
  </conditionalFormatting>
  <conditionalFormatting sqref="F59:G59">
    <cfRule type="duplicateValues" dxfId="558" priority="59"/>
  </conditionalFormatting>
  <conditionalFormatting sqref="F60:G60">
    <cfRule type="duplicateValues" dxfId="557" priority="57"/>
  </conditionalFormatting>
  <conditionalFormatting sqref="F62:G62">
    <cfRule type="duplicateValues" dxfId="556" priority="54"/>
    <cfRule type="duplicateValues" dxfId="555" priority="55"/>
  </conditionalFormatting>
  <conditionalFormatting sqref="F65:G65">
    <cfRule type="duplicateValues" dxfId="554" priority="53"/>
  </conditionalFormatting>
  <conditionalFormatting sqref="F69">
    <cfRule type="duplicateValues" dxfId="553" priority="52"/>
  </conditionalFormatting>
  <conditionalFormatting sqref="F69:I69">
    <cfRule type="duplicateValues" dxfId="552" priority="49"/>
  </conditionalFormatting>
  <conditionalFormatting sqref="F71:I71">
    <cfRule type="duplicateValues" dxfId="551" priority="42"/>
  </conditionalFormatting>
  <conditionalFormatting sqref="F70:I70">
    <cfRule type="duplicateValues" dxfId="550" priority="41"/>
  </conditionalFormatting>
  <conditionalFormatting sqref="F73:G73">
    <cfRule type="duplicateValues" dxfId="549" priority="39"/>
  </conditionalFormatting>
  <conditionalFormatting sqref="F74:G74">
    <cfRule type="duplicateValues" dxfId="548" priority="38"/>
  </conditionalFormatting>
  <conditionalFormatting sqref="F73:G73">
    <cfRule type="duplicateValues" dxfId="547" priority="33"/>
    <cfRule type="duplicateValues" dxfId="546" priority="34"/>
    <cfRule type="duplicateValues" dxfId="545" priority="35"/>
    <cfRule type="duplicateValues" dxfId="544" priority="36"/>
    <cfRule type="duplicateValues" dxfId="543" priority="37"/>
  </conditionalFormatting>
  <conditionalFormatting sqref="F73:G73">
    <cfRule type="duplicateValues" dxfId="542" priority="29"/>
    <cfRule type="duplicateValues" dxfId="541" priority="30"/>
    <cfRule type="duplicateValues" dxfId="540" priority="31"/>
  </conditionalFormatting>
  <conditionalFormatting sqref="F76">
    <cfRule type="duplicateValues" dxfId="539" priority="25"/>
  </conditionalFormatting>
  <conditionalFormatting sqref="F75:G75">
    <cfRule type="duplicateValues" dxfId="538" priority="23"/>
    <cfRule type="duplicateValues" dxfId="537" priority="24"/>
  </conditionalFormatting>
  <conditionalFormatting sqref="F75:G75">
    <cfRule type="duplicateValues" dxfId="536" priority="22"/>
  </conditionalFormatting>
  <conditionalFormatting sqref="F75:G75">
    <cfRule type="duplicateValues" dxfId="535" priority="19"/>
    <cfRule type="duplicateValues" dxfId="534" priority="20"/>
    <cfRule type="duplicateValues" dxfId="533" priority="21"/>
  </conditionalFormatting>
  <conditionalFormatting sqref="F77:G77">
    <cfRule type="duplicateValues" dxfId="532" priority="15"/>
  </conditionalFormatting>
  <conditionalFormatting sqref="F80:G80">
    <cfRule type="duplicateValues" dxfId="531" priority="14"/>
  </conditionalFormatting>
  <conditionalFormatting sqref="F79:G79">
    <cfRule type="duplicateValues" dxfId="530" priority="13"/>
  </conditionalFormatting>
  <conditionalFormatting sqref="F81:G81">
    <cfRule type="duplicateValues" dxfId="529" priority="10"/>
  </conditionalFormatting>
  <conditionalFormatting sqref="F82:G82">
    <cfRule type="duplicateValues" dxfId="528" priority="7"/>
  </conditionalFormatting>
  <conditionalFormatting sqref="F82:G82">
    <cfRule type="duplicateValues" dxfId="527" priority="5"/>
    <cfRule type="duplicateValues" dxfId="526" priority="6"/>
  </conditionalFormatting>
  <conditionalFormatting sqref="F84:G84">
    <cfRule type="duplicateValues" dxfId="525" priority="2"/>
    <cfRule type="duplicateValues" dxfId="524" priority="3"/>
  </conditionalFormatting>
  <conditionalFormatting sqref="F87:G87">
    <cfRule type="duplicateValues" dxfId="523" priority="1"/>
  </conditionalFormatting>
  <conditionalFormatting sqref="H4:I4">
    <cfRule type="duplicateValues" dxfId="522" priority="1115"/>
  </conditionalFormatting>
  <conditionalFormatting sqref="H5:I5">
    <cfRule type="duplicateValues" dxfId="521" priority="1114"/>
  </conditionalFormatting>
  <conditionalFormatting sqref="H4:I4">
    <cfRule type="duplicateValues" dxfId="520" priority="1108"/>
    <cfRule type="duplicateValues" dxfId="519" priority="1109"/>
    <cfRule type="duplicateValues" dxfId="518" priority="1110"/>
    <cfRule type="duplicateValues" dxfId="517" priority="1111"/>
    <cfRule type="duplicateValues" dxfId="516" priority="1112"/>
  </conditionalFormatting>
  <conditionalFormatting sqref="F8:G8">
    <cfRule type="duplicateValues" dxfId="515" priority="1102"/>
  </conditionalFormatting>
  <conditionalFormatting sqref="F7:G7">
    <cfRule type="duplicateValues" dxfId="514" priority="1097"/>
    <cfRule type="duplicateValues" dxfId="513" priority="1098"/>
    <cfRule type="duplicateValues" dxfId="512" priority="1099"/>
    <cfRule type="duplicateValues" dxfId="511" priority="1100"/>
    <cfRule type="duplicateValues" dxfId="510" priority="1101"/>
  </conditionalFormatting>
  <conditionalFormatting sqref="F14:G14">
    <cfRule type="duplicateValues" dxfId="509" priority="1054"/>
  </conditionalFormatting>
  <conditionalFormatting sqref="F16:G16">
    <cfRule type="duplicateValues" dxfId="508" priority="1045"/>
    <cfRule type="duplicateValues" dxfId="507" priority="1046"/>
  </conditionalFormatting>
  <conditionalFormatting sqref="F17:G17">
    <cfRule type="duplicateValues" dxfId="506" priority="1027"/>
  </conditionalFormatting>
  <conditionalFormatting sqref="F18:G18">
    <cfRule type="duplicateValues" dxfId="505" priority="1026"/>
  </conditionalFormatting>
  <conditionalFormatting sqref="F22:G22">
    <cfRule type="duplicateValues" dxfId="504" priority="1023"/>
  </conditionalFormatting>
  <conditionalFormatting sqref="F26:I26">
    <cfRule type="duplicateValues" dxfId="503" priority="1014"/>
    <cfRule type="duplicateValues" dxfId="502" priority="1015"/>
    <cfRule type="duplicateValues" dxfId="501" priority="1016"/>
    <cfRule type="duplicateValues" dxfId="500" priority="1017"/>
    <cfRule type="duplicateValues" dxfId="499" priority="1018"/>
  </conditionalFormatting>
  <conditionalFormatting sqref="F29">
    <cfRule type="duplicateValues" dxfId="498" priority="1008"/>
    <cfRule type="duplicateValues" dxfId="497" priority="1009"/>
  </conditionalFormatting>
  <conditionalFormatting sqref="F29:G29">
    <cfRule type="duplicateValues" dxfId="496" priority="1006"/>
    <cfRule type="duplicateValues" dxfId="495" priority="1007"/>
  </conditionalFormatting>
  <conditionalFormatting sqref="F39:G39">
    <cfRule type="duplicateValues" dxfId="494" priority="938"/>
  </conditionalFormatting>
  <conditionalFormatting sqref="F40:G40">
    <cfRule type="duplicateValues" dxfId="493" priority="937"/>
  </conditionalFormatting>
  <conditionalFormatting sqref="F44:G44">
    <cfRule type="duplicateValues" dxfId="492" priority="934"/>
  </conditionalFormatting>
  <conditionalFormatting sqref="H48:I48">
    <cfRule type="duplicateValues" dxfId="491" priority="932"/>
  </conditionalFormatting>
  <conditionalFormatting sqref="H49:I49">
    <cfRule type="duplicateValues" dxfId="490" priority="931"/>
  </conditionalFormatting>
  <conditionalFormatting sqref="H48:I48">
    <cfRule type="duplicateValues" dxfId="489" priority="925"/>
    <cfRule type="duplicateValues" dxfId="488" priority="926"/>
    <cfRule type="duplicateValues" dxfId="487" priority="927"/>
    <cfRule type="duplicateValues" dxfId="486" priority="928"/>
    <cfRule type="duplicateValues" dxfId="485" priority="929"/>
  </conditionalFormatting>
  <conditionalFormatting sqref="F51:G51">
    <cfRule type="duplicateValues" dxfId="484" priority="920"/>
  </conditionalFormatting>
  <conditionalFormatting sqref="F52:G52">
    <cfRule type="duplicateValues" dxfId="483" priority="919"/>
  </conditionalFormatting>
  <conditionalFormatting sqref="F51:G51">
    <cfRule type="duplicateValues" dxfId="482" priority="914"/>
    <cfRule type="duplicateValues" dxfId="481" priority="915"/>
    <cfRule type="duplicateValues" dxfId="480" priority="916"/>
    <cfRule type="duplicateValues" dxfId="479" priority="917"/>
    <cfRule type="duplicateValues" dxfId="478" priority="918"/>
  </conditionalFormatting>
  <conditionalFormatting sqref="F51:G51">
    <cfRule type="duplicateValues" dxfId="477" priority="910"/>
    <cfRule type="duplicateValues" dxfId="476" priority="911"/>
    <cfRule type="duplicateValues" dxfId="475" priority="912"/>
  </conditionalFormatting>
  <conditionalFormatting sqref="F58:G58">
    <cfRule type="duplicateValues" dxfId="474" priority="871"/>
  </conditionalFormatting>
  <conditionalFormatting sqref="F60:G60">
    <cfRule type="duplicateValues" dxfId="473" priority="862"/>
    <cfRule type="duplicateValues" dxfId="472" priority="863"/>
  </conditionalFormatting>
  <conditionalFormatting sqref="F61:G61">
    <cfRule type="duplicateValues" dxfId="471" priority="844"/>
  </conditionalFormatting>
  <conditionalFormatting sqref="F62:G62">
    <cfRule type="duplicateValues" dxfId="470" priority="843"/>
  </conditionalFormatting>
  <conditionalFormatting sqref="F66:G66">
    <cfRule type="duplicateValues" dxfId="469" priority="840"/>
  </conditionalFormatting>
  <conditionalFormatting sqref="F70:I70">
    <cfRule type="duplicateValues" dxfId="468" priority="831"/>
    <cfRule type="duplicateValues" dxfId="467" priority="832"/>
    <cfRule type="duplicateValues" dxfId="466" priority="833"/>
    <cfRule type="duplicateValues" dxfId="465" priority="834"/>
    <cfRule type="duplicateValues" dxfId="464" priority="835"/>
  </conditionalFormatting>
  <conditionalFormatting sqref="F73">
    <cfRule type="duplicateValues" dxfId="463" priority="825"/>
    <cfRule type="duplicateValues" dxfId="462" priority="826"/>
  </conditionalFormatting>
  <conditionalFormatting sqref="F73:G73">
    <cfRule type="duplicateValues" dxfId="461" priority="823"/>
    <cfRule type="duplicateValues" dxfId="460" priority="824"/>
  </conditionalFormatting>
  <conditionalFormatting sqref="F83:G83">
    <cfRule type="duplicateValues" dxfId="459" priority="756"/>
  </conditionalFormatting>
  <conditionalFormatting sqref="F84:G84">
    <cfRule type="duplicateValues" dxfId="458" priority="755"/>
  </conditionalFormatting>
  <conditionalFormatting sqref="F88:G88">
    <cfRule type="duplicateValues" dxfId="457" priority="752"/>
  </conditionalFormatting>
  <conditionalFormatting sqref="F91">
    <cfRule type="duplicateValues" dxfId="456" priority="751"/>
  </conditionalFormatting>
  <conditionalFormatting sqref="H92:I92">
    <cfRule type="duplicateValues" dxfId="455" priority="750"/>
  </conditionalFormatting>
  <conditionalFormatting sqref="H93:I93">
    <cfRule type="duplicateValues" dxfId="454" priority="749"/>
  </conditionalFormatting>
  <conditionalFormatting sqref="F91:I91">
    <cfRule type="duplicateValues" dxfId="453" priority="748"/>
  </conditionalFormatting>
  <conditionalFormatting sqref="H92:I92">
    <cfRule type="duplicateValues" dxfId="452" priority="743"/>
    <cfRule type="duplicateValues" dxfId="451" priority="744"/>
    <cfRule type="duplicateValues" dxfId="450" priority="745"/>
    <cfRule type="duplicateValues" dxfId="449" priority="746"/>
    <cfRule type="duplicateValues" dxfId="448" priority="747"/>
  </conditionalFormatting>
  <conditionalFormatting sqref="F93:I93">
    <cfRule type="duplicateValues" dxfId="447" priority="741"/>
  </conditionalFormatting>
  <conditionalFormatting sqref="F92:I92">
    <cfRule type="duplicateValues" dxfId="446" priority="740"/>
  </conditionalFormatting>
  <conditionalFormatting sqref="F95:G95">
    <cfRule type="duplicateValues" dxfId="445" priority="738"/>
  </conditionalFormatting>
  <conditionalFormatting sqref="F96:G96">
    <cfRule type="duplicateValues" dxfId="444" priority="737"/>
  </conditionalFormatting>
  <conditionalFormatting sqref="F95:G95">
    <cfRule type="duplicateValues" dxfId="443" priority="732"/>
    <cfRule type="duplicateValues" dxfId="442" priority="733"/>
    <cfRule type="duplicateValues" dxfId="441" priority="734"/>
    <cfRule type="duplicateValues" dxfId="440" priority="735"/>
    <cfRule type="duplicateValues" dxfId="439" priority="736"/>
  </conditionalFormatting>
  <conditionalFormatting sqref="F95:G95">
    <cfRule type="duplicateValues" dxfId="438" priority="728"/>
    <cfRule type="duplicateValues" dxfId="437" priority="729"/>
    <cfRule type="duplicateValues" dxfId="436" priority="730"/>
  </conditionalFormatting>
  <conditionalFormatting sqref="F98">
    <cfRule type="duplicateValues" dxfId="435" priority="710"/>
  </conditionalFormatting>
  <conditionalFormatting sqref="F97:G97">
    <cfRule type="duplicateValues" dxfId="434" priority="708"/>
    <cfRule type="duplicateValues" dxfId="433" priority="709"/>
  </conditionalFormatting>
  <conditionalFormatting sqref="F97:G97">
    <cfRule type="duplicateValues" dxfId="432" priority="707"/>
  </conditionalFormatting>
  <conditionalFormatting sqref="F97:G97">
    <cfRule type="duplicateValues" dxfId="431" priority="704"/>
    <cfRule type="duplicateValues" dxfId="430" priority="705"/>
    <cfRule type="duplicateValues" dxfId="429" priority="706"/>
  </conditionalFormatting>
  <conditionalFormatting sqref="F99:G99">
    <cfRule type="duplicateValues" dxfId="428" priority="690"/>
  </conditionalFormatting>
  <conditionalFormatting sqref="F102:G102">
    <cfRule type="duplicateValues" dxfId="427" priority="689"/>
  </conditionalFormatting>
  <conditionalFormatting sqref="F101:G101">
    <cfRule type="duplicateValues" dxfId="426" priority="688"/>
  </conditionalFormatting>
  <conditionalFormatting sqref="F103:G103">
    <cfRule type="duplicateValues" dxfId="425" priority="685"/>
  </conditionalFormatting>
  <conditionalFormatting sqref="F104:G104">
    <cfRule type="duplicateValues" dxfId="424" priority="682"/>
  </conditionalFormatting>
  <conditionalFormatting sqref="F104:G104">
    <cfRule type="duplicateValues" dxfId="423" priority="680"/>
    <cfRule type="duplicateValues" dxfId="422" priority="681"/>
  </conditionalFormatting>
  <conditionalFormatting sqref="F106:G106">
    <cfRule type="duplicateValues" dxfId="421" priority="677"/>
    <cfRule type="duplicateValues" dxfId="420" priority="678"/>
  </conditionalFormatting>
  <conditionalFormatting sqref="F105:G105">
    <cfRule type="duplicateValues" dxfId="419" priority="662"/>
  </conditionalFormatting>
  <conditionalFormatting sqref="F106:G106">
    <cfRule type="duplicateValues" dxfId="418" priority="661"/>
  </conditionalFormatting>
  <conditionalFormatting sqref="F109:G109">
    <cfRule type="duplicateValues" dxfId="417" priority="660"/>
  </conditionalFormatting>
  <conditionalFormatting sqref="F110">
    <cfRule type="duplicateValues" dxfId="416" priority="658"/>
  </conditionalFormatting>
  <conditionalFormatting sqref="F113">
    <cfRule type="duplicateValues" dxfId="415" priority="657"/>
  </conditionalFormatting>
  <conditionalFormatting sqref="F114:I114">
    <cfRule type="duplicateValues" dxfId="414" priority="656"/>
  </conditionalFormatting>
  <conditionalFormatting sqref="F115:I115">
    <cfRule type="duplicateValues" dxfId="413" priority="655"/>
  </conditionalFormatting>
  <conditionalFormatting sqref="F113:I113">
    <cfRule type="duplicateValues" dxfId="412" priority="654"/>
  </conditionalFormatting>
  <conditionalFormatting sqref="F114:I114">
    <cfRule type="duplicateValues" dxfId="411" priority="649"/>
    <cfRule type="duplicateValues" dxfId="410" priority="650"/>
    <cfRule type="duplicateValues" dxfId="409" priority="651"/>
    <cfRule type="duplicateValues" dxfId="408" priority="652"/>
    <cfRule type="duplicateValues" dxfId="407" priority="653"/>
  </conditionalFormatting>
  <conditionalFormatting sqref="F117">
    <cfRule type="duplicateValues" dxfId="406" priority="643"/>
    <cfRule type="duplicateValues" dxfId="405" priority="644"/>
  </conditionalFormatting>
  <conditionalFormatting sqref="F117:G117">
    <cfRule type="duplicateValues" dxfId="404" priority="641"/>
    <cfRule type="duplicateValues" dxfId="403" priority="642"/>
  </conditionalFormatting>
  <conditionalFormatting sqref="F117:G117">
    <cfRule type="duplicateValues" dxfId="402" priority="640"/>
  </conditionalFormatting>
  <conditionalFormatting sqref="F117:G117">
    <cfRule type="duplicateValues" dxfId="401" priority="637"/>
    <cfRule type="duplicateValues" dxfId="400" priority="638"/>
    <cfRule type="duplicateValues" dxfId="399" priority="639"/>
  </conditionalFormatting>
  <conditionalFormatting sqref="F118:G118">
    <cfRule type="duplicateValues" dxfId="398" priority="632"/>
  </conditionalFormatting>
  <conditionalFormatting sqref="F117:G117">
    <cfRule type="duplicateValues" dxfId="397" priority="627"/>
    <cfRule type="duplicateValues" dxfId="396" priority="628"/>
    <cfRule type="duplicateValues" dxfId="395" priority="629"/>
    <cfRule type="duplicateValues" dxfId="394" priority="630"/>
    <cfRule type="duplicateValues" dxfId="393" priority="631"/>
  </conditionalFormatting>
  <conditionalFormatting sqref="F120">
    <cfRule type="duplicateValues" dxfId="392" priority="619"/>
  </conditionalFormatting>
  <conditionalFormatting sqref="G119">
    <cfRule type="duplicateValues" dxfId="391" priority="617"/>
    <cfRule type="duplicateValues" dxfId="390" priority="618"/>
  </conditionalFormatting>
  <conditionalFormatting sqref="G119">
    <cfRule type="duplicateValues" dxfId="389" priority="616"/>
  </conditionalFormatting>
  <conditionalFormatting sqref="G119">
    <cfRule type="duplicateValues" dxfId="388" priority="613"/>
    <cfRule type="duplicateValues" dxfId="387" priority="614"/>
    <cfRule type="duplicateValues" dxfId="386" priority="615"/>
  </conditionalFormatting>
  <conditionalFormatting sqref="F119">
    <cfRule type="duplicateValues" dxfId="385" priority="608"/>
    <cfRule type="duplicateValues" dxfId="384" priority="609"/>
  </conditionalFormatting>
  <conditionalFormatting sqref="F119">
    <cfRule type="duplicateValues" dxfId="383" priority="605"/>
  </conditionalFormatting>
  <conditionalFormatting sqref="F119">
    <cfRule type="duplicateValues" dxfId="382" priority="602"/>
    <cfRule type="duplicateValues" dxfId="381" priority="603"/>
    <cfRule type="duplicateValues" dxfId="380" priority="604"/>
  </conditionalFormatting>
  <conditionalFormatting sqref="F119:G119">
    <cfRule type="duplicateValues" dxfId="379" priority="596"/>
    <cfRule type="duplicateValues" dxfId="378" priority="597"/>
  </conditionalFormatting>
  <conditionalFormatting sqref="F119:G119">
    <cfRule type="duplicateValues" dxfId="377" priority="595"/>
  </conditionalFormatting>
  <conditionalFormatting sqref="F119:G119">
    <cfRule type="duplicateValues" dxfId="376" priority="592"/>
    <cfRule type="duplicateValues" dxfId="375" priority="593"/>
    <cfRule type="duplicateValues" dxfId="374" priority="594"/>
  </conditionalFormatting>
  <conditionalFormatting sqref="F121:G121">
    <cfRule type="duplicateValues" dxfId="373" priority="588"/>
  </conditionalFormatting>
  <conditionalFormatting sqref="F123:G123">
    <cfRule type="duplicateValues" dxfId="372" priority="587"/>
  </conditionalFormatting>
  <conditionalFormatting sqref="F125:G125">
    <cfRule type="duplicateValues" dxfId="371" priority="586"/>
  </conditionalFormatting>
  <conditionalFormatting sqref="F126:G126">
    <cfRule type="duplicateValues" dxfId="370" priority="581"/>
  </conditionalFormatting>
  <conditionalFormatting sqref="F128:G128">
    <cfRule type="duplicateValues" dxfId="369" priority="578"/>
    <cfRule type="duplicateValues" dxfId="368" priority="579"/>
  </conditionalFormatting>
  <conditionalFormatting sqref="F124:G124">
    <cfRule type="duplicateValues" dxfId="367" priority="576"/>
  </conditionalFormatting>
  <conditionalFormatting sqref="F126:G126">
    <cfRule type="duplicateValues" dxfId="366" priority="567"/>
    <cfRule type="duplicateValues" dxfId="365" priority="568"/>
  </conditionalFormatting>
  <conditionalFormatting sqref="F127:G127">
    <cfRule type="duplicateValues" dxfId="364" priority="563"/>
  </conditionalFormatting>
  <conditionalFormatting sqref="F128:G128">
    <cfRule type="duplicateValues" dxfId="363" priority="562"/>
  </conditionalFormatting>
  <conditionalFormatting sqref="G131">
    <cfRule type="duplicateValues" dxfId="362" priority="561"/>
  </conditionalFormatting>
  <conditionalFormatting sqref="F132:G132">
    <cfRule type="duplicateValues" dxfId="361" priority="559"/>
  </conditionalFormatting>
  <conditionalFormatting sqref="F135">
    <cfRule type="duplicateValues" dxfId="360" priority="558"/>
  </conditionalFormatting>
  <conditionalFormatting sqref="H136:I136">
    <cfRule type="duplicateValues" dxfId="359" priority="557"/>
  </conditionalFormatting>
  <conditionalFormatting sqref="H137:I137">
    <cfRule type="duplicateValues" dxfId="358" priority="556"/>
  </conditionalFormatting>
  <conditionalFormatting sqref="F135:I135">
    <cfRule type="duplicateValues" dxfId="357" priority="555"/>
  </conditionalFormatting>
  <conditionalFormatting sqref="H136:I136">
    <cfRule type="duplicateValues" dxfId="356" priority="550"/>
    <cfRule type="duplicateValues" dxfId="355" priority="551"/>
    <cfRule type="duplicateValues" dxfId="354" priority="552"/>
    <cfRule type="duplicateValues" dxfId="353" priority="553"/>
    <cfRule type="duplicateValues" dxfId="352" priority="554"/>
  </conditionalFormatting>
  <conditionalFormatting sqref="F137:I137">
    <cfRule type="duplicateValues" dxfId="351" priority="548"/>
  </conditionalFormatting>
  <conditionalFormatting sqref="F136:I136">
    <cfRule type="duplicateValues" dxfId="350" priority="547"/>
  </conditionalFormatting>
  <conditionalFormatting sqref="F139:G139">
    <cfRule type="duplicateValues" dxfId="349" priority="545"/>
  </conditionalFormatting>
  <conditionalFormatting sqref="F140:G140">
    <cfRule type="duplicateValues" dxfId="348" priority="544"/>
  </conditionalFormatting>
  <conditionalFormatting sqref="F139:G139">
    <cfRule type="duplicateValues" dxfId="347" priority="539"/>
    <cfRule type="duplicateValues" dxfId="346" priority="540"/>
    <cfRule type="duplicateValues" dxfId="345" priority="541"/>
    <cfRule type="duplicateValues" dxfId="344" priority="542"/>
    <cfRule type="duplicateValues" dxfId="343" priority="543"/>
  </conditionalFormatting>
  <conditionalFormatting sqref="F139:G139">
    <cfRule type="duplicateValues" dxfId="342" priority="535"/>
    <cfRule type="duplicateValues" dxfId="341" priority="536"/>
    <cfRule type="duplicateValues" dxfId="340" priority="537"/>
  </conditionalFormatting>
  <conditionalFormatting sqref="F142">
    <cfRule type="duplicateValues" dxfId="339" priority="517"/>
  </conditionalFormatting>
  <conditionalFormatting sqref="F141:G141">
    <cfRule type="duplicateValues" dxfId="338" priority="515"/>
    <cfRule type="duplicateValues" dxfId="337" priority="516"/>
  </conditionalFormatting>
  <conditionalFormatting sqref="F141:G141">
    <cfRule type="duplicateValues" dxfId="336" priority="514"/>
  </conditionalFormatting>
  <conditionalFormatting sqref="F141:G141">
    <cfRule type="duplicateValues" dxfId="335" priority="511"/>
    <cfRule type="duplicateValues" dxfId="334" priority="512"/>
    <cfRule type="duplicateValues" dxfId="333" priority="513"/>
  </conditionalFormatting>
  <conditionalFormatting sqref="F143:G143">
    <cfRule type="duplicateValues" dxfId="332" priority="497"/>
  </conditionalFormatting>
  <conditionalFormatting sqref="F146:G146">
    <cfRule type="duplicateValues" dxfId="331" priority="496"/>
  </conditionalFormatting>
  <conditionalFormatting sqref="F145:G145">
    <cfRule type="duplicateValues" dxfId="330" priority="495"/>
  </conditionalFormatting>
  <conditionalFormatting sqref="F147:G147">
    <cfRule type="duplicateValues" dxfId="329" priority="492"/>
  </conditionalFormatting>
  <conditionalFormatting sqref="F148:G148">
    <cfRule type="duplicateValues" dxfId="328" priority="489"/>
  </conditionalFormatting>
  <conditionalFormatting sqref="F148:G148">
    <cfRule type="duplicateValues" dxfId="327" priority="487"/>
    <cfRule type="duplicateValues" dxfId="326" priority="488"/>
  </conditionalFormatting>
  <conditionalFormatting sqref="F150:G150">
    <cfRule type="duplicateValues" dxfId="325" priority="484"/>
    <cfRule type="duplicateValues" dxfId="324" priority="485"/>
  </conditionalFormatting>
  <conditionalFormatting sqref="F149:G149">
    <cfRule type="duplicateValues" dxfId="323" priority="469"/>
  </conditionalFormatting>
  <conditionalFormatting sqref="F150:G150">
    <cfRule type="duplicateValues" dxfId="322" priority="468"/>
  </conditionalFormatting>
  <conditionalFormatting sqref="F153:G153">
    <cfRule type="duplicateValues" dxfId="321" priority="467"/>
  </conditionalFormatting>
  <conditionalFormatting sqref="F154:G154">
    <cfRule type="duplicateValues" dxfId="320" priority="465"/>
  </conditionalFormatting>
  <conditionalFormatting sqref="F156">
    <cfRule type="duplicateValues" dxfId="319" priority="464"/>
  </conditionalFormatting>
  <conditionalFormatting sqref="F157:I157">
    <cfRule type="duplicateValues" dxfId="318" priority="463"/>
  </conditionalFormatting>
  <conditionalFormatting sqref="F158:I158">
    <cfRule type="duplicateValues" dxfId="317" priority="462"/>
  </conditionalFormatting>
  <conditionalFormatting sqref="F156:I156">
    <cfRule type="duplicateValues" dxfId="316" priority="461"/>
  </conditionalFormatting>
  <conditionalFormatting sqref="F157:I157">
    <cfRule type="duplicateValues" dxfId="315" priority="456"/>
    <cfRule type="duplicateValues" dxfId="314" priority="457"/>
    <cfRule type="duplicateValues" dxfId="313" priority="458"/>
    <cfRule type="duplicateValues" dxfId="312" priority="459"/>
    <cfRule type="duplicateValues" dxfId="311" priority="460"/>
  </conditionalFormatting>
  <conditionalFormatting sqref="F160">
    <cfRule type="duplicateValues" dxfId="310" priority="450"/>
    <cfRule type="duplicateValues" dxfId="309" priority="451"/>
  </conditionalFormatting>
  <conditionalFormatting sqref="F160:G160">
    <cfRule type="duplicateValues" dxfId="308" priority="448"/>
    <cfRule type="duplicateValues" dxfId="307" priority="449"/>
  </conditionalFormatting>
  <conditionalFormatting sqref="F160:G160">
    <cfRule type="duplicateValues" dxfId="306" priority="447"/>
  </conditionalFormatting>
  <conditionalFormatting sqref="F160:G160">
    <cfRule type="duplicateValues" dxfId="305" priority="444"/>
    <cfRule type="duplicateValues" dxfId="304" priority="445"/>
    <cfRule type="duplicateValues" dxfId="303" priority="446"/>
  </conditionalFormatting>
  <conditionalFormatting sqref="F161:G161">
    <cfRule type="duplicateValues" dxfId="302" priority="439"/>
  </conditionalFormatting>
  <conditionalFormatting sqref="F160:G160">
    <cfRule type="duplicateValues" dxfId="301" priority="434"/>
    <cfRule type="duplicateValues" dxfId="300" priority="435"/>
    <cfRule type="duplicateValues" dxfId="299" priority="436"/>
    <cfRule type="duplicateValues" dxfId="298" priority="437"/>
    <cfRule type="duplicateValues" dxfId="297" priority="438"/>
  </conditionalFormatting>
  <conditionalFormatting sqref="F163">
    <cfRule type="duplicateValues" dxfId="296" priority="426"/>
  </conditionalFormatting>
  <conditionalFormatting sqref="F162:G162">
    <cfRule type="duplicateValues" dxfId="295" priority="424"/>
    <cfRule type="duplicateValues" dxfId="294" priority="425"/>
  </conditionalFormatting>
  <conditionalFormatting sqref="F162:G162">
    <cfRule type="duplicateValues" dxfId="293" priority="423"/>
  </conditionalFormatting>
  <conditionalFormatting sqref="F162:G162">
    <cfRule type="duplicateValues" dxfId="292" priority="420"/>
    <cfRule type="duplicateValues" dxfId="291" priority="421"/>
    <cfRule type="duplicateValues" dxfId="290" priority="422"/>
  </conditionalFormatting>
  <conditionalFormatting sqref="F164:G164">
    <cfRule type="duplicateValues" dxfId="289" priority="406"/>
  </conditionalFormatting>
  <conditionalFormatting sqref="F166:G166">
    <cfRule type="duplicateValues" dxfId="288" priority="405"/>
  </conditionalFormatting>
  <conditionalFormatting sqref="F168:G168">
    <cfRule type="duplicateValues" dxfId="287" priority="404"/>
  </conditionalFormatting>
  <conditionalFormatting sqref="F169:G169">
    <cfRule type="duplicateValues" dxfId="286" priority="398"/>
  </conditionalFormatting>
  <conditionalFormatting sqref="F171:G171">
    <cfRule type="duplicateValues" dxfId="285" priority="395"/>
    <cfRule type="duplicateValues" dxfId="284" priority="396"/>
  </conditionalFormatting>
  <conditionalFormatting sqref="F167:G167">
    <cfRule type="duplicateValues" dxfId="283" priority="393"/>
  </conditionalFormatting>
  <conditionalFormatting sqref="F169:G169">
    <cfRule type="duplicateValues" dxfId="282" priority="384"/>
    <cfRule type="duplicateValues" dxfId="281" priority="385"/>
  </conditionalFormatting>
  <conditionalFormatting sqref="F170:G170">
    <cfRule type="duplicateValues" dxfId="280" priority="380"/>
  </conditionalFormatting>
  <conditionalFormatting sqref="F171:G171">
    <cfRule type="duplicateValues" dxfId="279" priority="379"/>
  </conditionalFormatting>
  <conditionalFormatting sqref="F174:G174">
    <cfRule type="duplicateValues" dxfId="278" priority="378"/>
  </conditionalFormatting>
  <conditionalFormatting sqref="F175:G175">
    <cfRule type="duplicateValues" dxfId="277" priority="376"/>
  </conditionalFormatting>
  <conditionalFormatting sqref="F178">
    <cfRule type="duplicateValues" dxfId="276" priority="375"/>
  </conditionalFormatting>
  <conditionalFormatting sqref="H179:I179">
    <cfRule type="duplicateValues" dxfId="275" priority="374"/>
  </conditionalFormatting>
  <conditionalFormatting sqref="H180:I180">
    <cfRule type="duplicateValues" dxfId="274" priority="373"/>
  </conditionalFormatting>
  <conditionalFormatting sqref="F178:I178">
    <cfRule type="duplicateValues" dxfId="273" priority="372"/>
  </conditionalFormatting>
  <conditionalFormatting sqref="H179:I179">
    <cfRule type="duplicateValues" dxfId="272" priority="367"/>
    <cfRule type="duplicateValues" dxfId="271" priority="368"/>
    <cfRule type="duplicateValues" dxfId="270" priority="369"/>
    <cfRule type="duplicateValues" dxfId="269" priority="370"/>
    <cfRule type="duplicateValues" dxfId="268" priority="371"/>
  </conditionalFormatting>
  <conditionalFormatting sqref="F180:I180">
    <cfRule type="duplicateValues" dxfId="267" priority="365"/>
  </conditionalFormatting>
  <conditionalFormatting sqref="F179:I179">
    <cfRule type="duplicateValues" dxfId="266" priority="364"/>
  </conditionalFormatting>
  <conditionalFormatting sqref="F182:G182">
    <cfRule type="duplicateValues" dxfId="265" priority="362"/>
  </conditionalFormatting>
  <conditionalFormatting sqref="F183:G183">
    <cfRule type="duplicateValues" dxfId="264" priority="361"/>
  </conditionalFormatting>
  <conditionalFormatting sqref="F182:G182">
    <cfRule type="duplicateValues" dxfId="263" priority="356"/>
    <cfRule type="duplicateValues" dxfId="262" priority="357"/>
    <cfRule type="duplicateValues" dxfId="261" priority="358"/>
    <cfRule type="duplicateValues" dxfId="260" priority="359"/>
    <cfRule type="duplicateValues" dxfId="259" priority="360"/>
  </conditionalFormatting>
  <conditionalFormatting sqref="F182:G182">
    <cfRule type="duplicateValues" dxfId="258" priority="352"/>
    <cfRule type="duplicateValues" dxfId="257" priority="353"/>
    <cfRule type="duplicateValues" dxfId="256" priority="354"/>
  </conditionalFormatting>
  <conditionalFormatting sqref="F185">
    <cfRule type="duplicateValues" dxfId="255" priority="334"/>
  </conditionalFormatting>
  <conditionalFormatting sqref="F184:G184">
    <cfRule type="duplicateValues" dxfId="254" priority="332"/>
    <cfRule type="duplicateValues" dxfId="253" priority="333"/>
  </conditionalFormatting>
  <conditionalFormatting sqref="F184:G184">
    <cfRule type="duplicateValues" dxfId="252" priority="331"/>
  </conditionalFormatting>
  <conditionalFormatting sqref="F184:G184">
    <cfRule type="duplicateValues" dxfId="251" priority="328"/>
    <cfRule type="duplicateValues" dxfId="250" priority="329"/>
    <cfRule type="duplicateValues" dxfId="249" priority="330"/>
  </conditionalFormatting>
  <conditionalFormatting sqref="F186:G186">
    <cfRule type="duplicateValues" dxfId="248" priority="314"/>
  </conditionalFormatting>
  <conditionalFormatting sqref="F189:G189">
    <cfRule type="duplicateValues" dxfId="247" priority="313"/>
  </conditionalFormatting>
  <conditionalFormatting sqref="F188:G188">
    <cfRule type="duplicateValues" dxfId="246" priority="312"/>
  </conditionalFormatting>
  <conditionalFormatting sqref="F190:G190">
    <cfRule type="duplicateValues" dxfId="245" priority="309"/>
  </conditionalFormatting>
  <conditionalFormatting sqref="F191:G191">
    <cfRule type="duplicateValues" dxfId="244" priority="306"/>
  </conditionalFormatting>
  <conditionalFormatting sqref="F191:G191">
    <cfRule type="duplicateValues" dxfId="243" priority="304"/>
    <cfRule type="duplicateValues" dxfId="242" priority="305"/>
  </conditionalFormatting>
  <conditionalFormatting sqref="F193:G193">
    <cfRule type="duplicateValues" dxfId="241" priority="301"/>
    <cfRule type="duplicateValues" dxfId="240" priority="302"/>
  </conditionalFormatting>
  <conditionalFormatting sqref="F192:G192">
    <cfRule type="duplicateValues" dxfId="239" priority="286"/>
  </conditionalFormatting>
  <conditionalFormatting sqref="F193:G193">
    <cfRule type="duplicateValues" dxfId="238" priority="285"/>
  </conditionalFormatting>
  <conditionalFormatting sqref="F196:G196">
    <cfRule type="duplicateValues" dxfId="237" priority="284"/>
  </conditionalFormatting>
  <conditionalFormatting sqref="F197:G197">
    <cfRule type="duplicateValues" dxfId="236" priority="282"/>
  </conditionalFormatting>
  <conditionalFormatting sqref="F200">
    <cfRule type="duplicateValues" dxfId="235" priority="281"/>
  </conditionalFormatting>
  <conditionalFormatting sqref="F201:I201">
    <cfRule type="duplicateValues" dxfId="234" priority="280"/>
  </conditionalFormatting>
  <conditionalFormatting sqref="F202:I202">
    <cfRule type="duplicateValues" dxfId="233" priority="279"/>
  </conditionalFormatting>
  <conditionalFormatting sqref="F200:I200">
    <cfRule type="duplicateValues" dxfId="232" priority="278"/>
  </conditionalFormatting>
  <conditionalFormatting sqref="F201:I201">
    <cfRule type="duplicateValues" dxfId="231" priority="273"/>
    <cfRule type="duplicateValues" dxfId="230" priority="274"/>
    <cfRule type="duplicateValues" dxfId="229" priority="275"/>
    <cfRule type="duplicateValues" dxfId="228" priority="276"/>
    <cfRule type="duplicateValues" dxfId="227" priority="277"/>
  </conditionalFormatting>
  <conditionalFormatting sqref="F204">
    <cfRule type="duplicateValues" dxfId="226" priority="267"/>
    <cfRule type="duplicateValues" dxfId="225" priority="268"/>
  </conditionalFormatting>
  <conditionalFormatting sqref="F204:G204">
    <cfRule type="duplicateValues" dxfId="224" priority="265"/>
    <cfRule type="duplicateValues" dxfId="223" priority="266"/>
  </conditionalFormatting>
  <conditionalFormatting sqref="F204:G204">
    <cfRule type="duplicateValues" dxfId="222" priority="264"/>
  </conditionalFormatting>
  <conditionalFormatting sqref="F204:G204">
    <cfRule type="duplicateValues" dxfId="221" priority="261"/>
    <cfRule type="duplicateValues" dxfId="220" priority="262"/>
    <cfRule type="duplicateValues" dxfId="219" priority="263"/>
  </conditionalFormatting>
  <conditionalFormatting sqref="F205:G205">
    <cfRule type="duplicateValues" dxfId="218" priority="256"/>
  </conditionalFormatting>
  <conditionalFormatting sqref="F204:G204">
    <cfRule type="duplicateValues" dxfId="217" priority="251"/>
    <cfRule type="duplicateValues" dxfId="216" priority="252"/>
    <cfRule type="duplicateValues" dxfId="215" priority="253"/>
    <cfRule type="duplicateValues" dxfId="214" priority="254"/>
    <cfRule type="duplicateValues" dxfId="213" priority="255"/>
  </conditionalFormatting>
  <conditionalFormatting sqref="F207">
    <cfRule type="duplicateValues" dxfId="212" priority="243"/>
  </conditionalFormatting>
  <conditionalFormatting sqref="F206:G206">
    <cfRule type="duplicateValues" dxfId="211" priority="241"/>
    <cfRule type="duplicateValues" dxfId="210" priority="242"/>
  </conditionalFormatting>
  <conditionalFormatting sqref="F206:G206">
    <cfRule type="duplicateValues" dxfId="209" priority="240"/>
  </conditionalFormatting>
  <conditionalFormatting sqref="F206:G206">
    <cfRule type="duplicateValues" dxfId="208" priority="237"/>
    <cfRule type="duplicateValues" dxfId="207" priority="238"/>
    <cfRule type="duplicateValues" dxfId="206" priority="239"/>
  </conditionalFormatting>
  <conditionalFormatting sqref="F208:G208">
    <cfRule type="duplicateValues" dxfId="205" priority="223"/>
  </conditionalFormatting>
  <conditionalFormatting sqref="F210:G210">
    <cfRule type="duplicateValues" dxfId="204" priority="222"/>
  </conditionalFormatting>
  <conditionalFormatting sqref="F212:G212">
    <cfRule type="duplicateValues" dxfId="203" priority="221"/>
  </conditionalFormatting>
  <conditionalFormatting sqref="F213:G213">
    <cfRule type="duplicateValues" dxfId="202" priority="216"/>
  </conditionalFormatting>
  <conditionalFormatting sqref="F215:G215">
    <cfRule type="duplicateValues" dxfId="201" priority="213"/>
    <cfRule type="duplicateValues" dxfId="200" priority="214"/>
  </conditionalFormatting>
  <conditionalFormatting sqref="F211:G211">
    <cfRule type="duplicateValues" dxfId="199" priority="211"/>
  </conditionalFormatting>
  <conditionalFormatting sqref="F213:G213">
    <cfRule type="duplicateValues" dxfId="198" priority="202"/>
    <cfRule type="duplicateValues" dxfId="197" priority="203"/>
  </conditionalFormatting>
  <conditionalFormatting sqref="F214:G214">
    <cfRule type="duplicateValues" dxfId="196" priority="198"/>
  </conditionalFormatting>
  <conditionalFormatting sqref="F215:G215">
    <cfRule type="duplicateValues" dxfId="195" priority="197"/>
  </conditionalFormatting>
  <conditionalFormatting sqref="F218:G218">
    <cfRule type="duplicateValues" dxfId="194" priority="196"/>
  </conditionalFormatting>
  <conditionalFormatting sqref="F219:G219">
    <cfRule type="duplicateValues" dxfId="193" priority="194"/>
  </conditionalFormatting>
  <conditionalFormatting sqref="F221">
    <cfRule type="duplicateValues" dxfId="192" priority="193"/>
  </conditionalFormatting>
  <conditionalFormatting sqref="H222:I222">
    <cfRule type="duplicateValues" dxfId="191" priority="192"/>
  </conditionalFormatting>
  <conditionalFormatting sqref="H223:I223">
    <cfRule type="duplicateValues" dxfId="190" priority="191"/>
  </conditionalFormatting>
  <conditionalFormatting sqref="F221:I221">
    <cfRule type="duplicateValues" dxfId="189" priority="190"/>
  </conditionalFormatting>
  <conditionalFormatting sqref="H222:I222">
    <cfRule type="duplicateValues" dxfId="188" priority="185"/>
    <cfRule type="duplicateValues" dxfId="187" priority="1116"/>
    <cfRule type="duplicateValues" dxfId="186" priority="1116"/>
    <cfRule type="duplicateValues" dxfId="185" priority="1116"/>
    <cfRule type="duplicateValues" dxfId="184" priority="1116"/>
  </conditionalFormatting>
  <conditionalFormatting sqref="F221:I221">
    <cfRule type="duplicateValues" dxfId="183" priority="184"/>
  </conditionalFormatting>
  <conditionalFormatting sqref="F223:I223">
    <cfRule type="duplicateValues" dxfId="182" priority="183"/>
  </conditionalFormatting>
  <conditionalFormatting sqref="F222:I222">
    <cfRule type="duplicateValues" dxfId="181" priority="182"/>
  </conditionalFormatting>
  <conditionalFormatting sqref="F223:I223">
    <cfRule type="duplicateValues" dxfId="180" priority="181"/>
  </conditionalFormatting>
  <conditionalFormatting sqref="F225:G225">
    <cfRule type="duplicateValues" dxfId="179" priority="180"/>
  </conditionalFormatting>
  <conditionalFormatting sqref="F226:G226">
    <cfRule type="duplicateValues" dxfId="178" priority="179"/>
  </conditionalFormatting>
  <conditionalFormatting sqref="F225:G225">
    <cfRule type="duplicateValues" dxfId="177" priority="174"/>
    <cfRule type="duplicateValues" dxfId="176" priority="175"/>
    <cfRule type="duplicateValues" dxfId="175" priority="176"/>
    <cfRule type="duplicateValues" dxfId="174" priority="177"/>
    <cfRule type="duplicateValues" dxfId="173" priority="178"/>
  </conditionalFormatting>
  <conditionalFormatting sqref="F225:G225">
    <cfRule type="duplicateValues" dxfId="172" priority="173"/>
  </conditionalFormatting>
  <conditionalFormatting sqref="F225:G225">
    <cfRule type="duplicateValues" dxfId="171" priority="1117"/>
    <cfRule type="duplicateValues" dxfId="170" priority="1117"/>
    <cfRule type="duplicateValues" dxfId="169" priority="1117"/>
  </conditionalFormatting>
  <conditionalFormatting sqref="F225:G225">
    <cfRule type="duplicateValues" dxfId="168" priority="167"/>
    <cfRule type="duplicateValues" dxfId="167" priority="168"/>
    <cfRule type="duplicateValues" dxfId="166" priority="1118"/>
  </conditionalFormatting>
  <conditionalFormatting sqref="F225:G225">
    <cfRule type="duplicateValues" dxfId="165" priority="166"/>
  </conditionalFormatting>
  <conditionalFormatting sqref="F226:G226">
    <cfRule type="duplicateValues" dxfId="164" priority="1119"/>
  </conditionalFormatting>
  <conditionalFormatting sqref="F225:G225">
    <cfRule type="duplicateValues" dxfId="163" priority="1120"/>
    <cfRule type="duplicateValues" dxfId="162" priority="1120"/>
    <cfRule type="duplicateValues" dxfId="161" priority="1120"/>
    <cfRule type="duplicateValues" dxfId="160" priority="1120"/>
    <cfRule type="duplicateValues" dxfId="159" priority="1120"/>
  </conditionalFormatting>
  <conditionalFormatting sqref="F225:G225">
    <cfRule type="duplicateValues" dxfId="158" priority="1121"/>
  </conditionalFormatting>
  <conditionalFormatting sqref="F225:G225">
    <cfRule type="duplicateValues" dxfId="157" priority="156"/>
    <cfRule type="duplicateValues" dxfId="156" priority="157"/>
    <cfRule type="duplicateValues" dxfId="155" priority="158"/>
  </conditionalFormatting>
  <conditionalFormatting sqref="F225:G225">
    <cfRule type="duplicateValues" dxfId="154" priority="1122"/>
    <cfRule type="duplicateValues" dxfId="153" priority="1122"/>
    <cfRule type="duplicateValues" dxfId="152" priority="1122"/>
  </conditionalFormatting>
  <conditionalFormatting sqref="F228">
    <cfRule type="duplicateValues" dxfId="151" priority="152"/>
  </conditionalFormatting>
  <conditionalFormatting sqref="F227">
    <cfRule type="duplicateValues" dxfId="150" priority="150"/>
    <cfRule type="duplicateValues" dxfId="149" priority="151"/>
  </conditionalFormatting>
  <conditionalFormatting sqref="F227">
    <cfRule type="duplicateValues" dxfId="148" priority="149"/>
  </conditionalFormatting>
  <conditionalFormatting sqref="F227">
    <cfRule type="duplicateValues" dxfId="147" priority="146"/>
    <cfRule type="duplicateValues" dxfId="146" priority="1123"/>
    <cfRule type="duplicateValues" dxfId="145" priority="148"/>
  </conditionalFormatting>
  <conditionalFormatting sqref="F227">
    <cfRule type="duplicateValues" dxfId="144" priority="1124"/>
    <cfRule type="duplicateValues" dxfId="143" priority="1124"/>
    <cfRule type="duplicateValues" dxfId="142" priority="1124"/>
  </conditionalFormatting>
  <conditionalFormatting sqref="F228">
    <cfRule type="duplicateValues" dxfId="141" priority="1125"/>
  </conditionalFormatting>
  <conditionalFormatting sqref="F227">
    <cfRule type="duplicateValues" dxfId="140" priority="140"/>
    <cfRule type="duplicateValues" dxfId="139" priority="141"/>
  </conditionalFormatting>
  <conditionalFormatting sqref="F227">
    <cfRule type="duplicateValues" dxfId="138" priority="1126"/>
  </conditionalFormatting>
  <conditionalFormatting sqref="F227">
    <cfRule type="duplicateValues" dxfId="137" priority="136"/>
    <cfRule type="duplicateValues" dxfId="136" priority="137"/>
    <cfRule type="duplicateValues" dxfId="135" priority="138"/>
  </conditionalFormatting>
  <conditionalFormatting sqref="F227">
    <cfRule type="duplicateValues" dxfId="134" priority="133"/>
    <cfRule type="duplicateValues" dxfId="133" priority="134"/>
    <cfRule type="duplicateValues" dxfId="132" priority="135"/>
  </conditionalFormatting>
  <conditionalFormatting sqref="F229:G229">
    <cfRule type="duplicateValues" dxfId="131" priority="1127"/>
  </conditionalFormatting>
  <conditionalFormatting sqref="F232:G232">
    <cfRule type="duplicateValues" dxfId="130" priority="1128"/>
  </conditionalFormatting>
  <conditionalFormatting sqref="F231:G231">
    <cfRule type="duplicateValues" dxfId="129" priority="130"/>
  </conditionalFormatting>
  <conditionalFormatting sqref="F231:G231">
    <cfRule type="duplicateValues" dxfId="128" priority="1129"/>
  </conditionalFormatting>
  <conditionalFormatting sqref="F231:G231">
    <cfRule type="duplicateValues" dxfId="127" priority="1130"/>
  </conditionalFormatting>
  <conditionalFormatting sqref="F233:G233">
    <cfRule type="duplicateValues" dxfId="126" priority="1131"/>
  </conditionalFormatting>
  <conditionalFormatting sqref="F233:G233">
    <cfRule type="duplicateValues" dxfId="125" priority="1132"/>
  </conditionalFormatting>
  <conditionalFormatting sqref="F231:G231">
    <cfRule type="duplicateValues" dxfId="124" priority="1133"/>
  </conditionalFormatting>
  <conditionalFormatting sqref="F234:G234">
    <cfRule type="duplicateValues" dxfId="123" priority="1134"/>
  </conditionalFormatting>
  <conditionalFormatting sqref="F234:G234">
    <cfRule type="duplicateValues" dxfId="122" priority="122"/>
    <cfRule type="duplicateValues" dxfId="121" priority="1135"/>
  </conditionalFormatting>
  <conditionalFormatting sqref="F234:G234">
    <cfRule type="duplicateValues" dxfId="120" priority="1136"/>
  </conditionalFormatting>
  <conditionalFormatting sqref="F236:G236">
    <cfRule type="duplicateValues" dxfId="119" priority="1137"/>
    <cfRule type="duplicateValues" dxfId="118" priority="1137"/>
  </conditionalFormatting>
  <conditionalFormatting sqref="F229:G229">
    <cfRule type="duplicateValues" dxfId="117" priority="118"/>
  </conditionalFormatting>
  <conditionalFormatting sqref="F232:G232">
    <cfRule type="duplicateValues" dxfId="116" priority="117"/>
  </conditionalFormatting>
  <conditionalFormatting sqref="F231:G231">
    <cfRule type="duplicateValues" dxfId="115" priority="116"/>
  </conditionalFormatting>
  <conditionalFormatting sqref="F231:G231">
    <cfRule type="duplicateValues" dxfId="114" priority="1138"/>
  </conditionalFormatting>
  <conditionalFormatting sqref="F231:G231">
    <cfRule type="duplicateValues" dxfId="113" priority="1139"/>
  </conditionalFormatting>
  <conditionalFormatting sqref="F233:G233">
    <cfRule type="duplicateValues" dxfId="112" priority="1140"/>
  </conditionalFormatting>
  <conditionalFormatting sqref="F233:G233">
    <cfRule type="duplicateValues" dxfId="111" priority="1141"/>
  </conditionalFormatting>
  <conditionalFormatting sqref="F231:G231">
    <cfRule type="duplicateValues" dxfId="110" priority="1142"/>
  </conditionalFormatting>
  <conditionalFormatting sqref="F234:G234">
    <cfRule type="duplicateValues" dxfId="109" priority="1143"/>
  </conditionalFormatting>
  <conditionalFormatting sqref="F234:G234">
    <cfRule type="duplicateValues" dxfId="108" priority="108"/>
    <cfRule type="duplicateValues" dxfId="107" priority="1144"/>
  </conditionalFormatting>
  <conditionalFormatting sqref="F234:G234">
    <cfRule type="duplicateValues" dxfId="106" priority="107"/>
  </conditionalFormatting>
  <conditionalFormatting sqref="F236:G236">
    <cfRule type="duplicateValues" dxfId="105" priority="1145"/>
    <cfRule type="duplicateValues" dxfId="104" priority="106"/>
  </conditionalFormatting>
  <conditionalFormatting sqref="F235:G235">
    <cfRule type="duplicateValues" dxfId="103" priority="1146"/>
  </conditionalFormatting>
  <conditionalFormatting sqref="F236:G236">
    <cfRule type="duplicateValues" dxfId="102" priority="1147"/>
  </conditionalFormatting>
  <conditionalFormatting sqref="F239:G239">
    <cfRule type="duplicateValues" dxfId="101" priority="102"/>
  </conditionalFormatting>
  <conditionalFormatting sqref="F239:G239">
    <cfRule type="duplicateValues" dxfId="100" priority="101"/>
  </conditionalFormatting>
  <conditionalFormatting sqref="F240:G240">
    <cfRule type="duplicateValues" dxfId="99" priority="1148"/>
  </conditionalFormatting>
  <conditionalFormatting sqref="F243">
    <cfRule type="duplicateValues" dxfId="98" priority="99"/>
  </conditionalFormatting>
  <conditionalFormatting sqref="F244:I244">
    <cfRule type="duplicateValues" dxfId="97" priority="98"/>
  </conditionalFormatting>
  <conditionalFormatting sqref="F245:I245">
    <cfRule type="duplicateValues" dxfId="96" priority="1149"/>
  </conditionalFormatting>
  <conditionalFormatting sqref="F243:I243">
    <cfRule type="duplicateValues" dxfId="95" priority="1150"/>
  </conditionalFormatting>
  <conditionalFormatting sqref="F244:I244">
    <cfRule type="duplicateValues" dxfId="94" priority="1151"/>
    <cfRule type="duplicateValues" dxfId="93" priority="1151"/>
    <cfRule type="duplicateValues" dxfId="92" priority="1151"/>
    <cfRule type="duplicateValues" dxfId="91" priority="94"/>
    <cfRule type="duplicateValues" dxfId="90" priority="1151"/>
  </conditionalFormatting>
  <conditionalFormatting sqref="F243:I243">
    <cfRule type="duplicateValues" dxfId="89" priority="1152"/>
  </conditionalFormatting>
  <conditionalFormatting sqref="F245:I245">
    <cfRule type="duplicateValues" dxfId="88" priority="1153"/>
  </conditionalFormatting>
  <conditionalFormatting sqref="F244:I244">
    <cfRule type="duplicateValues" dxfId="87" priority="1154"/>
  </conditionalFormatting>
  <conditionalFormatting sqref="F245:I245">
    <cfRule type="duplicateValues" dxfId="86" priority="1155"/>
  </conditionalFormatting>
  <conditionalFormatting sqref="F247">
    <cfRule type="duplicateValues" dxfId="85" priority="85"/>
    <cfRule type="duplicateValues" dxfId="84" priority="86"/>
  </conditionalFormatting>
  <conditionalFormatting sqref="F247:G247">
    <cfRule type="duplicateValues" dxfId="83" priority="83"/>
    <cfRule type="duplicateValues" dxfId="82" priority="84"/>
  </conditionalFormatting>
  <conditionalFormatting sqref="F247:G247">
    <cfRule type="duplicateValues" dxfId="81" priority="82"/>
  </conditionalFormatting>
  <conditionalFormatting sqref="F247:G247">
    <cfRule type="duplicateValues" dxfId="80" priority="79"/>
    <cfRule type="duplicateValues" dxfId="79" priority="80"/>
    <cfRule type="duplicateValues" dxfId="78" priority="81"/>
  </conditionalFormatting>
  <conditionalFormatting sqref="F247:G247">
    <cfRule type="duplicateValues" dxfId="77" priority="76"/>
    <cfRule type="duplicateValues" dxfId="76" priority="77"/>
    <cfRule type="duplicateValues" dxfId="75" priority="78"/>
  </conditionalFormatting>
  <conditionalFormatting sqref="F247:G247">
    <cfRule type="duplicateValues" dxfId="74" priority="75"/>
  </conditionalFormatting>
  <conditionalFormatting sqref="F248:G248">
    <cfRule type="duplicateValues" dxfId="73" priority="74"/>
  </conditionalFormatting>
  <conditionalFormatting sqref="F247:G247">
    <cfRule type="duplicateValues" dxfId="72" priority="1156"/>
    <cfRule type="duplicateValues" dxfId="71" priority="1156"/>
    <cfRule type="duplicateValues" dxfId="70" priority="1156"/>
    <cfRule type="duplicateValues" dxfId="69" priority="72"/>
    <cfRule type="duplicateValues" dxfId="68" priority="73"/>
  </conditionalFormatting>
  <conditionalFormatting sqref="F247:G247">
    <cfRule type="duplicateValues" dxfId="67" priority="1157"/>
  </conditionalFormatting>
  <conditionalFormatting sqref="F247:G247">
    <cfRule type="duplicateValues" dxfId="66" priority="1158"/>
    <cfRule type="duplicateValues" dxfId="65" priority="1158"/>
    <cfRule type="duplicateValues" dxfId="64" priority="1158"/>
  </conditionalFormatting>
  <conditionalFormatting sqref="F247:G247">
    <cfRule type="duplicateValues" dxfId="63" priority="62"/>
    <cfRule type="duplicateValues" dxfId="62" priority="63"/>
    <cfRule type="duplicateValues" dxfId="61" priority="64"/>
  </conditionalFormatting>
  <conditionalFormatting sqref="F250">
    <cfRule type="duplicateValues" dxfId="60" priority="1159"/>
  </conditionalFormatting>
  <conditionalFormatting sqref="G249">
    <cfRule type="duplicateValues" dxfId="59" priority="1160"/>
    <cfRule type="duplicateValues" dxfId="58" priority="1160"/>
  </conditionalFormatting>
  <conditionalFormatting sqref="G249">
    <cfRule type="duplicateValues" dxfId="57" priority="58"/>
  </conditionalFormatting>
  <conditionalFormatting sqref="G249">
    <cfRule type="duplicateValues" dxfId="56" priority="1161"/>
    <cfRule type="duplicateValues" dxfId="55" priority="56"/>
    <cfRule type="duplicateValues" dxfId="54" priority="1161"/>
  </conditionalFormatting>
  <conditionalFormatting sqref="G249">
    <cfRule type="duplicateValues" dxfId="53" priority="1162"/>
    <cfRule type="duplicateValues" dxfId="52" priority="1162"/>
    <cfRule type="duplicateValues" dxfId="51" priority="1162"/>
  </conditionalFormatting>
  <conditionalFormatting sqref="F249">
    <cfRule type="duplicateValues" dxfId="50" priority="50"/>
    <cfRule type="duplicateValues" dxfId="49" priority="51"/>
  </conditionalFormatting>
  <conditionalFormatting sqref="F249">
    <cfRule type="duplicateValues" dxfId="48" priority="48"/>
    <cfRule type="duplicateValues" dxfId="47" priority="1163"/>
  </conditionalFormatting>
  <conditionalFormatting sqref="F249">
    <cfRule type="duplicateValues" dxfId="46" priority="47"/>
  </conditionalFormatting>
  <conditionalFormatting sqref="F249">
    <cfRule type="duplicateValues" dxfId="45" priority="44"/>
    <cfRule type="duplicateValues" dxfId="44" priority="45"/>
    <cfRule type="duplicateValues" dxfId="43" priority="46"/>
  </conditionalFormatting>
  <conditionalFormatting sqref="F249">
    <cfRule type="duplicateValues" dxfId="42" priority="1164"/>
    <cfRule type="duplicateValues" dxfId="41" priority="1164"/>
    <cfRule type="duplicateValues" dxfId="40" priority="43"/>
  </conditionalFormatting>
  <conditionalFormatting sqref="F250">
    <cfRule type="duplicateValues" dxfId="39" priority="40"/>
  </conditionalFormatting>
  <conditionalFormatting sqref="F249:G249">
    <cfRule type="duplicateValues" dxfId="38" priority="1165"/>
    <cfRule type="duplicateValues" dxfId="37" priority="1165"/>
  </conditionalFormatting>
  <conditionalFormatting sqref="F249:G249">
    <cfRule type="duplicateValues" dxfId="36" priority="1166"/>
  </conditionalFormatting>
  <conditionalFormatting sqref="F249:G249">
    <cfRule type="duplicateValues" dxfId="35" priority="1167"/>
    <cfRule type="duplicateValues" dxfId="34" priority="1167"/>
    <cfRule type="duplicateValues" dxfId="33" priority="1167"/>
  </conditionalFormatting>
  <conditionalFormatting sqref="F249:G249">
    <cfRule type="duplicateValues" dxfId="32" priority="1168"/>
    <cfRule type="duplicateValues" dxfId="31" priority="32"/>
    <cfRule type="duplicateValues" dxfId="30" priority="1168"/>
  </conditionalFormatting>
  <conditionalFormatting sqref="F251:G251">
    <cfRule type="duplicateValues" dxfId="29" priority="1169"/>
  </conditionalFormatting>
  <conditionalFormatting sqref="F253:G253">
    <cfRule type="duplicateValues" dxfId="28" priority="1170"/>
  </conditionalFormatting>
  <conditionalFormatting sqref="F255:G255">
    <cfRule type="duplicateValues" dxfId="27" priority="28"/>
  </conditionalFormatting>
  <conditionalFormatting sqref="F255:G255">
    <cfRule type="duplicateValues" dxfId="26" priority="27"/>
  </conditionalFormatting>
  <conditionalFormatting sqref="F255:G255">
    <cfRule type="duplicateValues" dxfId="25" priority="26"/>
  </conditionalFormatting>
  <conditionalFormatting sqref="F255:G255">
    <cfRule type="duplicateValues" dxfId="24" priority="1171"/>
  </conditionalFormatting>
  <conditionalFormatting sqref="F253:G253">
    <cfRule type="duplicateValues" dxfId="23" priority="1172"/>
  </conditionalFormatting>
  <conditionalFormatting sqref="F256:G256">
    <cfRule type="duplicateValues" dxfId="22" priority="1173"/>
  </conditionalFormatting>
  <conditionalFormatting sqref="F256:G256">
    <cfRule type="duplicateValues" dxfId="21" priority="1174"/>
  </conditionalFormatting>
  <conditionalFormatting sqref="F258:G258">
    <cfRule type="duplicateValues" dxfId="20" priority="1175"/>
    <cfRule type="duplicateValues" dxfId="19" priority="1175"/>
  </conditionalFormatting>
  <conditionalFormatting sqref="F251:G251">
    <cfRule type="duplicateValues" dxfId="18" priority="1176"/>
  </conditionalFormatting>
  <conditionalFormatting sqref="F254:G254">
    <cfRule type="duplicateValues" dxfId="17" priority="18"/>
  </conditionalFormatting>
  <conditionalFormatting sqref="F253:G253">
    <cfRule type="duplicateValues" dxfId="16" priority="17"/>
  </conditionalFormatting>
  <conditionalFormatting sqref="F253:G253">
    <cfRule type="duplicateValues" dxfId="15" priority="16"/>
  </conditionalFormatting>
  <conditionalFormatting sqref="F253:G253">
    <cfRule type="duplicateValues" dxfId="14" priority="1177"/>
  </conditionalFormatting>
  <conditionalFormatting sqref="F255:G255">
    <cfRule type="duplicateValues" dxfId="13" priority="1178"/>
  </conditionalFormatting>
  <conditionalFormatting sqref="F255:G255">
    <cfRule type="duplicateValues" dxfId="12" priority="1179"/>
  </conditionalFormatting>
  <conditionalFormatting sqref="F253:G253">
    <cfRule type="duplicateValues" dxfId="11" priority="12"/>
  </conditionalFormatting>
  <conditionalFormatting sqref="F256:G256">
    <cfRule type="duplicateValues" dxfId="10" priority="11"/>
  </conditionalFormatting>
  <conditionalFormatting sqref="F256:G256">
    <cfRule type="duplicateValues" dxfId="9" priority="9"/>
    <cfRule type="duplicateValues" dxfId="8" priority="1180"/>
  </conditionalFormatting>
  <conditionalFormatting sqref="F256:G256">
    <cfRule type="duplicateValues" dxfId="7" priority="8"/>
  </conditionalFormatting>
  <conditionalFormatting sqref="F258:G258">
    <cfRule type="duplicateValues" dxfId="6" priority="1181"/>
    <cfRule type="duplicateValues" dxfId="5" priority="1181"/>
  </conditionalFormatting>
  <conditionalFormatting sqref="F257:G257">
    <cfRule type="duplicateValues" dxfId="4" priority="1182"/>
  </conditionalFormatting>
  <conditionalFormatting sqref="F258:G258">
    <cfRule type="duplicateValues" dxfId="3" priority="4"/>
  </conditionalFormatting>
  <conditionalFormatting sqref="G261">
    <cfRule type="duplicateValues" dxfId="2" priority="1183"/>
  </conditionalFormatting>
  <conditionalFormatting sqref="G261">
    <cfRule type="duplicateValues" dxfId="1" priority="1184"/>
  </conditionalFormatting>
  <conditionalFormatting sqref="F262:G262">
    <cfRule type="duplicateValues" dxfId="0" priority="1185"/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3"/>
  <sheetViews>
    <sheetView workbookViewId="0">
      <selection activeCell="A2" sqref="A2:A23"/>
    </sheetView>
  </sheetViews>
  <sheetFormatPr defaultRowHeight="15" x14ac:dyDescent="0.25"/>
  <cols>
    <col min="1" max="1" width="23.5703125" bestFit="1" customWidth="1"/>
    <col min="2" max="2" width="32" bestFit="1" customWidth="1"/>
    <col min="3" max="3" width="27" bestFit="1" customWidth="1"/>
    <col min="4" max="4" width="14.42578125" bestFit="1" customWidth="1"/>
    <col min="5" max="5" width="17.28515625" bestFit="1" customWidth="1"/>
  </cols>
  <sheetData>
    <row r="1" spans="1:10" s="26" customFormat="1" ht="30" customHeight="1" x14ac:dyDescent="0.25">
      <c r="A1" s="66" t="s">
        <v>74</v>
      </c>
      <c r="B1" s="66" t="s">
        <v>73</v>
      </c>
      <c r="C1" s="66" t="s">
        <v>72</v>
      </c>
      <c r="D1" s="66" t="s">
        <v>75</v>
      </c>
      <c r="E1" s="66" t="s">
        <v>85</v>
      </c>
      <c r="F1" s="66" t="s">
        <v>76</v>
      </c>
      <c r="G1" s="66" t="s">
        <v>77</v>
      </c>
      <c r="H1" s="66" t="s">
        <v>78</v>
      </c>
      <c r="I1" s="66" t="s">
        <v>79</v>
      </c>
    </row>
    <row r="2" spans="1:10" ht="15" customHeight="1" x14ac:dyDescent="0.25">
      <c r="A2" s="35" t="s">
        <v>67</v>
      </c>
      <c r="B2" s="35"/>
      <c r="C2" s="35" t="s">
        <v>117</v>
      </c>
      <c r="D2" s="62"/>
      <c r="E2" s="35"/>
      <c r="F2" s="35"/>
      <c r="G2" s="35"/>
      <c r="H2" s="35"/>
      <c r="I2" s="35"/>
      <c r="J2" s="35"/>
    </row>
    <row r="3" spans="1:10" ht="15" customHeight="1" x14ac:dyDescent="0.25">
      <c r="A3" s="35" t="s">
        <v>67</v>
      </c>
      <c r="B3" s="35"/>
      <c r="C3" s="35" t="s">
        <v>118</v>
      </c>
      <c r="D3" s="62"/>
      <c r="E3" s="35"/>
      <c r="F3" s="35"/>
      <c r="G3" s="35"/>
      <c r="H3" s="35"/>
      <c r="I3" s="35"/>
      <c r="J3" s="35"/>
    </row>
    <row r="4" spans="1:10" ht="15" customHeight="1" x14ac:dyDescent="0.25">
      <c r="A4" s="35" t="s">
        <v>67</v>
      </c>
      <c r="B4" s="35"/>
      <c r="C4" s="35" t="s">
        <v>119</v>
      </c>
      <c r="D4" s="62"/>
      <c r="E4" s="35"/>
      <c r="F4" s="35"/>
      <c r="G4" s="35"/>
      <c r="H4" s="35"/>
      <c r="I4" s="35"/>
      <c r="J4" s="35"/>
    </row>
    <row r="5" spans="1:10" ht="15" customHeight="1" x14ac:dyDescent="0.25">
      <c r="A5" s="35" t="s">
        <v>67</v>
      </c>
      <c r="B5" s="35"/>
      <c r="C5" s="35" t="s">
        <v>120</v>
      </c>
      <c r="D5" s="62"/>
      <c r="E5" s="35"/>
      <c r="F5" s="35"/>
      <c r="G5" s="35"/>
      <c r="H5" s="35"/>
      <c r="I5" s="35"/>
      <c r="J5" s="35"/>
    </row>
    <row r="6" spans="1:10" ht="15" customHeight="1" x14ac:dyDescent="0.25">
      <c r="A6" s="35" t="s">
        <v>67</v>
      </c>
      <c r="B6" s="35"/>
      <c r="C6" s="35" t="s">
        <v>121</v>
      </c>
      <c r="D6" s="62"/>
      <c r="E6" s="35"/>
      <c r="F6" s="35"/>
      <c r="G6" s="35"/>
      <c r="H6" s="35"/>
      <c r="I6" s="35"/>
      <c r="J6" s="35"/>
    </row>
    <row r="7" spans="1:10" ht="15" customHeight="1" x14ac:dyDescent="0.25">
      <c r="A7" s="35" t="s">
        <v>67</v>
      </c>
      <c r="B7" s="35"/>
      <c r="C7" s="35" t="s">
        <v>82</v>
      </c>
      <c r="D7" s="62"/>
      <c r="E7" s="35"/>
      <c r="F7" s="35"/>
      <c r="G7" s="35"/>
      <c r="H7" s="35"/>
      <c r="I7" s="35"/>
      <c r="J7" s="35"/>
    </row>
    <row r="8" spans="1:10" ht="15" customHeight="1" x14ac:dyDescent="0.25">
      <c r="A8" s="35" t="s">
        <v>67</v>
      </c>
      <c r="B8" s="35"/>
      <c r="C8" s="35" t="s">
        <v>83</v>
      </c>
      <c r="D8" s="62"/>
      <c r="E8" s="35"/>
      <c r="F8" s="35"/>
      <c r="G8" s="35"/>
      <c r="H8" s="35"/>
      <c r="I8" s="35"/>
      <c r="J8" s="35"/>
    </row>
    <row r="9" spans="1:10" ht="15" customHeight="1" x14ac:dyDescent="0.25">
      <c r="A9" s="35" t="s">
        <v>67</v>
      </c>
      <c r="B9" s="35"/>
      <c r="C9" s="35" t="s">
        <v>80</v>
      </c>
      <c r="D9" s="62"/>
      <c r="E9" s="35"/>
      <c r="F9" s="35"/>
      <c r="G9" s="35"/>
      <c r="H9" s="35"/>
      <c r="I9" s="35"/>
      <c r="J9" s="35"/>
    </row>
    <row r="10" spans="1:10" ht="15" customHeight="1" x14ac:dyDescent="0.25">
      <c r="A10" s="35" t="s">
        <v>67</v>
      </c>
      <c r="B10" s="35"/>
      <c r="C10" s="35" t="s">
        <v>81</v>
      </c>
      <c r="D10" s="62"/>
      <c r="E10" s="35"/>
      <c r="F10" s="35"/>
      <c r="G10" s="35"/>
      <c r="H10" s="35"/>
      <c r="I10" s="35"/>
      <c r="J10" s="35"/>
    </row>
    <row r="11" spans="1:10" ht="15" customHeight="1" x14ac:dyDescent="0.25">
      <c r="A11" s="35" t="s">
        <v>67</v>
      </c>
      <c r="B11" s="35"/>
      <c r="C11" s="35" t="s">
        <v>38</v>
      </c>
      <c r="D11" s="62"/>
      <c r="E11" s="35"/>
      <c r="F11" s="35"/>
      <c r="G11" s="35"/>
      <c r="H11" s="35"/>
      <c r="I11" s="35"/>
      <c r="J11" s="35"/>
    </row>
    <row r="12" spans="1:10" ht="15" customHeight="1" x14ac:dyDescent="0.25">
      <c r="A12" s="35" t="s">
        <v>67</v>
      </c>
      <c r="B12" s="35"/>
      <c r="C12" s="35" t="s">
        <v>39</v>
      </c>
      <c r="D12" s="62"/>
      <c r="E12" s="35"/>
      <c r="F12" s="35"/>
      <c r="G12" s="35"/>
      <c r="H12" s="35"/>
      <c r="I12" s="35"/>
      <c r="J12" s="35"/>
    </row>
    <row r="13" spans="1:10" ht="15" customHeight="1" x14ac:dyDescent="0.25">
      <c r="A13" s="35" t="s">
        <v>67</v>
      </c>
      <c r="B13" s="35"/>
      <c r="C13" s="35" t="s">
        <v>40</v>
      </c>
      <c r="D13" s="62"/>
      <c r="E13" s="35"/>
      <c r="F13" s="35"/>
      <c r="G13" s="35"/>
      <c r="H13" s="35"/>
      <c r="I13" s="35"/>
      <c r="J13" s="35"/>
    </row>
    <row r="14" spans="1:10" ht="15" customHeight="1" x14ac:dyDescent="0.25">
      <c r="A14" s="35" t="s">
        <v>67</v>
      </c>
      <c r="B14" s="35"/>
      <c r="C14" s="35" t="s">
        <v>41</v>
      </c>
      <c r="D14" s="62"/>
      <c r="E14" s="35"/>
      <c r="F14" s="35"/>
      <c r="G14" s="35"/>
      <c r="H14" s="35"/>
      <c r="I14" s="35"/>
      <c r="J14" s="35"/>
    </row>
    <row r="15" spans="1:10" ht="15" customHeight="1" x14ac:dyDescent="0.25">
      <c r="A15" s="35" t="s">
        <v>67</v>
      </c>
      <c r="B15" s="35"/>
      <c r="C15" s="35" t="s">
        <v>46</v>
      </c>
      <c r="D15" s="62"/>
      <c r="E15" s="35"/>
      <c r="F15" s="35"/>
      <c r="G15" s="35"/>
      <c r="H15" s="35"/>
      <c r="I15" s="35"/>
      <c r="J15" s="35"/>
    </row>
    <row r="16" spans="1:10" ht="15" customHeight="1" x14ac:dyDescent="0.25">
      <c r="A16" s="35" t="s">
        <v>67</v>
      </c>
      <c r="B16" s="35"/>
      <c r="C16" s="35" t="s">
        <v>47</v>
      </c>
      <c r="D16" s="62"/>
      <c r="E16" s="35"/>
      <c r="F16" s="35"/>
      <c r="G16" s="35"/>
      <c r="H16" s="35"/>
      <c r="I16" s="35"/>
      <c r="J16" s="35"/>
    </row>
    <row r="17" spans="1:10" ht="15" customHeight="1" x14ac:dyDescent="0.25">
      <c r="A17" s="35" t="s">
        <v>67</v>
      </c>
      <c r="B17" s="35"/>
      <c r="C17" s="35" t="s">
        <v>54</v>
      </c>
      <c r="D17" s="62"/>
      <c r="E17" s="35"/>
      <c r="F17" s="35"/>
      <c r="G17" s="35"/>
      <c r="H17" s="35"/>
      <c r="I17" s="35"/>
      <c r="J17" s="35"/>
    </row>
    <row r="18" spans="1:10" ht="15" customHeight="1" x14ac:dyDescent="0.25">
      <c r="A18" s="35" t="s">
        <v>67</v>
      </c>
      <c r="B18" s="35"/>
      <c r="C18" s="35" t="s">
        <v>55</v>
      </c>
      <c r="D18" s="62"/>
      <c r="E18" s="35"/>
      <c r="F18" s="35"/>
      <c r="G18" s="35"/>
      <c r="H18" s="35"/>
      <c r="I18" s="35"/>
      <c r="J18" s="35"/>
    </row>
    <row r="19" spans="1:10" ht="15" customHeight="1" x14ac:dyDescent="0.25">
      <c r="A19" s="35" t="s">
        <v>67</v>
      </c>
      <c r="B19" s="35"/>
      <c r="C19" s="35" t="s">
        <v>68</v>
      </c>
      <c r="D19" s="62"/>
      <c r="E19" s="35"/>
      <c r="F19" s="35"/>
      <c r="G19" s="35"/>
      <c r="H19" s="35"/>
      <c r="I19" s="35"/>
      <c r="J19" s="35"/>
    </row>
    <row r="20" spans="1:10" ht="15" customHeight="1" x14ac:dyDescent="0.25">
      <c r="A20" s="35" t="s">
        <v>67</v>
      </c>
      <c r="B20" s="35"/>
      <c r="C20" s="35" t="s">
        <v>70</v>
      </c>
      <c r="D20" s="62"/>
      <c r="E20" s="35"/>
      <c r="F20" s="35"/>
      <c r="G20" s="35"/>
      <c r="H20" s="35"/>
      <c r="I20" s="35"/>
      <c r="J20" s="35"/>
    </row>
    <row r="21" spans="1:10" ht="15" customHeight="1" x14ac:dyDescent="0.25">
      <c r="A21" s="35" t="s">
        <v>67</v>
      </c>
      <c r="B21" s="35"/>
      <c r="C21" s="35" t="s">
        <v>71</v>
      </c>
      <c r="D21" s="62"/>
      <c r="E21" s="35"/>
      <c r="F21" s="35"/>
      <c r="G21" s="35"/>
      <c r="H21" s="35"/>
      <c r="I21" s="35"/>
      <c r="J21" s="35"/>
    </row>
    <row r="22" spans="1:10" ht="15" customHeight="1" x14ac:dyDescent="0.25">
      <c r="A22" s="35" t="s">
        <v>67</v>
      </c>
      <c r="B22" s="35"/>
      <c r="C22" s="35" t="s">
        <v>84</v>
      </c>
      <c r="D22" s="62"/>
      <c r="E22" s="35"/>
      <c r="F22" s="35"/>
      <c r="G22" s="35"/>
      <c r="H22" s="35"/>
      <c r="I22" s="35"/>
      <c r="J22" s="35"/>
    </row>
    <row r="23" spans="1:10" ht="15" customHeight="1" thickBot="1" x14ac:dyDescent="0.3">
      <c r="A23" s="40" t="s">
        <v>67</v>
      </c>
      <c r="B23" s="40"/>
      <c r="C23" s="40" t="s">
        <v>69</v>
      </c>
      <c r="D23" s="63"/>
      <c r="E23" s="40"/>
      <c r="F23" s="40"/>
      <c r="G23" s="40"/>
      <c r="H23" s="40"/>
      <c r="I23" s="40"/>
      <c r="J23" s="3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Summary Table</vt:lpstr>
      <vt:lpstr>Automation</vt:lpstr>
      <vt:lpstr>Yield, Bubble Pinch</vt:lpstr>
      <vt:lpstr>Fract-Band</vt:lpstr>
      <vt:lpstr>SPTT Entry</vt:lpstr>
      <vt:lpstr>Template</vt:lpstr>
    </vt:vector>
  </TitlesOfParts>
  <Company>Procter &amp; Gamble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Lipic</dc:creator>
  <cp:lastModifiedBy>Guy..Lister</cp:lastModifiedBy>
  <cp:lastPrinted>2014-10-27T20:32:30Z</cp:lastPrinted>
  <dcterms:created xsi:type="dcterms:W3CDTF">2013-02-21T02:59:43Z</dcterms:created>
  <dcterms:modified xsi:type="dcterms:W3CDTF">2015-12-10T00:16:20Z</dcterms:modified>
</cp:coreProperties>
</file>